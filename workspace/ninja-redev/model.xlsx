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ircohenh/Library/CloudStorage/Dropbox/Austin Texas/6719 N Lamar/"/>
    </mc:Choice>
  </mc:AlternateContent>
  <xr:revisionPtr revIDLastSave="0" documentId="8_{9D8C63A0-F9F7-7646-BB5E-F37888F6D67D}" xr6:coauthVersionLast="47" xr6:coauthVersionMax="47" xr10:uidLastSave="{00000000-0000-0000-0000-000000000000}"/>
  <bookViews>
    <workbookView xWindow="120" yWindow="760" windowWidth="33580" windowHeight="20380" activeTab="3" xr2:uid="{D95BCF3A-EFB3-41F9-95FD-63BF2A6A1304}"/>
  </bookViews>
  <sheets>
    <sheet name="Overview" sheetId="3" r:id="rId1"/>
    <sheet name="Assumptions" sheetId="1" r:id="rId2"/>
    <sheet name="Unit Mix" sheetId="11" r:id="rId3"/>
    <sheet name="Construction Costs" sheetId="2" r:id="rId4"/>
    <sheet name="Hard Costs" sheetId="13" r:id="rId5"/>
    <sheet name="Closing Costs" sheetId="5" r:id="rId6"/>
    <sheet name="Taxes" sheetId="12" r:id="rId7"/>
    <sheet name="Draw Schedule" sheetId="4" r:id="rId8"/>
    <sheet name="Levered CF" sheetId="10" r:id="rId9"/>
    <sheet name="Net CF Post TCO" sheetId="6" r:id="rId10"/>
    <sheet name="Opex Comps" sheetId="9" r:id="rId11"/>
    <sheet name="Unit Comps" sheetId="7" r:id="rId12"/>
    <sheet name="Promote" sheetId="8" r:id="rId13"/>
    <sheet name="Project Comps" sheetId="14" r:id="rId14"/>
  </sheets>
  <definedNames>
    <definedName name="_xlnm._FilterDatabase" localSheetId="3" hidden="1">'Construction Costs'!$E$1:$E$38</definedName>
    <definedName name="_xlnm._FilterDatabase" localSheetId="0" hidden="1">Overview!$C$1:$C$32</definedName>
  </definedNam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" i="1" l="1"/>
  <c r="G38" i="11"/>
  <c r="H38" i="11" s="1"/>
  <c r="G31" i="11"/>
  <c r="H31" i="11" s="1"/>
  <c r="E8" i="2" l="1"/>
  <c r="F8" i="2" s="1"/>
  <c r="D19" i="1" l="1"/>
  <c r="E15" i="2"/>
  <c r="E32" i="11"/>
  <c r="E33" i="11"/>
  <c r="E34" i="11"/>
  <c r="E31" i="11"/>
  <c r="E30" i="11"/>
  <c r="G30" i="11"/>
  <c r="H30" i="11" s="1"/>
  <c r="I30" i="11" l="1"/>
  <c r="G32" i="11" l="1"/>
  <c r="J30" i="11"/>
  <c r="D9" i="13" l="1"/>
  <c r="C8" i="13" l="1"/>
  <c r="C26" i="1" l="1"/>
  <c r="C25" i="1"/>
  <c r="G39" i="11"/>
  <c r="H39" i="11" s="1"/>
  <c r="I31" i="11"/>
  <c r="J31" i="11" s="1"/>
  <c r="H32" i="11"/>
  <c r="G33" i="11"/>
  <c r="G34" i="11"/>
  <c r="H34" i="11" s="1"/>
  <c r="I34" i="11" s="1"/>
  <c r="J34" i="11" s="1"/>
  <c r="E38" i="11"/>
  <c r="I38" i="11" s="1"/>
  <c r="E39" i="11"/>
  <c r="F26" i="1" s="1"/>
  <c r="E35" i="11"/>
  <c r="C40" i="11"/>
  <c r="C35" i="11"/>
  <c r="C22" i="11" s="1"/>
  <c r="E26" i="12"/>
  <c r="L40" i="1" s="1"/>
  <c r="F32" i="1"/>
  <c r="E32" i="1" s="1"/>
  <c r="M16" i="11"/>
  <c r="M17" i="11"/>
  <c r="M15" i="11"/>
  <c r="I32" i="11" l="1"/>
  <c r="J32" i="11" s="1"/>
  <c r="H33" i="11"/>
  <c r="H35" i="11" s="1"/>
  <c r="G22" i="11" s="1"/>
  <c r="E22" i="11"/>
  <c r="C23" i="11"/>
  <c r="C42" i="11"/>
  <c r="F25" i="1"/>
  <c r="J38" i="11"/>
  <c r="I39" i="11"/>
  <c r="J39" i="11" s="1"/>
  <c r="C24" i="11"/>
  <c r="D22" i="11" s="1"/>
  <c r="E40" i="11"/>
  <c r="E23" i="11" s="1"/>
  <c r="E24" i="11" s="1"/>
  <c r="H40" i="11"/>
  <c r="G35" i="11"/>
  <c r="D35" i="11"/>
  <c r="E17" i="11"/>
  <c r="E15" i="11"/>
  <c r="I33" i="11" l="1"/>
  <c r="J33" i="11" s="1"/>
  <c r="E42" i="11"/>
  <c r="E43" i="11" s="1"/>
  <c r="G23" i="11"/>
  <c r="H42" i="11"/>
  <c r="G17" i="11" l="1"/>
  <c r="J17" i="11" s="1"/>
  <c r="G16" i="11"/>
  <c r="H16" i="11" s="1"/>
  <c r="I16" i="11" s="1"/>
  <c r="G15" i="11"/>
  <c r="J15" i="11" s="1"/>
  <c r="K32" i="1"/>
  <c r="E6" i="5"/>
  <c r="F19" i="1"/>
  <c r="C24" i="1"/>
  <c r="C29" i="1" s="1"/>
  <c r="C3" i="3"/>
  <c r="C18" i="11"/>
  <c r="F17" i="11"/>
  <c r="F16" i="11"/>
  <c r="F15" i="11"/>
  <c r="C9" i="11"/>
  <c r="K9" i="11" s="1"/>
  <c r="J8" i="11"/>
  <c r="H8" i="11"/>
  <c r="I8" i="11" s="1"/>
  <c r="F8" i="11"/>
  <c r="J7" i="11"/>
  <c r="H7" i="11"/>
  <c r="I7" i="11" s="1"/>
  <c r="F7" i="11"/>
  <c r="J6" i="11"/>
  <c r="H6" i="11"/>
  <c r="I6" i="11" s="1"/>
  <c r="F6" i="11"/>
  <c r="J14" i="2" l="1"/>
  <c r="E7" i="2"/>
  <c r="H17" i="11"/>
  <c r="I17" i="11" s="1"/>
  <c r="E26" i="1"/>
  <c r="G9" i="11"/>
  <c r="E9" i="11"/>
  <c r="E18" i="11"/>
  <c r="K18" i="11"/>
  <c r="E25" i="1"/>
  <c r="D16" i="11"/>
  <c r="D17" i="11"/>
  <c r="D18" i="11"/>
  <c r="D15" i="11"/>
  <c r="D6" i="11"/>
  <c r="D7" i="11"/>
  <c r="D8" i="11"/>
  <c r="D9" i="11"/>
  <c r="F18" i="11"/>
  <c r="F9" i="11"/>
  <c r="F24" i="1"/>
  <c r="J9" i="11"/>
  <c r="J16" i="11"/>
  <c r="J18" i="11" s="1"/>
  <c r="G18" i="11"/>
  <c r="H15" i="11"/>
  <c r="I15" i="11" s="1"/>
  <c r="E24" i="1" l="1"/>
  <c r="H18" i="11"/>
  <c r="I18" i="11" s="1"/>
  <c r="H9" i="11"/>
  <c r="I9" i="11" s="1"/>
  <c r="E25" i="11"/>
  <c r="H22" i="11"/>
  <c r="I22" i="11" s="1"/>
  <c r="H23" i="11"/>
  <c r="I23" i="11" s="1"/>
  <c r="G24" i="11"/>
  <c r="L19" i="9"/>
  <c r="K19" i="9"/>
  <c r="H24" i="11" l="1"/>
  <c r="I24" i="11" s="1"/>
  <c r="K4" i="1" s="1"/>
  <c r="F24" i="11"/>
  <c r="F22" i="11"/>
  <c r="F23" i="11"/>
  <c r="D23" i="11"/>
  <c r="D24" i="11"/>
  <c r="J19" i="9"/>
  <c r="E14" i="9"/>
  <c r="D14" i="9"/>
  <c r="E13" i="9"/>
  <c r="D13" i="9"/>
  <c r="F14" i="9" l="1"/>
  <c r="F13" i="9"/>
  <c r="L8" i="9"/>
  <c r="C7" i="3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20" i="10"/>
  <c r="D3" i="10"/>
  <c r="D12" i="10" s="1"/>
  <c r="D19" i="10" s="1"/>
  <c r="E2" i="10"/>
  <c r="E3" i="10" s="1"/>
  <c r="E12" i="10" s="1"/>
  <c r="E19" i="10" s="1"/>
  <c r="CA75" i="4"/>
  <c r="CA139" i="4" s="1"/>
  <c r="CB75" i="4"/>
  <c r="CB139" i="4" s="1"/>
  <c r="CC75" i="4"/>
  <c r="CC139" i="4" s="1"/>
  <c r="CD75" i="4"/>
  <c r="CD139" i="4" s="1"/>
  <c r="CE75" i="4"/>
  <c r="CE139" i="4" s="1"/>
  <c r="CF75" i="4"/>
  <c r="CF139" i="4" s="1"/>
  <c r="CG75" i="4"/>
  <c r="CG139" i="4" s="1"/>
  <c r="CH75" i="4"/>
  <c r="CH139" i="4" s="1"/>
  <c r="CI75" i="4"/>
  <c r="CI139" i="4" s="1"/>
  <c r="CJ75" i="4"/>
  <c r="CJ139" i="4" s="1"/>
  <c r="CK75" i="4"/>
  <c r="CK139" i="4" s="1"/>
  <c r="CL75" i="4"/>
  <c r="CL139" i="4" s="1"/>
  <c r="CM75" i="4"/>
  <c r="CM139" i="4" s="1"/>
  <c r="CN75" i="4"/>
  <c r="CN139" i="4" s="1"/>
  <c r="CO75" i="4"/>
  <c r="CO139" i="4" s="1"/>
  <c r="CP75" i="4"/>
  <c r="CP139" i="4" s="1"/>
  <c r="CQ75" i="4"/>
  <c r="CQ139" i="4" s="1"/>
  <c r="CR75" i="4"/>
  <c r="CR139" i="4" s="1"/>
  <c r="CS75" i="4"/>
  <c r="CS139" i="4" s="1"/>
  <c r="CT75" i="4"/>
  <c r="CT139" i="4" s="1"/>
  <c r="CU75" i="4"/>
  <c r="CU139" i="4" s="1"/>
  <c r="CV75" i="4"/>
  <c r="CV139" i="4" s="1"/>
  <c r="CW75" i="4"/>
  <c r="CW139" i="4" s="1"/>
  <c r="CX75" i="4"/>
  <c r="CX139" i="4" s="1"/>
  <c r="CY75" i="4"/>
  <c r="CY139" i="4" s="1"/>
  <c r="CZ75" i="4"/>
  <c r="CZ139" i="4" s="1"/>
  <c r="DA75" i="4"/>
  <c r="DA139" i="4" s="1"/>
  <c r="DB75" i="4"/>
  <c r="DB139" i="4" s="1"/>
  <c r="DC75" i="4"/>
  <c r="DC139" i="4" s="1"/>
  <c r="DD75" i="4"/>
  <c r="DD139" i="4" s="1"/>
  <c r="DE75" i="4"/>
  <c r="DE139" i="4" s="1"/>
  <c r="DF75" i="4"/>
  <c r="DF139" i="4" s="1"/>
  <c r="DG75" i="4"/>
  <c r="DG139" i="4" s="1"/>
  <c r="DH75" i="4"/>
  <c r="DH139" i="4" s="1"/>
  <c r="DI75" i="4"/>
  <c r="DI139" i="4" s="1"/>
  <c r="DJ75" i="4"/>
  <c r="DJ139" i="4" s="1"/>
  <c r="DK75" i="4"/>
  <c r="DK139" i="4" s="1"/>
  <c r="DL75" i="4"/>
  <c r="DL139" i="4" s="1"/>
  <c r="DM75" i="4"/>
  <c r="DM139" i="4" s="1"/>
  <c r="DN75" i="4"/>
  <c r="DN139" i="4" s="1"/>
  <c r="DO75" i="4"/>
  <c r="DO139" i="4" s="1"/>
  <c r="DP75" i="4"/>
  <c r="DP139" i="4" s="1"/>
  <c r="DQ75" i="4"/>
  <c r="DQ139" i="4" s="1"/>
  <c r="DR75" i="4"/>
  <c r="DR139" i="4" s="1"/>
  <c r="DS75" i="4"/>
  <c r="DS139" i="4" s="1"/>
  <c r="DT75" i="4"/>
  <c r="DT139" i="4" s="1"/>
  <c r="DU75" i="4"/>
  <c r="DU139" i="4" s="1"/>
  <c r="DV75" i="4"/>
  <c r="DV139" i="4" s="1"/>
  <c r="DW75" i="4"/>
  <c r="DW139" i="4" s="1"/>
  <c r="DX75" i="4"/>
  <c r="DX139" i="4" s="1"/>
  <c r="DY75" i="4"/>
  <c r="DY139" i="4" s="1"/>
  <c r="DZ75" i="4"/>
  <c r="DZ139" i="4" s="1"/>
  <c r="EA75" i="4"/>
  <c r="EA139" i="4" s="1"/>
  <c r="EB75" i="4"/>
  <c r="EB139" i="4" s="1"/>
  <c r="EC75" i="4"/>
  <c r="EC139" i="4" s="1"/>
  <c r="ED75" i="4"/>
  <c r="ED139" i="4" s="1"/>
  <c r="EE75" i="4"/>
  <c r="EE139" i="4" s="1"/>
  <c r="EF75" i="4"/>
  <c r="EF139" i="4" s="1"/>
  <c r="EG75" i="4"/>
  <c r="EG139" i="4" s="1"/>
  <c r="EH75" i="4"/>
  <c r="EH139" i="4" s="1"/>
  <c r="EI75" i="4"/>
  <c r="EI139" i="4" s="1"/>
  <c r="EJ75" i="4"/>
  <c r="EJ139" i="4" s="1"/>
  <c r="EK75" i="4"/>
  <c r="EK139" i="4" s="1"/>
  <c r="EL75" i="4"/>
  <c r="EL139" i="4" s="1"/>
  <c r="EM75" i="4"/>
  <c r="EM139" i="4" s="1"/>
  <c r="EN75" i="4"/>
  <c r="EN139" i="4" s="1"/>
  <c r="EO75" i="4"/>
  <c r="EO139" i="4" s="1"/>
  <c r="EP75" i="4"/>
  <c r="EP139" i="4" s="1"/>
  <c r="EQ75" i="4"/>
  <c r="EQ139" i="4" s="1"/>
  <c r="ER75" i="4"/>
  <c r="ER139" i="4" s="1"/>
  <c r="ES75" i="4"/>
  <c r="ES139" i="4" s="1"/>
  <c r="ET75" i="4"/>
  <c r="ET139" i="4" s="1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EQ100" i="4"/>
  <c r="ER100" i="4"/>
  <c r="ES100" i="4"/>
  <c r="ET100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EQ145" i="4"/>
  <c r="ER145" i="4"/>
  <c r="ES145" i="4"/>
  <c r="ET145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EQ146" i="4"/>
  <c r="ER146" i="4"/>
  <c r="ES146" i="4"/>
  <c r="ET146" i="4"/>
  <c r="I18" i="9"/>
  <c r="F38" i="1"/>
  <c r="F40" i="1" s="1"/>
  <c r="F191" i="4"/>
  <c r="ES165" i="4" l="1"/>
  <c r="EJ165" i="4"/>
  <c r="DU165" i="4"/>
  <c r="EK165" i="4"/>
  <c r="ED165" i="4"/>
  <c r="EC165" i="4"/>
  <c r="CJ165" i="4"/>
  <c r="CG165" i="4"/>
  <c r="CO165" i="4"/>
  <c r="CP165" i="4"/>
  <c r="DX165" i="4"/>
  <c r="DP165" i="4"/>
  <c r="ET165" i="4"/>
  <c r="DF165" i="4"/>
  <c r="DE165" i="4"/>
  <c r="F2" i="10"/>
  <c r="EL165" i="4"/>
  <c r="DV165" i="4"/>
  <c r="DN165" i="4"/>
  <c r="CX165" i="4"/>
  <c r="CH165" i="4"/>
  <c r="DM165" i="4"/>
  <c r="CW165" i="4"/>
  <c r="DJ165" i="4"/>
  <c r="EN165" i="4"/>
  <c r="EF165" i="4"/>
  <c r="DH165" i="4"/>
  <c r="CZ165" i="4"/>
  <c r="CR165" i="4"/>
  <c r="CB165" i="4"/>
  <c r="CT165" i="4"/>
  <c r="ER165" i="4"/>
  <c r="EB165" i="4"/>
  <c r="DT165" i="4"/>
  <c r="DL165" i="4"/>
  <c r="DD165" i="4"/>
  <c r="CV165" i="4"/>
  <c r="CN165" i="4"/>
  <c r="CF165" i="4"/>
  <c r="EH165" i="4"/>
  <c r="DR165" i="4"/>
  <c r="CL165" i="4"/>
  <c r="EP165" i="4"/>
  <c r="DZ165" i="4"/>
  <c r="DB165" i="4"/>
  <c r="CD165" i="4"/>
  <c r="EQ165" i="4"/>
  <c r="EI165" i="4"/>
  <c r="EA165" i="4"/>
  <c r="DS165" i="4"/>
  <c r="DK165" i="4"/>
  <c r="DC165" i="4"/>
  <c r="CU165" i="4"/>
  <c r="CM165" i="4"/>
  <c r="CE165" i="4"/>
  <c r="EO165" i="4"/>
  <c r="EG165" i="4"/>
  <c r="DY165" i="4"/>
  <c r="DQ165" i="4"/>
  <c r="DI165" i="4"/>
  <c r="DA165" i="4"/>
  <c r="CS165" i="4"/>
  <c r="CK165" i="4"/>
  <c r="CC165" i="4"/>
  <c r="EM165" i="4"/>
  <c r="EE165" i="4"/>
  <c r="DW165" i="4"/>
  <c r="DO165" i="4"/>
  <c r="DG165" i="4"/>
  <c r="CY165" i="4"/>
  <c r="CQ165" i="4"/>
  <c r="CI165" i="4"/>
  <c r="CA165" i="4"/>
  <c r="E40" i="5"/>
  <c r="E41" i="5"/>
  <c r="E39" i="5"/>
  <c r="G2" i="10" l="1"/>
  <c r="F3" i="10"/>
  <c r="F12" i="10" s="1"/>
  <c r="F19" i="10" s="1"/>
  <c r="F22" i="7"/>
  <c r="F21" i="7"/>
  <c r="F20" i="7"/>
  <c r="F19" i="7"/>
  <c r="F7" i="7"/>
  <c r="F6" i="7"/>
  <c r="C14" i="3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BY146" i="4"/>
  <c r="BZ146" i="4"/>
  <c r="H2" i="10" l="1"/>
  <c r="G3" i="10"/>
  <c r="G12" i="10" s="1"/>
  <c r="G19" i="10" s="1"/>
  <c r="AM165" i="4"/>
  <c r="W165" i="4"/>
  <c r="BE165" i="4"/>
  <c r="BV165" i="4"/>
  <c r="BN165" i="4"/>
  <c r="BF165" i="4"/>
  <c r="AW165" i="4"/>
  <c r="AO165" i="4"/>
  <c r="AG165" i="4"/>
  <c r="Y165" i="4"/>
  <c r="AU165" i="4"/>
  <c r="AE165" i="4"/>
  <c r="BS165" i="4"/>
  <c r="BC165" i="4"/>
  <c r="BK165" i="4"/>
  <c r="AS165" i="4"/>
  <c r="AK165" i="4"/>
  <c r="BA165" i="4"/>
  <c r="AX165" i="4"/>
  <c r="AP165" i="4"/>
  <c r="AH165" i="4"/>
  <c r="Z165" i="4"/>
  <c r="BU165" i="4"/>
  <c r="BM165" i="4"/>
  <c r="AC165" i="4"/>
  <c r="U165" i="4"/>
  <c r="BX165" i="4"/>
  <c r="BP165" i="4"/>
  <c r="BH165" i="4"/>
  <c r="BY165" i="4"/>
  <c r="BQ165" i="4"/>
  <c r="BI165" i="4"/>
  <c r="AQ165" i="4"/>
  <c r="BW165" i="4"/>
  <c r="BO165" i="4"/>
  <c r="BG165" i="4"/>
  <c r="AA165" i="4"/>
  <c r="AI165" i="4"/>
  <c r="AY165" i="4"/>
  <c r="AZ165" i="4"/>
  <c r="AR165" i="4"/>
  <c r="AJ165" i="4"/>
  <c r="AB165" i="4"/>
  <c r="BZ165" i="4"/>
  <c r="BR165" i="4"/>
  <c r="AT165" i="4"/>
  <c r="AL165" i="4"/>
  <c r="AD165" i="4"/>
  <c r="V165" i="4"/>
  <c r="BT165" i="4"/>
  <c r="BL165" i="4"/>
  <c r="BD165" i="4"/>
  <c r="AV165" i="4"/>
  <c r="AN165" i="4"/>
  <c r="AF165" i="4"/>
  <c r="X165" i="4"/>
  <c r="BJ165" i="4"/>
  <c r="F144" i="4"/>
  <c r="F148" i="4" s="1"/>
  <c r="I14" i="9"/>
  <c r="I13" i="9"/>
  <c r="C13" i="9"/>
  <c r="C14" i="9"/>
  <c r="H12" i="9"/>
  <c r="B12" i="9"/>
  <c r="I5" i="9"/>
  <c r="I6" i="9"/>
  <c r="I7" i="9"/>
  <c r="I8" i="9"/>
  <c r="I9" i="9"/>
  <c r="I10" i="9"/>
  <c r="I11" i="9"/>
  <c r="B13" i="9"/>
  <c r="B14" i="9"/>
  <c r="H13" i="9"/>
  <c r="H14" i="9"/>
  <c r="H5" i="9"/>
  <c r="H6" i="9"/>
  <c r="H7" i="9"/>
  <c r="H8" i="9"/>
  <c r="H9" i="9"/>
  <c r="H10" i="9"/>
  <c r="H11" i="9"/>
  <c r="H4" i="9"/>
  <c r="B4" i="9"/>
  <c r="B5" i="9"/>
  <c r="B6" i="9"/>
  <c r="B7" i="9"/>
  <c r="B8" i="9"/>
  <c r="B9" i="9"/>
  <c r="B10" i="9"/>
  <c r="B11" i="9"/>
  <c r="I2" i="10" l="1"/>
  <c r="H3" i="10"/>
  <c r="H12" i="10" s="1"/>
  <c r="H19" i="10" s="1"/>
  <c r="F147" i="4"/>
  <c r="F166" i="4" s="1"/>
  <c r="C16" i="3"/>
  <c r="C15" i="3"/>
  <c r="B24" i="3"/>
  <c r="F13" i="4"/>
  <c r="F27" i="1"/>
  <c r="F28" i="1"/>
  <c r="B31" i="3"/>
  <c r="B30" i="3"/>
  <c r="B25" i="3"/>
  <c r="T16" i="1"/>
  <c r="C31" i="3" s="1"/>
  <c r="F131" i="4"/>
  <c r="F133" i="4" s="1"/>
  <c r="F99" i="4"/>
  <c r="F93" i="4"/>
  <c r="C39" i="5"/>
  <c r="P26" i="1"/>
  <c r="F29" i="1" l="1"/>
  <c r="F17" i="1" s="1"/>
  <c r="D17" i="1" s="1"/>
  <c r="E17" i="1" s="1"/>
  <c r="F10" i="1"/>
  <c r="L22" i="1"/>
  <c r="F19" i="9"/>
  <c r="E9" i="9"/>
  <c r="E5" i="9"/>
  <c r="F8" i="9"/>
  <c r="E8" i="9"/>
  <c r="E4" i="9"/>
  <c r="F4" i="9"/>
  <c r="F6" i="9"/>
  <c r="F7" i="9"/>
  <c r="E19" i="9"/>
  <c r="D9" i="9"/>
  <c r="D5" i="9"/>
  <c r="F9" i="9"/>
  <c r="E12" i="9"/>
  <c r="F10" i="9"/>
  <c r="D7" i="9"/>
  <c r="E10" i="9"/>
  <c r="D6" i="9"/>
  <c r="D12" i="9"/>
  <c r="D8" i="9"/>
  <c r="D4" i="9"/>
  <c r="F11" i="9"/>
  <c r="E11" i="9"/>
  <c r="E7" i="9"/>
  <c r="F12" i="9"/>
  <c r="D11" i="9"/>
  <c r="F5" i="9"/>
  <c r="E6" i="9"/>
  <c r="D10" i="9"/>
  <c r="D19" i="9"/>
  <c r="J2" i="10"/>
  <c r="I3" i="10"/>
  <c r="I12" i="10" s="1"/>
  <c r="I19" i="10" s="1"/>
  <c r="D28" i="1"/>
  <c r="L24" i="1"/>
  <c r="C6" i="9" s="1"/>
  <c r="D27" i="1"/>
  <c r="P18" i="1"/>
  <c r="E19" i="8"/>
  <c r="F19" i="8" s="1"/>
  <c r="G19" i="8" s="1"/>
  <c r="H19" i="8" s="1"/>
  <c r="I19" i="8" s="1"/>
  <c r="F178" i="4"/>
  <c r="F180" i="4" s="1"/>
  <c r="F192" i="4" s="1"/>
  <c r="E6" i="8"/>
  <c r="F6" i="8" s="1"/>
  <c r="G6" i="8" s="1"/>
  <c r="H6" i="8" s="1"/>
  <c r="I6" i="8" s="1"/>
  <c r="B32" i="3"/>
  <c r="G7" i="2" l="1"/>
  <c r="C16" i="13"/>
  <c r="C21" i="13"/>
  <c r="C23" i="13"/>
  <c r="C17" i="13"/>
  <c r="C18" i="13"/>
  <c r="C30" i="13"/>
  <c r="C9" i="13"/>
  <c r="C25" i="13"/>
  <c r="C20" i="13"/>
  <c r="C13" i="13"/>
  <c r="C29" i="13"/>
  <c r="C22" i="13"/>
  <c r="C28" i="13"/>
  <c r="C26" i="13"/>
  <c r="C11" i="13"/>
  <c r="C19" i="13"/>
  <c r="C12" i="13"/>
  <c r="D20" i="1"/>
  <c r="C15" i="13"/>
  <c r="C10" i="13"/>
  <c r="C14" i="13"/>
  <c r="C24" i="13"/>
  <c r="C27" i="13"/>
  <c r="E18" i="9"/>
  <c r="F18" i="9"/>
  <c r="D18" i="9"/>
  <c r="C18" i="9"/>
  <c r="E5" i="5"/>
  <c r="E3" i="2"/>
  <c r="K2" i="10"/>
  <c r="J3" i="10"/>
  <c r="J12" i="10" s="1"/>
  <c r="J19" i="10" s="1"/>
  <c r="F5" i="7"/>
  <c r="F4" i="7"/>
  <c r="D2" i="6"/>
  <c r="F105" i="4"/>
  <c r="F120" i="4"/>
  <c r="F123" i="4" s="1"/>
  <c r="F113" i="4"/>
  <c r="F115" i="4" s="1"/>
  <c r="C31" i="13" l="1"/>
  <c r="F15" i="2"/>
  <c r="D8" i="13"/>
  <c r="D7" i="13"/>
  <c r="F17" i="2"/>
  <c r="D6" i="13"/>
  <c r="D5" i="13"/>
  <c r="F7" i="2"/>
  <c r="E3" i="12"/>
  <c r="E2" i="6"/>
  <c r="L2" i="10"/>
  <c r="K3" i="10"/>
  <c r="K12" i="10" s="1"/>
  <c r="K19" i="10" s="1"/>
  <c r="C33" i="13" l="1"/>
  <c r="C32" i="13"/>
  <c r="F2" i="6"/>
  <c r="M2" i="10"/>
  <c r="L3" i="10"/>
  <c r="L12" i="10" s="1"/>
  <c r="L19" i="10" s="1"/>
  <c r="I19" i="9"/>
  <c r="C19" i="9"/>
  <c r="B28" i="3"/>
  <c r="B29" i="3"/>
  <c r="B27" i="3"/>
  <c r="D19" i="3"/>
  <c r="E19" i="3"/>
  <c r="F19" i="3"/>
  <c r="G19" i="3"/>
  <c r="B20" i="3"/>
  <c r="B21" i="3"/>
  <c r="B22" i="3"/>
  <c r="B23" i="3"/>
  <c r="E4" i="5"/>
  <c r="E8" i="5" s="1"/>
  <c r="F6" i="4"/>
  <c r="F4" i="4"/>
  <c r="G3" i="4"/>
  <c r="G13" i="4" s="1"/>
  <c r="E25" i="2"/>
  <c r="C34" i="13" l="1"/>
  <c r="E34" i="13" s="1"/>
  <c r="G2" i="6"/>
  <c r="M3" i="10"/>
  <c r="M12" i="10" s="1"/>
  <c r="M19" i="10" s="1"/>
  <c r="F100" i="4"/>
  <c r="F39" i="4"/>
  <c r="F95" i="4"/>
  <c r="F21" i="4" s="1"/>
  <c r="F94" i="4"/>
  <c r="H3" i="4"/>
  <c r="H13" i="4" s="1"/>
  <c r="G6" i="4"/>
  <c r="F9" i="4"/>
  <c r="G4" i="4"/>
  <c r="C6" i="3"/>
  <c r="C5" i="3"/>
  <c r="C4" i="3"/>
  <c r="X16" i="1"/>
  <c r="G31" i="3" s="1"/>
  <c r="T4" i="1"/>
  <c r="Q4" i="1"/>
  <c r="P8" i="1"/>
  <c r="F116" i="4" s="1"/>
  <c r="P5" i="1"/>
  <c r="P12" i="1"/>
  <c r="F106" i="4" s="1"/>
  <c r="T13" i="1" l="1"/>
  <c r="X13" i="1" s="1"/>
  <c r="G28" i="3" s="1"/>
  <c r="E13" i="5"/>
  <c r="G60" i="4"/>
  <c r="H2" i="6"/>
  <c r="G145" i="4"/>
  <c r="F34" i="13"/>
  <c r="G100" i="4"/>
  <c r="G39" i="4"/>
  <c r="F132" i="4"/>
  <c r="F114" i="4"/>
  <c r="F117" i="4" s="1"/>
  <c r="G113" i="4" s="1"/>
  <c r="G106" i="4"/>
  <c r="G65" i="4"/>
  <c r="P36" i="1"/>
  <c r="G134" i="4" s="1"/>
  <c r="G95" i="4"/>
  <c r="G21" i="4" s="1"/>
  <c r="G10" i="4"/>
  <c r="F96" i="4"/>
  <c r="G93" i="4" s="1"/>
  <c r="G94" i="4"/>
  <c r="F42" i="4"/>
  <c r="F46" i="4" s="1"/>
  <c r="F55" i="4"/>
  <c r="F50" i="4"/>
  <c r="L27" i="1"/>
  <c r="C9" i="9" s="1"/>
  <c r="L23" i="1"/>
  <c r="C5" i="9" s="1"/>
  <c r="L28" i="1"/>
  <c r="C10" i="9" s="1"/>
  <c r="L25" i="1"/>
  <c r="C7" i="9" s="1"/>
  <c r="L26" i="1"/>
  <c r="C8" i="9" s="1"/>
  <c r="L29" i="1"/>
  <c r="C11" i="9" s="1"/>
  <c r="F40" i="4"/>
  <c r="F36" i="4"/>
  <c r="F35" i="4" s="1"/>
  <c r="F56" i="4"/>
  <c r="F41" i="4"/>
  <c r="F53" i="4"/>
  <c r="F51" i="4"/>
  <c r="F32" i="4"/>
  <c r="F31" i="4" s="1"/>
  <c r="F60" i="4"/>
  <c r="F54" i="4"/>
  <c r="F52" i="4"/>
  <c r="F5" i="4"/>
  <c r="G5" i="4"/>
  <c r="F121" i="4"/>
  <c r="F107" i="4"/>
  <c r="G114" i="4"/>
  <c r="G116" i="4"/>
  <c r="G51" i="4"/>
  <c r="G56" i="4"/>
  <c r="G54" i="4"/>
  <c r="G52" i="4"/>
  <c r="G53" i="4"/>
  <c r="G50" i="4"/>
  <c r="G42" i="4"/>
  <c r="G46" i="4" s="1"/>
  <c r="G55" i="4"/>
  <c r="G41" i="4"/>
  <c r="G40" i="4"/>
  <c r="G36" i="4"/>
  <c r="G32" i="4"/>
  <c r="H4" i="4"/>
  <c r="I3" i="4"/>
  <c r="I13" i="4" s="1"/>
  <c r="H6" i="4"/>
  <c r="G9" i="4"/>
  <c r="D25" i="1"/>
  <c r="X4" i="1"/>
  <c r="G20" i="3" s="1"/>
  <c r="C20" i="3"/>
  <c r="E14" i="5"/>
  <c r="E11" i="5"/>
  <c r="E12" i="5"/>
  <c r="C12" i="3"/>
  <c r="F39" i="1"/>
  <c r="D29" i="1"/>
  <c r="D26" i="1"/>
  <c r="D24" i="1"/>
  <c r="F41" i="1"/>
  <c r="F82" i="4" s="1"/>
  <c r="F44" i="4" l="1"/>
  <c r="C28" i="3"/>
  <c r="F66" i="4"/>
  <c r="F65" i="4"/>
  <c r="F80" i="4"/>
  <c r="F81" i="4" s="1"/>
  <c r="F159" i="4" s="1"/>
  <c r="G66" i="4"/>
  <c r="H60" i="4"/>
  <c r="H149" i="4"/>
  <c r="H167" i="4" s="1"/>
  <c r="H65" i="4"/>
  <c r="H66" i="4"/>
  <c r="I2" i="6"/>
  <c r="F149" i="4"/>
  <c r="F167" i="4" s="1"/>
  <c r="G80" i="4"/>
  <c r="G82" i="4"/>
  <c r="G83" i="4" s="1"/>
  <c r="G160" i="4" s="1"/>
  <c r="G126" i="4"/>
  <c r="G149" i="4"/>
  <c r="G167" i="4" s="1"/>
  <c r="H134" i="4"/>
  <c r="H126" i="4"/>
  <c r="F134" i="4"/>
  <c r="F126" i="4"/>
  <c r="H145" i="4"/>
  <c r="H146" i="4"/>
  <c r="F145" i="4"/>
  <c r="F146" i="4"/>
  <c r="G146" i="4"/>
  <c r="G165" i="4" s="1"/>
  <c r="H39" i="4"/>
  <c r="H80" i="4"/>
  <c r="H82" i="4"/>
  <c r="H158" i="4" s="1"/>
  <c r="H106" i="4"/>
  <c r="H100" i="4"/>
  <c r="F83" i="4"/>
  <c r="F160" i="4" s="1"/>
  <c r="G132" i="4"/>
  <c r="H95" i="4"/>
  <c r="H21" i="4" s="1"/>
  <c r="H10" i="4"/>
  <c r="G96" i="4"/>
  <c r="H93" i="4" s="1"/>
  <c r="H94" i="4"/>
  <c r="F45" i="4"/>
  <c r="G31" i="4"/>
  <c r="G35" i="4"/>
  <c r="H5" i="4"/>
  <c r="I4" i="4"/>
  <c r="J3" i="4"/>
  <c r="G107" i="4"/>
  <c r="G121" i="4"/>
  <c r="H114" i="4"/>
  <c r="H116" i="4"/>
  <c r="G115" i="4"/>
  <c r="G117" i="4"/>
  <c r="H113" i="4" s="1"/>
  <c r="H53" i="4"/>
  <c r="H51" i="4"/>
  <c r="H50" i="4"/>
  <c r="H56" i="4"/>
  <c r="H54" i="4"/>
  <c r="H52" i="4"/>
  <c r="H41" i="4"/>
  <c r="H42" i="4"/>
  <c r="H46" i="4" s="1"/>
  <c r="H55" i="4"/>
  <c r="H40" i="4"/>
  <c r="H36" i="4"/>
  <c r="H32" i="4"/>
  <c r="I6" i="4"/>
  <c r="H9" i="4"/>
  <c r="E29" i="1"/>
  <c r="E18" i="5"/>
  <c r="I60" i="4" l="1"/>
  <c r="I149" i="4"/>
  <c r="I167" i="4" s="1"/>
  <c r="I65" i="4"/>
  <c r="I66" i="4"/>
  <c r="J2" i="6"/>
  <c r="C13" i="3"/>
  <c r="F165" i="4"/>
  <c r="H165" i="4"/>
  <c r="F150" i="4"/>
  <c r="G144" i="4" s="1"/>
  <c r="G148" i="4" s="1"/>
  <c r="G150" i="4" s="1"/>
  <c r="H144" i="4" s="1"/>
  <c r="I134" i="4"/>
  <c r="I126" i="4"/>
  <c r="I146" i="4"/>
  <c r="I145" i="4"/>
  <c r="K3" i="4"/>
  <c r="K13" i="4" s="1"/>
  <c r="J13" i="4"/>
  <c r="I80" i="4"/>
  <c r="I82" i="4"/>
  <c r="I39" i="4"/>
  <c r="I106" i="4"/>
  <c r="I100" i="4"/>
  <c r="F157" i="4"/>
  <c r="F158" i="4"/>
  <c r="G81" i="4"/>
  <c r="G84" i="4" s="1"/>
  <c r="H132" i="4"/>
  <c r="G157" i="4"/>
  <c r="I95" i="4"/>
  <c r="I21" i="4" s="1"/>
  <c r="I10" i="4"/>
  <c r="H96" i="4"/>
  <c r="I93" i="4" s="1"/>
  <c r="I94" i="4"/>
  <c r="J4" i="4"/>
  <c r="H31" i="4"/>
  <c r="F84" i="4"/>
  <c r="G158" i="4"/>
  <c r="H35" i="4"/>
  <c r="H45" i="4"/>
  <c r="G45" i="4"/>
  <c r="I5" i="4"/>
  <c r="H157" i="4"/>
  <c r="H117" i="4"/>
  <c r="I113" i="4" s="1"/>
  <c r="H115" i="4"/>
  <c r="I114" i="4"/>
  <c r="I116" i="4"/>
  <c r="H121" i="4"/>
  <c r="H107" i="4"/>
  <c r="H83" i="4"/>
  <c r="H160" i="4" s="1"/>
  <c r="H81" i="4"/>
  <c r="H159" i="4" s="1"/>
  <c r="I52" i="4"/>
  <c r="I53" i="4"/>
  <c r="I51" i="4"/>
  <c r="I55" i="4"/>
  <c r="I56" i="4"/>
  <c r="I50" i="4"/>
  <c r="I54" i="4"/>
  <c r="I42" i="4"/>
  <c r="I46" i="4" s="1"/>
  <c r="I32" i="4"/>
  <c r="I40" i="4"/>
  <c r="I36" i="4"/>
  <c r="I41" i="4"/>
  <c r="I45" i="4" s="1"/>
  <c r="J6" i="4"/>
  <c r="I9" i="4"/>
  <c r="F18" i="1"/>
  <c r="J60" i="4" l="1"/>
  <c r="J149" i="4"/>
  <c r="J167" i="4" s="1"/>
  <c r="J65" i="4"/>
  <c r="J66" i="4"/>
  <c r="I165" i="4"/>
  <c r="J126" i="4"/>
  <c r="J134" i="4"/>
  <c r="G147" i="4"/>
  <c r="G166" i="4" s="1"/>
  <c r="H147" i="4"/>
  <c r="H148" i="4"/>
  <c r="H150" i="4" s="1"/>
  <c r="I144" i="4" s="1"/>
  <c r="J146" i="4"/>
  <c r="J145" i="4"/>
  <c r="L3" i="4"/>
  <c r="L13" i="4" s="1"/>
  <c r="K4" i="4"/>
  <c r="J39" i="4"/>
  <c r="J80" i="4"/>
  <c r="J82" i="4"/>
  <c r="J100" i="4"/>
  <c r="G159" i="4"/>
  <c r="I132" i="4"/>
  <c r="J10" i="4"/>
  <c r="J106" i="4"/>
  <c r="J95" i="4"/>
  <c r="J21" i="4" s="1"/>
  <c r="I96" i="4"/>
  <c r="J93" i="4" s="1"/>
  <c r="J94" i="4"/>
  <c r="I31" i="4"/>
  <c r="I35" i="4"/>
  <c r="J5" i="4"/>
  <c r="I157" i="4"/>
  <c r="I83" i="4"/>
  <c r="I160" i="4" s="1"/>
  <c r="I158" i="4"/>
  <c r="I121" i="4"/>
  <c r="I107" i="4"/>
  <c r="J114" i="4"/>
  <c r="J116" i="4"/>
  <c r="I117" i="4"/>
  <c r="J113" i="4" s="1"/>
  <c r="I115" i="4"/>
  <c r="J52" i="4"/>
  <c r="J50" i="4"/>
  <c r="J54" i="4"/>
  <c r="J53" i="4"/>
  <c r="J51" i="4"/>
  <c r="J55" i="4"/>
  <c r="J41" i="4"/>
  <c r="J45" i="4" s="1"/>
  <c r="J56" i="4"/>
  <c r="J42" i="4"/>
  <c r="J46" i="4" s="1"/>
  <c r="J32" i="4"/>
  <c r="J40" i="4"/>
  <c r="J36" i="4"/>
  <c r="H84" i="4"/>
  <c r="I81" i="4"/>
  <c r="K6" i="4"/>
  <c r="J9" i="4"/>
  <c r="K60" i="4" l="1"/>
  <c r="K149" i="4"/>
  <c r="K167" i="4" s="1"/>
  <c r="K65" i="4"/>
  <c r="K66" i="4"/>
  <c r="J165" i="4"/>
  <c r="K134" i="4"/>
  <c r="K126" i="4"/>
  <c r="H166" i="4"/>
  <c r="K146" i="4"/>
  <c r="K145" i="4"/>
  <c r="I148" i="4"/>
  <c r="I150" i="4" s="1"/>
  <c r="J144" i="4" s="1"/>
  <c r="J148" i="4" s="1"/>
  <c r="I147" i="4"/>
  <c r="L4" i="4"/>
  <c r="M3" i="4"/>
  <c r="M13" i="4" s="1"/>
  <c r="K39" i="4"/>
  <c r="K82" i="4"/>
  <c r="K158" i="4" s="1"/>
  <c r="K80" i="4"/>
  <c r="K100" i="4"/>
  <c r="J132" i="4"/>
  <c r="K10" i="4"/>
  <c r="K106" i="4"/>
  <c r="K95" i="4"/>
  <c r="K21" i="4" s="1"/>
  <c r="J96" i="4"/>
  <c r="K93" i="4" s="1"/>
  <c r="K94" i="4"/>
  <c r="J35" i="4"/>
  <c r="J31" i="4"/>
  <c r="K5" i="4"/>
  <c r="J157" i="4"/>
  <c r="J83" i="4"/>
  <c r="J160" i="4" s="1"/>
  <c r="J158" i="4"/>
  <c r="I84" i="4"/>
  <c r="I159" i="4"/>
  <c r="J117" i="4"/>
  <c r="K113" i="4" s="1"/>
  <c r="J115" i="4"/>
  <c r="K116" i="4"/>
  <c r="K114" i="4"/>
  <c r="J121" i="4"/>
  <c r="J107" i="4"/>
  <c r="K53" i="4"/>
  <c r="K51" i="4"/>
  <c r="K55" i="4"/>
  <c r="K50" i="4"/>
  <c r="K52" i="4"/>
  <c r="K40" i="4"/>
  <c r="K54" i="4"/>
  <c r="K41" i="4"/>
  <c r="K45" i="4" s="1"/>
  <c r="K56" i="4"/>
  <c r="K42" i="4"/>
  <c r="K46" i="4" s="1"/>
  <c r="K32" i="4"/>
  <c r="K36" i="4"/>
  <c r="J81" i="4"/>
  <c r="L6" i="4"/>
  <c r="K9" i="4"/>
  <c r="L60" i="4" l="1"/>
  <c r="L149" i="4"/>
  <c r="L167" i="4" s="1"/>
  <c r="L65" i="4"/>
  <c r="L66" i="4"/>
  <c r="K165" i="4"/>
  <c r="I166" i="4"/>
  <c r="L134" i="4"/>
  <c r="L126" i="4"/>
  <c r="L145" i="4"/>
  <c r="L146" i="4"/>
  <c r="J150" i="4"/>
  <c r="K144" i="4" s="1"/>
  <c r="K148" i="4" s="1"/>
  <c r="J147" i="4"/>
  <c r="J166" i="4" s="1"/>
  <c r="N3" i="4"/>
  <c r="N13" i="4" s="1"/>
  <c r="M4" i="4"/>
  <c r="L39" i="4"/>
  <c r="L82" i="4"/>
  <c r="L80" i="4"/>
  <c r="L100" i="4"/>
  <c r="K132" i="4"/>
  <c r="K35" i="4"/>
  <c r="L10" i="4"/>
  <c r="L106" i="4"/>
  <c r="L95" i="4"/>
  <c r="L21" i="4" s="1"/>
  <c r="K96" i="4"/>
  <c r="L93" i="4" s="1"/>
  <c r="L94" i="4"/>
  <c r="K31" i="4"/>
  <c r="L5" i="4"/>
  <c r="K157" i="4"/>
  <c r="J84" i="4"/>
  <c r="J159" i="4"/>
  <c r="K121" i="4"/>
  <c r="K107" i="4"/>
  <c r="L116" i="4"/>
  <c r="L114" i="4"/>
  <c r="K115" i="4"/>
  <c r="K117" i="4"/>
  <c r="L113" i="4" s="1"/>
  <c r="K83" i="4"/>
  <c r="K160" i="4" s="1"/>
  <c r="L51" i="4"/>
  <c r="L53" i="4"/>
  <c r="L50" i="4"/>
  <c r="L56" i="4"/>
  <c r="L55" i="4"/>
  <c r="L52" i="4"/>
  <c r="L54" i="4"/>
  <c r="L32" i="4"/>
  <c r="L36" i="4"/>
  <c r="L42" i="4"/>
  <c r="L46" i="4" s="1"/>
  <c r="L40" i="4"/>
  <c r="L41" i="4"/>
  <c r="L45" i="4" s="1"/>
  <c r="K81" i="4"/>
  <c r="K159" i="4" s="1"/>
  <c r="M6" i="4"/>
  <c r="L9" i="4"/>
  <c r="M60" i="4" l="1"/>
  <c r="M149" i="4"/>
  <c r="M167" i="4" s="1"/>
  <c r="M65" i="4"/>
  <c r="M66" i="4"/>
  <c r="L165" i="4"/>
  <c r="M134" i="4"/>
  <c r="M126" i="4"/>
  <c r="M146" i="4"/>
  <c r="M145" i="4"/>
  <c r="K150" i="4"/>
  <c r="L144" i="4" s="1"/>
  <c r="L148" i="4" s="1"/>
  <c r="K147" i="4"/>
  <c r="N4" i="4"/>
  <c r="O3" i="4"/>
  <c r="O13" i="4" s="1"/>
  <c r="M39" i="4"/>
  <c r="M82" i="4"/>
  <c r="M158" i="4" s="1"/>
  <c r="M80" i="4"/>
  <c r="M100" i="4"/>
  <c r="L132" i="4"/>
  <c r="L35" i="4"/>
  <c r="M10" i="4"/>
  <c r="M106" i="4"/>
  <c r="M95" i="4"/>
  <c r="M21" i="4" s="1"/>
  <c r="L96" i="4"/>
  <c r="M93" i="4" s="1"/>
  <c r="M94" i="4"/>
  <c r="L31" i="4"/>
  <c r="M5" i="4"/>
  <c r="L157" i="4"/>
  <c r="L83" i="4"/>
  <c r="L160" i="4" s="1"/>
  <c r="L158" i="4"/>
  <c r="K84" i="4"/>
  <c r="L115" i="4"/>
  <c r="L117" i="4"/>
  <c r="M113" i="4" s="1"/>
  <c r="L121" i="4"/>
  <c r="L107" i="4"/>
  <c r="M116" i="4"/>
  <c r="M114" i="4"/>
  <c r="L81" i="4"/>
  <c r="L159" i="4" s="1"/>
  <c r="M52" i="4"/>
  <c r="M50" i="4"/>
  <c r="M53" i="4"/>
  <c r="M54" i="4"/>
  <c r="M51" i="4"/>
  <c r="M55" i="4"/>
  <c r="M41" i="4"/>
  <c r="M45" i="4" s="1"/>
  <c r="M56" i="4"/>
  <c r="M40" i="4"/>
  <c r="M32" i="4"/>
  <c r="M42" i="4"/>
  <c r="M46" i="4" s="1"/>
  <c r="M36" i="4"/>
  <c r="N6" i="4"/>
  <c r="M9" i="4"/>
  <c r="N60" i="4" l="1"/>
  <c r="N149" i="4"/>
  <c r="N167" i="4" s="1"/>
  <c r="N65" i="4"/>
  <c r="N66" i="4"/>
  <c r="K166" i="4"/>
  <c r="N134" i="4"/>
  <c r="N126" i="4"/>
  <c r="M165" i="4"/>
  <c r="N146" i="4"/>
  <c r="N145" i="4"/>
  <c r="L150" i="4"/>
  <c r="M144" i="4" s="1"/>
  <c r="M148" i="4" s="1"/>
  <c r="L147" i="4"/>
  <c r="O4" i="4"/>
  <c r="P3" i="4"/>
  <c r="P13" i="4" s="1"/>
  <c r="N39" i="4"/>
  <c r="N82" i="4"/>
  <c r="N80" i="4"/>
  <c r="N100" i="4"/>
  <c r="M35" i="4"/>
  <c r="M132" i="4"/>
  <c r="M31" i="4"/>
  <c r="N10" i="4"/>
  <c r="N106" i="4"/>
  <c r="N95" i="4"/>
  <c r="N21" i="4" s="1"/>
  <c r="M96" i="4"/>
  <c r="N93" i="4" s="1"/>
  <c r="N94" i="4"/>
  <c r="N5" i="4"/>
  <c r="M157" i="4"/>
  <c r="L84" i="4"/>
  <c r="M121" i="4"/>
  <c r="M107" i="4"/>
  <c r="N116" i="4"/>
  <c r="N114" i="4"/>
  <c r="M117" i="4"/>
  <c r="N113" i="4" s="1"/>
  <c r="M115" i="4"/>
  <c r="M81" i="4"/>
  <c r="M159" i="4" s="1"/>
  <c r="M83" i="4"/>
  <c r="M160" i="4" s="1"/>
  <c r="N50" i="4"/>
  <c r="N54" i="4"/>
  <c r="N52" i="4"/>
  <c r="N51" i="4"/>
  <c r="N42" i="4"/>
  <c r="N46" i="4" s="1"/>
  <c r="N53" i="4"/>
  <c r="N55" i="4"/>
  <c r="N40" i="4"/>
  <c r="N41" i="4"/>
  <c r="N45" i="4" s="1"/>
  <c r="N56" i="4"/>
  <c r="N36" i="4"/>
  <c r="N32" i="4"/>
  <c r="O6" i="4"/>
  <c r="N9" i="4"/>
  <c r="N165" i="4" l="1"/>
  <c r="O60" i="4"/>
  <c r="O149" i="4"/>
  <c r="O167" i="4" s="1"/>
  <c r="O65" i="4"/>
  <c r="O66" i="4"/>
  <c r="L166" i="4"/>
  <c r="Q3" i="4"/>
  <c r="Q13" i="4" s="1"/>
  <c r="O134" i="4"/>
  <c r="O126" i="4"/>
  <c r="O145" i="4"/>
  <c r="O146" i="4"/>
  <c r="M150" i="4"/>
  <c r="N144" i="4" s="1"/>
  <c r="N148" i="4" s="1"/>
  <c r="M147" i="4"/>
  <c r="P4" i="4"/>
  <c r="N35" i="4"/>
  <c r="O39" i="4"/>
  <c r="O82" i="4"/>
  <c r="O80" i="4"/>
  <c r="O100" i="4"/>
  <c r="N132" i="4"/>
  <c r="N31" i="4"/>
  <c r="O10" i="4"/>
  <c r="O106" i="4"/>
  <c r="O95" i="4"/>
  <c r="O21" i="4" s="1"/>
  <c r="N96" i="4"/>
  <c r="O93" i="4" s="1"/>
  <c r="O94" i="4"/>
  <c r="O5" i="4"/>
  <c r="N157" i="4"/>
  <c r="N83" i="4"/>
  <c r="N160" i="4" s="1"/>
  <c r="N158" i="4"/>
  <c r="M84" i="4"/>
  <c r="N117" i="4"/>
  <c r="O113" i="4" s="1"/>
  <c r="N115" i="4"/>
  <c r="O114" i="4"/>
  <c r="O116" i="4"/>
  <c r="N107" i="4"/>
  <c r="N121" i="4"/>
  <c r="O52" i="4"/>
  <c r="O56" i="4"/>
  <c r="O50" i="4"/>
  <c r="O51" i="4"/>
  <c r="O53" i="4"/>
  <c r="O55" i="4"/>
  <c r="O54" i="4"/>
  <c r="O41" i="4"/>
  <c r="O45" i="4" s="1"/>
  <c r="O40" i="4"/>
  <c r="O36" i="4"/>
  <c r="O42" i="4"/>
  <c r="O46" i="4" s="1"/>
  <c r="O32" i="4"/>
  <c r="N81" i="4"/>
  <c r="P6" i="4"/>
  <c r="O9" i="4"/>
  <c r="P60" i="4" l="1"/>
  <c r="P149" i="4"/>
  <c r="P167" i="4" s="1"/>
  <c r="P65" i="4"/>
  <c r="P66" i="4"/>
  <c r="O165" i="4"/>
  <c r="M166" i="4"/>
  <c r="P126" i="4"/>
  <c r="P134" i="4"/>
  <c r="Q4" i="4"/>
  <c r="R3" i="4"/>
  <c r="R4" i="4" s="1"/>
  <c r="P145" i="4"/>
  <c r="P146" i="4"/>
  <c r="N147" i="4"/>
  <c r="N150" i="4"/>
  <c r="O144" i="4" s="1"/>
  <c r="O148" i="4" s="1"/>
  <c r="O35" i="4"/>
  <c r="P39" i="4"/>
  <c r="P82" i="4"/>
  <c r="P80" i="4"/>
  <c r="O31" i="4"/>
  <c r="P100" i="4"/>
  <c r="O132" i="4"/>
  <c r="P10" i="4"/>
  <c r="P106" i="4"/>
  <c r="P95" i="4"/>
  <c r="P21" i="4" s="1"/>
  <c r="O96" i="4"/>
  <c r="P93" i="4" s="1"/>
  <c r="P94" i="4"/>
  <c r="P5" i="4"/>
  <c r="O157" i="4"/>
  <c r="O83" i="4"/>
  <c r="O160" i="4" s="1"/>
  <c r="O158" i="4"/>
  <c r="N84" i="4"/>
  <c r="N159" i="4"/>
  <c r="O107" i="4"/>
  <c r="O121" i="4"/>
  <c r="P114" i="4"/>
  <c r="P116" i="4"/>
  <c r="O117" i="4"/>
  <c r="P113" i="4" s="1"/>
  <c r="O115" i="4"/>
  <c r="O81" i="4"/>
  <c r="P53" i="4"/>
  <c r="P51" i="4"/>
  <c r="P54" i="4"/>
  <c r="P52" i="4"/>
  <c r="P50" i="4"/>
  <c r="P56" i="4"/>
  <c r="P41" i="4"/>
  <c r="P45" i="4" s="1"/>
  <c r="P55" i="4"/>
  <c r="P32" i="4"/>
  <c r="P36" i="4"/>
  <c r="P42" i="4"/>
  <c r="P46" i="4" s="1"/>
  <c r="P40" i="4"/>
  <c r="Q6" i="4"/>
  <c r="P9" i="4"/>
  <c r="S3" i="4"/>
  <c r="Q60" i="4" l="1"/>
  <c r="Q149" i="4"/>
  <c r="Q167" i="4" s="1"/>
  <c r="Q65" i="4"/>
  <c r="Q66" i="4"/>
  <c r="P35" i="4"/>
  <c r="P165" i="4"/>
  <c r="N166" i="4"/>
  <c r="Q126" i="4"/>
  <c r="Q134" i="4"/>
  <c r="Q146" i="4"/>
  <c r="Q145" i="4"/>
  <c r="O150" i="4"/>
  <c r="P144" i="4" s="1"/>
  <c r="P148" i="4" s="1"/>
  <c r="O147" i="4"/>
  <c r="Q39" i="4"/>
  <c r="Q82" i="4"/>
  <c r="Q80" i="4"/>
  <c r="P31" i="4"/>
  <c r="Q100" i="4"/>
  <c r="P132" i="4"/>
  <c r="Q10" i="4"/>
  <c r="Q106" i="4"/>
  <c r="P96" i="4"/>
  <c r="Q93" i="4" s="1"/>
  <c r="Q95" i="4"/>
  <c r="Q21" i="4" s="1"/>
  <c r="Q94" i="4"/>
  <c r="Q5" i="4"/>
  <c r="P157" i="4"/>
  <c r="O84" i="4"/>
  <c r="O159" i="4"/>
  <c r="P83" i="4"/>
  <c r="P160" i="4" s="1"/>
  <c r="P158" i="4"/>
  <c r="P117" i="4"/>
  <c r="Q113" i="4" s="1"/>
  <c r="P115" i="4"/>
  <c r="P121" i="4"/>
  <c r="P107" i="4"/>
  <c r="Q114" i="4"/>
  <c r="Q116" i="4"/>
  <c r="Q55" i="4"/>
  <c r="Q54" i="4"/>
  <c r="Q52" i="4"/>
  <c r="Q56" i="4"/>
  <c r="Q50" i="4"/>
  <c r="Q51" i="4"/>
  <c r="Q53" i="4"/>
  <c r="Q42" i="4"/>
  <c r="Q46" i="4" s="1"/>
  <c r="Q41" i="4"/>
  <c r="Q45" i="4" s="1"/>
  <c r="Q36" i="4"/>
  <c r="Q32" i="4"/>
  <c r="Q40" i="4"/>
  <c r="P81" i="4"/>
  <c r="R6" i="4"/>
  <c r="Q9" i="4"/>
  <c r="T3" i="4"/>
  <c r="S4" i="4"/>
  <c r="R60" i="4" l="1"/>
  <c r="R149" i="4"/>
  <c r="R167" i="4" s="1"/>
  <c r="R65" i="4"/>
  <c r="R66" i="4"/>
  <c r="Q35" i="4"/>
  <c r="O166" i="4"/>
  <c r="Q165" i="4"/>
  <c r="R126" i="4"/>
  <c r="R134" i="4"/>
  <c r="Q31" i="4"/>
  <c r="R146" i="4"/>
  <c r="R145" i="4"/>
  <c r="P147" i="4"/>
  <c r="P150" i="4"/>
  <c r="Q144" i="4" s="1"/>
  <c r="Q148" i="4" s="1"/>
  <c r="R39" i="4"/>
  <c r="R80" i="4"/>
  <c r="R82" i="4"/>
  <c r="R100" i="4"/>
  <c r="Q132" i="4"/>
  <c r="Q96" i="4"/>
  <c r="R93" i="4" s="1"/>
  <c r="R5" i="4"/>
  <c r="Q157" i="4"/>
  <c r="P84" i="4"/>
  <c r="P159" i="4"/>
  <c r="Q83" i="4"/>
  <c r="Q160" i="4" s="1"/>
  <c r="Q158" i="4"/>
  <c r="Q121" i="4"/>
  <c r="Q107" i="4"/>
  <c r="R114" i="4"/>
  <c r="Q117" i="4"/>
  <c r="R113" i="4" s="1"/>
  <c r="Q115" i="4"/>
  <c r="Q81" i="4"/>
  <c r="R52" i="4"/>
  <c r="R50" i="4"/>
  <c r="R54" i="4"/>
  <c r="R51" i="4"/>
  <c r="R55" i="4"/>
  <c r="R56" i="4"/>
  <c r="R41" i="4"/>
  <c r="R45" i="4" s="1"/>
  <c r="R53" i="4"/>
  <c r="R40" i="4"/>
  <c r="R36" i="4"/>
  <c r="R42" i="4"/>
  <c r="R46" i="4" s="1"/>
  <c r="R32" i="4"/>
  <c r="S6" i="4"/>
  <c r="R9" i="4"/>
  <c r="U3" i="4"/>
  <c r="T4" i="4"/>
  <c r="R35" i="4" l="1"/>
  <c r="S60" i="4"/>
  <c r="R31" i="4"/>
  <c r="S149" i="4"/>
  <c r="S167" i="4" s="1"/>
  <c r="S65" i="4"/>
  <c r="S66" i="4"/>
  <c r="R165" i="4"/>
  <c r="P166" i="4"/>
  <c r="S134" i="4"/>
  <c r="S126" i="4"/>
  <c r="S146" i="4"/>
  <c r="S145" i="4"/>
  <c r="Q147" i="4"/>
  <c r="Q150" i="4"/>
  <c r="R144" i="4" s="1"/>
  <c r="R148" i="4" s="1"/>
  <c r="S39" i="4"/>
  <c r="S82" i="4"/>
  <c r="S80" i="4"/>
  <c r="S100" i="4"/>
  <c r="S10" i="4"/>
  <c r="S106" i="4"/>
  <c r="S94" i="4"/>
  <c r="S5" i="4"/>
  <c r="R157" i="4"/>
  <c r="Q84" i="4"/>
  <c r="Q159" i="4"/>
  <c r="R83" i="4"/>
  <c r="R160" i="4" s="1"/>
  <c r="R158" i="4"/>
  <c r="R115" i="4"/>
  <c r="R116" i="4"/>
  <c r="S114" i="4"/>
  <c r="S116" i="4"/>
  <c r="S50" i="4"/>
  <c r="S51" i="4"/>
  <c r="S54" i="4"/>
  <c r="S55" i="4"/>
  <c r="S53" i="4"/>
  <c r="S40" i="4"/>
  <c r="S52" i="4"/>
  <c r="S56" i="4"/>
  <c r="S41" i="4"/>
  <c r="S45" i="4" s="1"/>
  <c r="S42" i="4"/>
  <c r="S46" i="4" s="1"/>
  <c r="S36" i="4"/>
  <c r="S35" i="4" s="1"/>
  <c r="S32" i="4"/>
  <c r="R81" i="4"/>
  <c r="T6" i="4"/>
  <c r="S9" i="4"/>
  <c r="V3" i="4"/>
  <c r="U4" i="4"/>
  <c r="T60" i="4" l="1"/>
  <c r="S31" i="4"/>
  <c r="T149" i="4"/>
  <c r="T167" i="4" s="1"/>
  <c r="T66" i="4"/>
  <c r="T65" i="4"/>
  <c r="S165" i="4"/>
  <c r="Q166" i="4"/>
  <c r="T126" i="4"/>
  <c r="T134" i="4"/>
  <c r="T146" i="4"/>
  <c r="T145" i="4"/>
  <c r="R150" i="4"/>
  <c r="S144" i="4" s="1"/>
  <c r="S148" i="4" s="1"/>
  <c r="R147" i="4"/>
  <c r="R166" i="4" s="1"/>
  <c r="T39" i="4"/>
  <c r="T82" i="4"/>
  <c r="T80" i="4"/>
  <c r="T100" i="4"/>
  <c r="T10" i="4"/>
  <c r="T106" i="4"/>
  <c r="T94" i="4"/>
  <c r="T5" i="4"/>
  <c r="S157" i="4"/>
  <c r="S83" i="4"/>
  <c r="S160" i="4" s="1"/>
  <c r="S158" i="4"/>
  <c r="R84" i="4"/>
  <c r="R159" i="4"/>
  <c r="T114" i="4"/>
  <c r="T116" i="4"/>
  <c r="S121" i="4"/>
  <c r="S107" i="4"/>
  <c r="R121" i="4"/>
  <c r="R107" i="4"/>
  <c r="R117" i="4"/>
  <c r="S113" i="4" s="1"/>
  <c r="S81" i="4"/>
  <c r="T51" i="4"/>
  <c r="T53" i="4"/>
  <c r="T52" i="4"/>
  <c r="T55" i="4"/>
  <c r="T50" i="4"/>
  <c r="T56" i="4"/>
  <c r="T32" i="4"/>
  <c r="T31" i="4" s="1"/>
  <c r="T54" i="4"/>
  <c r="T42" i="4"/>
  <c r="T46" i="4" s="1"/>
  <c r="T36" i="4"/>
  <c r="T35" i="4" s="1"/>
  <c r="T41" i="4"/>
  <c r="T45" i="4" s="1"/>
  <c r="T40" i="4"/>
  <c r="U6" i="4"/>
  <c r="T9" i="4"/>
  <c r="W3" i="4"/>
  <c r="V4" i="4"/>
  <c r="U60" i="4" l="1"/>
  <c r="U149" i="4"/>
  <c r="U167" i="4" s="1"/>
  <c r="U65" i="4"/>
  <c r="U66" i="4"/>
  <c r="T165" i="4"/>
  <c r="U126" i="4"/>
  <c r="U134" i="4"/>
  <c r="S150" i="4"/>
  <c r="T144" i="4" s="1"/>
  <c r="T148" i="4" s="1"/>
  <c r="S147" i="4"/>
  <c r="S166" i="4" s="1"/>
  <c r="U39" i="4"/>
  <c r="U82" i="4"/>
  <c r="U80" i="4"/>
  <c r="U100" i="4"/>
  <c r="U10" i="4"/>
  <c r="U106" i="4"/>
  <c r="U94" i="4"/>
  <c r="U5" i="4"/>
  <c r="T157" i="4"/>
  <c r="T83" i="4"/>
  <c r="T160" i="4" s="1"/>
  <c r="T158" i="4"/>
  <c r="S84" i="4"/>
  <c r="S159" i="4"/>
  <c r="S115" i="4"/>
  <c r="S117" i="4"/>
  <c r="T113" i="4" s="1"/>
  <c r="T121" i="4"/>
  <c r="T107" i="4"/>
  <c r="U116" i="4"/>
  <c r="U114" i="4"/>
  <c r="T81" i="4"/>
  <c r="U53" i="4"/>
  <c r="U51" i="4"/>
  <c r="U54" i="4"/>
  <c r="U50" i="4"/>
  <c r="U52" i="4"/>
  <c r="U32" i="4"/>
  <c r="U31" i="4" s="1"/>
  <c r="U56" i="4"/>
  <c r="U55" i="4"/>
  <c r="U41" i="4"/>
  <c r="U45" i="4" s="1"/>
  <c r="U40" i="4"/>
  <c r="U36" i="4"/>
  <c r="U35" i="4" s="1"/>
  <c r="U42" i="4"/>
  <c r="U46" i="4" s="1"/>
  <c r="V6" i="4"/>
  <c r="U9" i="4"/>
  <c r="X3" i="4"/>
  <c r="W4" i="4"/>
  <c r="V60" i="4" l="1"/>
  <c r="V149" i="4"/>
  <c r="V167" i="4" s="1"/>
  <c r="V65" i="4"/>
  <c r="V66" i="4"/>
  <c r="V134" i="4"/>
  <c r="V126" i="4"/>
  <c r="T147" i="4"/>
  <c r="T150" i="4"/>
  <c r="U144" i="4" s="1"/>
  <c r="U148" i="4" s="1"/>
  <c r="V39" i="4"/>
  <c r="V82" i="4"/>
  <c r="V80" i="4"/>
  <c r="V100" i="4"/>
  <c r="V10" i="4"/>
  <c r="V106" i="4"/>
  <c r="V94" i="4"/>
  <c r="V5" i="4"/>
  <c r="U157" i="4"/>
  <c r="T84" i="4"/>
  <c r="T159" i="4"/>
  <c r="U83" i="4"/>
  <c r="U160" i="4" s="1"/>
  <c r="U158" i="4"/>
  <c r="V116" i="4"/>
  <c r="V114" i="4"/>
  <c r="U121" i="4"/>
  <c r="U107" i="4"/>
  <c r="T115" i="4"/>
  <c r="T117" i="4"/>
  <c r="U113" i="4" s="1"/>
  <c r="U81" i="4"/>
  <c r="V50" i="4"/>
  <c r="V54" i="4"/>
  <c r="V52" i="4"/>
  <c r="V53" i="4"/>
  <c r="V51" i="4"/>
  <c r="V56" i="4"/>
  <c r="V42" i="4"/>
  <c r="V46" i="4" s="1"/>
  <c r="V40" i="4"/>
  <c r="V32" i="4"/>
  <c r="V31" i="4" s="1"/>
  <c r="V41" i="4"/>
  <c r="V45" i="4" s="1"/>
  <c r="V55" i="4"/>
  <c r="V36" i="4"/>
  <c r="V35" i="4" s="1"/>
  <c r="W6" i="4"/>
  <c r="V9" i="4"/>
  <c r="Y3" i="4"/>
  <c r="X4" i="4"/>
  <c r="W60" i="4" l="1"/>
  <c r="W149" i="4"/>
  <c r="W167" i="4" s="1"/>
  <c r="W65" i="4"/>
  <c r="W66" i="4"/>
  <c r="T166" i="4"/>
  <c r="U147" i="4"/>
  <c r="U150" i="4"/>
  <c r="V144" i="4" s="1"/>
  <c r="V148" i="4" s="1"/>
  <c r="W134" i="4"/>
  <c r="W126" i="4"/>
  <c r="W39" i="4"/>
  <c r="W82" i="4"/>
  <c r="W80" i="4"/>
  <c r="W100" i="4"/>
  <c r="W10" i="4"/>
  <c r="W106" i="4"/>
  <c r="W94" i="4"/>
  <c r="W5" i="4"/>
  <c r="V157" i="4"/>
  <c r="U84" i="4"/>
  <c r="U159" i="4"/>
  <c r="V83" i="4"/>
  <c r="V160" i="4" s="1"/>
  <c r="V158" i="4"/>
  <c r="U115" i="4"/>
  <c r="U117" i="4"/>
  <c r="V113" i="4" s="1"/>
  <c r="W114" i="4"/>
  <c r="W116" i="4"/>
  <c r="V107" i="4"/>
  <c r="V121" i="4"/>
  <c r="W50" i="4"/>
  <c r="W56" i="4"/>
  <c r="W53" i="4"/>
  <c r="W55" i="4"/>
  <c r="W54" i="4"/>
  <c r="W51" i="4"/>
  <c r="W52" i="4"/>
  <c r="W36" i="4"/>
  <c r="W35" i="4" s="1"/>
  <c r="W32" i="4"/>
  <c r="W31" i="4" s="1"/>
  <c r="W41" i="4"/>
  <c r="W45" i="4" s="1"/>
  <c r="W40" i="4"/>
  <c r="W42" i="4"/>
  <c r="W46" i="4" s="1"/>
  <c r="V81" i="4"/>
  <c r="V159" i="4" s="1"/>
  <c r="X6" i="4"/>
  <c r="W9" i="4"/>
  <c r="Z3" i="4"/>
  <c r="Y4" i="4"/>
  <c r="X60" i="4" l="1"/>
  <c r="X149" i="4"/>
  <c r="X167" i="4" s="1"/>
  <c r="X65" i="4"/>
  <c r="X66" i="4"/>
  <c r="U166" i="4"/>
  <c r="V147" i="4"/>
  <c r="V150" i="4"/>
  <c r="W144" i="4" s="1"/>
  <c r="W148" i="4" s="1"/>
  <c r="X134" i="4"/>
  <c r="X126" i="4"/>
  <c r="X39" i="4"/>
  <c r="X80" i="4"/>
  <c r="X82" i="4"/>
  <c r="X100" i="4"/>
  <c r="X94" i="4"/>
  <c r="X5" i="4"/>
  <c r="W157" i="4"/>
  <c r="V84" i="4"/>
  <c r="W83" i="4"/>
  <c r="W160" i="4" s="1"/>
  <c r="W158" i="4"/>
  <c r="W107" i="4"/>
  <c r="W121" i="4"/>
  <c r="X114" i="4"/>
  <c r="X116" i="4"/>
  <c r="V115" i="4"/>
  <c r="V117" i="4"/>
  <c r="W113" i="4" s="1"/>
  <c r="X53" i="4"/>
  <c r="X51" i="4"/>
  <c r="X52" i="4"/>
  <c r="X50" i="4"/>
  <c r="X41" i="4"/>
  <c r="X45" i="4" s="1"/>
  <c r="X55" i="4"/>
  <c r="X54" i="4"/>
  <c r="X40" i="4"/>
  <c r="X56" i="4"/>
  <c r="X42" i="4"/>
  <c r="X46" i="4" s="1"/>
  <c r="X32" i="4"/>
  <c r="X31" i="4" s="1"/>
  <c r="X36" i="4"/>
  <c r="X35" i="4" s="1"/>
  <c r="W81" i="4"/>
  <c r="Y6" i="4"/>
  <c r="X9" i="4"/>
  <c r="AA3" i="4"/>
  <c r="Z4" i="4"/>
  <c r="Y60" i="4" l="1"/>
  <c r="Y149" i="4"/>
  <c r="Y167" i="4" s="1"/>
  <c r="Y65" i="4"/>
  <c r="Y66" i="4"/>
  <c r="V166" i="4"/>
  <c r="W150" i="4"/>
  <c r="X144" i="4" s="1"/>
  <c r="X148" i="4" s="1"/>
  <c r="W147" i="4"/>
  <c r="Y134" i="4"/>
  <c r="Y126" i="4"/>
  <c r="Y39" i="4"/>
  <c r="Y82" i="4"/>
  <c r="Y80" i="4"/>
  <c r="Y100" i="4"/>
  <c r="Y10" i="4"/>
  <c r="Y106" i="4"/>
  <c r="Y94" i="4"/>
  <c r="Y5" i="4"/>
  <c r="X157" i="4"/>
  <c r="W84" i="4"/>
  <c r="W159" i="4"/>
  <c r="X83" i="4"/>
  <c r="X160" i="4" s="1"/>
  <c r="X158" i="4"/>
  <c r="W115" i="4"/>
  <c r="W117" i="4"/>
  <c r="X113" i="4" s="1"/>
  <c r="X121" i="4"/>
  <c r="X107" i="4"/>
  <c r="Y114" i="4"/>
  <c r="Y116" i="4"/>
  <c r="Y51" i="4"/>
  <c r="Y52" i="4"/>
  <c r="Y55" i="4"/>
  <c r="Y50" i="4"/>
  <c r="Y56" i="4"/>
  <c r="Y54" i="4"/>
  <c r="Y42" i="4"/>
  <c r="Y46" i="4" s="1"/>
  <c r="Y53" i="4"/>
  <c r="Y41" i="4"/>
  <c r="Y45" i="4" s="1"/>
  <c r="Y40" i="4"/>
  <c r="Y32" i="4"/>
  <c r="Y31" i="4" s="1"/>
  <c r="Y36" i="4"/>
  <c r="Y35" i="4" s="1"/>
  <c r="X81" i="4"/>
  <c r="Z6" i="4"/>
  <c r="Y9" i="4"/>
  <c r="AB3" i="4"/>
  <c r="AA4" i="4"/>
  <c r="Z60" i="4" l="1"/>
  <c r="Z149" i="4"/>
  <c r="Z167" i="4" s="1"/>
  <c r="Z65" i="4"/>
  <c r="Z66" i="4"/>
  <c r="W166" i="4"/>
  <c r="X150" i="4"/>
  <c r="Y144" i="4" s="1"/>
  <c r="Y148" i="4" s="1"/>
  <c r="X147" i="4"/>
  <c r="X166" i="4" s="1"/>
  <c r="Z126" i="4"/>
  <c r="Z134" i="4"/>
  <c r="Z39" i="4"/>
  <c r="Z80" i="4"/>
  <c r="Z82" i="4"/>
  <c r="Z100" i="4"/>
  <c r="Z94" i="4"/>
  <c r="Z5" i="4"/>
  <c r="Y157" i="4"/>
  <c r="Y83" i="4"/>
  <c r="Y160" i="4" s="1"/>
  <c r="Y158" i="4"/>
  <c r="X84" i="4"/>
  <c r="X159" i="4"/>
  <c r="Y121" i="4"/>
  <c r="Y107" i="4"/>
  <c r="X115" i="4"/>
  <c r="X117" i="4"/>
  <c r="Y113" i="4" s="1"/>
  <c r="Z114" i="4"/>
  <c r="Y81" i="4"/>
  <c r="Z52" i="4"/>
  <c r="Z50" i="4"/>
  <c r="Z54" i="4"/>
  <c r="Z55" i="4"/>
  <c r="Z41" i="4"/>
  <c r="Z45" i="4" s="1"/>
  <c r="Z53" i="4"/>
  <c r="Z56" i="4"/>
  <c r="Z36" i="4"/>
  <c r="Z35" i="4" s="1"/>
  <c r="Z40" i="4"/>
  <c r="Z32" i="4"/>
  <c r="Z31" i="4" s="1"/>
  <c r="Z51" i="4"/>
  <c r="Z42" i="4"/>
  <c r="Z46" i="4" s="1"/>
  <c r="AA6" i="4"/>
  <c r="Z9" i="4"/>
  <c r="AC3" i="4"/>
  <c r="AB4" i="4"/>
  <c r="AA60" i="4" l="1"/>
  <c r="AA149" i="4"/>
  <c r="AA167" i="4" s="1"/>
  <c r="AA65" i="4"/>
  <c r="AA66" i="4"/>
  <c r="Y147" i="4"/>
  <c r="Y150" i="4"/>
  <c r="Z144" i="4" s="1"/>
  <c r="Z148" i="4" s="1"/>
  <c r="AA134" i="4"/>
  <c r="AA126" i="4"/>
  <c r="AA39" i="4"/>
  <c r="AA82" i="4"/>
  <c r="AA80" i="4"/>
  <c r="AA100" i="4"/>
  <c r="AA10" i="4"/>
  <c r="AA106" i="4"/>
  <c r="AA94" i="4"/>
  <c r="AA5" i="4"/>
  <c r="Z157" i="4"/>
  <c r="Y84" i="4"/>
  <c r="Y159" i="4"/>
  <c r="Z83" i="4"/>
  <c r="Z160" i="4" s="1"/>
  <c r="Z158" i="4"/>
  <c r="Y117" i="4"/>
  <c r="Z113" i="4" s="1"/>
  <c r="Z116" i="4" s="1"/>
  <c r="Z121" i="4" s="1"/>
  <c r="Y115" i="4"/>
  <c r="AA114" i="4"/>
  <c r="AA116" i="4"/>
  <c r="AA54" i="4"/>
  <c r="AA52" i="4"/>
  <c r="AA50" i="4"/>
  <c r="AA55" i="4"/>
  <c r="AA51" i="4"/>
  <c r="AA53" i="4"/>
  <c r="AA56" i="4"/>
  <c r="AA40" i="4"/>
  <c r="AA41" i="4"/>
  <c r="AA45" i="4" s="1"/>
  <c r="AA36" i="4"/>
  <c r="AA35" i="4" s="1"/>
  <c r="AA42" i="4"/>
  <c r="AA46" i="4" s="1"/>
  <c r="AA32" i="4"/>
  <c r="AA31" i="4" s="1"/>
  <c r="Z81" i="4"/>
  <c r="AB6" i="4"/>
  <c r="AA9" i="4"/>
  <c r="AD3" i="4"/>
  <c r="AC4" i="4"/>
  <c r="Z107" i="4" l="1"/>
  <c r="AB60" i="4"/>
  <c r="AB149" i="4"/>
  <c r="AB167" i="4" s="1"/>
  <c r="AB65" i="4"/>
  <c r="AB66" i="4"/>
  <c r="Y166" i="4"/>
  <c r="Z150" i="4"/>
  <c r="AA144" i="4" s="1"/>
  <c r="AA148" i="4" s="1"/>
  <c r="Z147" i="4"/>
  <c r="AB134" i="4"/>
  <c r="AB126" i="4"/>
  <c r="AB39" i="4"/>
  <c r="AB82" i="4"/>
  <c r="AB80" i="4"/>
  <c r="AB100" i="4"/>
  <c r="AB10" i="4"/>
  <c r="AB106" i="4"/>
  <c r="AB94" i="4"/>
  <c r="AB5" i="4"/>
  <c r="AA157" i="4"/>
  <c r="Z84" i="4"/>
  <c r="Z159" i="4"/>
  <c r="AA83" i="4"/>
  <c r="AA160" i="4" s="1"/>
  <c r="AA158" i="4"/>
  <c r="AA121" i="4"/>
  <c r="AA107" i="4"/>
  <c r="Z115" i="4"/>
  <c r="Z117" i="4"/>
  <c r="AA113" i="4" s="1"/>
  <c r="AB116" i="4"/>
  <c r="AB114" i="4"/>
  <c r="AB51" i="4"/>
  <c r="AB53" i="4"/>
  <c r="AB54" i="4"/>
  <c r="AB52" i="4"/>
  <c r="AB56" i="4"/>
  <c r="AB55" i="4"/>
  <c r="AB41" i="4"/>
  <c r="AB45" i="4" s="1"/>
  <c r="AB32" i="4"/>
  <c r="AB31" i="4" s="1"/>
  <c r="AB50" i="4"/>
  <c r="AB36" i="4"/>
  <c r="AB35" i="4" s="1"/>
  <c r="AB42" i="4"/>
  <c r="AB46" i="4" s="1"/>
  <c r="AB40" i="4"/>
  <c r="AA81" i="4"/>
  <c r="AC6" i="4"/>
  <c r="AB9" i="4"/>
  <c r="AE3" i="4"/>
  <c r="AD4" i="4"/>
  <c r="AC60" i="4" l="1"/>
  <c r="AC149" i="4"/>
  <c r="AC167" i="4" s="1"/>
  <c r="AC65" i="4"/>
  <c r="AC66" i="4"/>
  <c r="AA147" i="4"/>
  <c r="AA150" i="4"/>
  <c r="AB144" i="4" s="1"/>
  <c r="AB148" i="4" s="1"/>
  <c r="Z166" i="4"/>
  <c r="AC134" i="4"/>
  <c r="AC126" i="4"/>
  <c r="AC39" i="4"/>
  <c r="AC82" i="4"/>
  <c r="AC80" i="4"/>
  <c r="AC100" i="4"/>
  <c r="AC10" i="4"/>
  <c r="AC106" i="4"/>
  <c r="AC94" i="4"/>
  <c r="AC5" i="4"/>
  <c r="AB157" i="4"/>
  <c r="AB83" i="4"/>
  <c r="AB160" i="4" s="1"/>
  <c r="AB158" i="4"/>
  <c r="AA84" i="4"/>
  <c r="AA159" i="4"/>
  <c r="AB121" i="4"/>
  <c r="AB107" i="4"/>
  <c r="AC116" i="4"/>
  <c r="AC114" i="4"/>
  <c r="AA115" i="4"/>
  <c r="AA117" i="4"/>
  <c r="AB113" i="4" s="1"/>
  <c r="AC50" i="4"/>
  <c r="AC51" i="4"/>
  <c r="AC54" i="4"/>
  <c r="AC52" i="4"/>
  <c r="AC53" i="4"/>
  <c r="AC56" i="4"/>
  <c r="AC55" i="4"/>
  <c r="AC42" i="4"/>
  <c r="AC46" i="4" s="1"/>
  <c r="AC41" i="4"/>
  <c r="AC45" i="4" s="1"/>
  <c r="AC32" i="4"/>
  <c r="AC31" i="4" s="1"/>
  <c r="AC40" i="4"/>
  <c r="AC36" i="4"/>
  <c r="AC35" i="4" s="1"/>
  <c r="AB81" i="4"/>
  <c r="AD6" i="4"/>
  <c r="AC9" i="4"/>
  <c r="AF3" i="4"/>
  <c r="AE4" i="4"/>
  <c r="AD60" i="4" l="1"/>
  <c r="AD149" i="4"/>
  <c r="AD167" i="4" s="1"/>
  <c r="AD65" i="4"/>
  <c r="AD66" i="4"/>
  <c r="AA166" i="4"/>
  <c r="AB147" i="4"/>
  <c r="AB150" i="4"/>
  <c r="AC144" i="4" s="1"/>
  <c r="AC148" i="4" s="1"/>
  <c r="AD126" i="4"/>
  <c r="AD134" i="4"/>
  <c r="AD39" i="4"/>
  <c r="AD82" i="4"/>
  <c r="AD80" i="4"/>
  <c r="AD100" i="4"/>
  <c r="AD94" i="4"/>
  <c r="AD5" i="4"/>
  <c r="AC157" i="4"/>
  <c r="AC83" i="4"/>
  <c r="AC160" i="4" s="1"/>
  <c r="AC158" i="4"/>
  <c r="AB84" i="4"/>
  <c r="AB159" i="4"/>
  <c r="AB115" i="4"/>
  <c r="AB117" i="4"/>
  <c r="AC113" i="4" s="1"/>
  <c r="AD116" i="4"/>
  <c r="AD114" i="4"/>
  <c r="AC107" i="4"/>
  <c r="AC121" i="4"/>
  <c r="AD50" i="4"/>
  <c r="AD54" i="4"/>
  <c r="AD52" i="4"/>
  <c r="AD51" i="4"/>
  <c r="AD42" i="4"/>
  <c r="AD46" i="4" s="1"/>
  <c r="AD53" i="4"/>
  <c r="AD56" i="4"/>
  <c r="AD40" i="4"/>
  <c r="AD55" i="4"/>
  <c r="AD36" i="4"/>
  <c r="AD35" i="4" s="1"/>
  <c r="AD41" i="4"/>
  <c r="AD45" i="4" s="1"/>
  <c r="AD32" i="4"/>
  <c r="AD31" i="4" s="1"/>
  <c r="AC81" i="4"/>
  <c r="AC159" i="4" s="1"/>
  <c r="AE6" i="4"/>
  <c r="AD9" i="4"/>
  <c r="AG3" i="4"/>
  <c r="AF4" i="4"/>
  <c r="AE60" i="4" l="1"/>
  <c r="AE149" i="4"/>
  <c r="AE167" i="4" s="1"/>
  <c r="AE65" i="4"/>
  <c r="AE66" i="4"/>
  <c r="AC150" i="4"/>
  <c r="AD144" i="4" s="1"/>
  <c r="AD148" i="4" s="1"/>
  <c r="AC147" i="4"/>
  <c r="AC166" i="4" s="1"/>
  <c r="AB166" i="4"/>
  <c r="AE134" i="4"/>
  <c r="AE126" i="4"/>
  <c r="AE39" i="4"/>
  <c r="AE82" i="4"/>
  <c r="AE80" i="4"/>
  <c r="AE100" i="4"/>
  <c r="AE10" i="4"/>
  <c r="AE106" i="4"/>
  <c r="AE94" i="4"/>
  <c r="AE5" i="4"/>
  <c r="AC84" i="4"/>
  <c r="AD157" i="4"/>
  <c r="AD83" i="4"/>
  <c r="AD160" i="4" s="1"/>
  <c r="AD158" i="4"/>
  <c r="AE114" i="4"/>
  <c r="AE116" i="4"/>
  <c r="AD107" i="4"/>
  <c r="AD121" i="4"/>
  <c r="AC117" i="4"/>
  <c r="AD113" i="4" s="1"/>
  <c r="AC115" i="4"/>
  <c r="AE52" i="4"/>
  <c r="AE53" i="4"/>
  <c r="AE56" i="4"/>
  <c r="AE51" i="4"/>
  <c r="AE50" i="4"/>
  <c r="AE55" i="4"/>
  <c r="AE42" i="4"/>
  <c r="AE46" i="4" s="1"/>
  <c r="AE54" i="4"/>
  <c r="AE41" i="4"/>
  <c r="AE45" i="4" s="1"/>
  <c r="AE36" i="4"/>
  <c r="AE35" i="4" s="1"/>
  <c r="AE40" i="4"/>
  <c r="AE32" i="4"/>
  <c r="AE31" i="4" s="1"/>
  <c r="AD81" i="4"/>
  <c r="AF6" i="4"/>
  <c r="AE9" i="4"/>
  <c r="AH3" i="4"/>
  <c r="AG4" i="4"/>
  <c r="AF60" i="4" l="1"/>
  <c r="AF149" i="4"/>
  <c r="AF167" i="4" s="1"/>
  <c r="AF65" i="4"/>
  <c r="AF66" i="4"/>
  <c r="AD147" i="4"/>
  <c r="AD150" i="4"/>
  <c r="AE144" i="4" s="1"/>
  <c r="AE148" i="4" s="1"/>
  <c r="AF134" i="4"/>
  <c r="AF126" i="4"/>
  <c r="AF39" i="4"/>
  <c r="AF80" i="4"/>
  <c r="AF82" i="4"/>
  <c r="AF100" i="4"/>
  <c r="AF10" i="4"/>
  <c r="AF106" i="4"/>
  <c r="AF94" i="4"/>
  <c r="AF5" i="4"/>
  <c r="AE157" i="4"/>
  <c r="AD84" i="4"/>
  <c r="AD159" i="4"/>
  <c r="AE83" i="4"/>
  <c r="AE160" i="4" s="1"/>
  <c r="AE158" i="4"/>
  <c r="AD115" i="4"/>
  <c r="AD117" i="4"/>
  <c r="AE113" i="4" s="1"/>
  <c r="AE107" i="4"/>
  <c r="AE121" i="4"/>
  <c r="AF114" i="4"/>
  <c r="AF116" i="4"/>
  <c r="AF53" i="4"/>
  <c r="AF51" i="4"/>
  <c r="AF54" i="4"/>
  <c r="AF41" i="4"/>
  <c r="AF45" i="4" s="1"/>
  <c r="AF55" i="4"/>
  <c r="AF50" i="4"/>
  <c r="AF52" i="4"/>
  <c r="AF32" i="4"/>
  <c r="AF31" i="4" s="1"/>
  <c r="AF42" i="4"/>
  <c r="AF46" i="4" s="1"/>
  <c r="AF56" i="4"/>
  <c r="AF40" i="4"/>
  <c r="AF36" i="4"/>
  <c r="AF35" i="4" s="1"/>
  <c r="AE81" i="4"/>
  <c r="AG6" i="4"/>
  <c r="AF9" i="4"/>
  <c r="AI3" i="4"/>
  <c r="AH4" i="4"/>
  <c r="AG60" i="4" l="1"/>
  <c r="AG149" i="4"/>
  <c r="AG167" i="4" s="1"/>
  <c r="AG65" i="4"/>
  <c r="AG66" i="4"/>
  <c r="AE147" i="4"/>
  <c r="AE150" i="4"/>
  <c r="AF144" i="4" s="1"/>
  <c r="AF148" i="4" s="1"/>
  <c r="AD166" i="4"/>
  <c r="AG134" i="4"/>
  <c r="AG126" i="4"/>
  <c r="AG39" i="4"/>
  <c r="AG82" i="4"/>
  <c r="AG80" i="4"/>
  <c r="AG100" i="4"/>
  <c r="AG10" i="4"/>
  <c r="AG106" i="4"/>
  <c r="AG94" i="4"/>
  <c r="AG5" i="4"/>
  <c r="AF157" i="4"/>
  <c r="AF83" i="4"/>
  <c r="AF160" i="4" s="1"/>
  <c r="AF158" i="4"/>
  <c r="AE84" i="4"/>
  <c r="AE159" i="4"/>
  <c r="AG114" i="4"/>
  <c r="AG116" i="4"/>
  <c r="AE115" i="4"/>
  <c r="AE117" i="4"/>
  <c r="AF113" i="4" s="1"/>
  <c r="AF121" i="4"/>
  <c r="AF107" i="4"/>
  <c r="AF81" i="4"/>
  <c r="AG50" i="4"/>
  <c r="AG55" i="4"/>
  <c r="AG53" i="4"/>
  <c r="AG51" i="4"/>
  <c r="AG56" i="4"/>
  <c r="AG52" i="4"/>
  <c r="AG42" i="4"/>
  <c r="AG46" i="4" s="1"/>
  <c r="AG54" i="4"/>
  <c r="AG41" i="4"/>
  <c r="AG45" i="4" s="1"/>
  <c r="AG36" i="4"/>
  <c r="AG35" i="4" s="1"/>
  <c r="AG40" i="4"/>
  <c r="AG32" i="4"/>
  <c r="AG31" i="4" s="1"/>
  <c r="AH6" i="4"/>
  <c r="AG9" i="4"/>
  <c r="AJ3" i="4"/>
  <c r="AI4" i="4"/>
  <c r="AH60" i="4" l="1"/>
  <c r="AH149" i="4"/>
  <c r="AH167" i="4" s="1"/>
  <c r="AH65" i="4"/>
  <c r="AH66" i="4"/>
  <c r="AF147" i="4"/>
  <c r="AF150" i="4"/>
  <c r="AG144" i="4" s="1"/>
  <c r="AG148" i="4" s="1"/>
  <c r="AE166" i="4"/>
  <c r="AH126" i="4"/>
  <c r="AH134" i="4"/>
  <c r="AH39" i="4"/>
  <c r="AH80" i="4"/>
  <c r="AH82" i="4"/>
  <c r="AH100" i="4"/>
  <c r="AH10" i="4"/>
  <c r="AH106" i="4"/>
  <c r="AH94" i="4"/>
  <c r="AH5" i="4"/>
  <c r="AG157" i="4"/>
  <c r="AF84" i="4"/>
  <c r="AF159" i="4"/>
  <c r="AG83" i="4"/>
  <c r="AG160" i="4" s="1"/>
  <c r="AG158" i="4"/>
  <c r="AF115" i="4"/>
  <c r="AF117" i="4"/>
  <c r="AG113" i="4" s="1"/>
  <c r="AG121" i="4"/>
  <c r="AG107" i="4"/>
  <c r="AH116" i="4"/>
  <c r="AH114" i="4"/>
  <c r="AG81" i="4"/>
  <c r="AH52" i="4"/>
  <c r="AH50" i="4"/>
  <c r="AH54" i="4"/>
  <c r="AH55" i="4"/>
  <c r="AH53" i="4"/>
  <c r="AH56" i="4"/>
  <c r="AH41" i="4"/>
  <c r="AH45" i="4" s="1"/>
  <c r="AH51" i="4"/>
  <c r="AH40" i="4"/>
  <c r="AH32" i="4"/>
  <c r="AH31" i="4" s="1"/>
  <c r="AH36" i="4"/>
  <c r="AH35" i="4" s="1"/>
  <c r="AH42" i="4"/>
  <c r="AH46" i="4" s="1"/>
  <c r="AI6" i="4"/>
  <c r="AH9" i="4"/>
  <c r="AK3" i="4"/>
  <c r="AJ4" i="4"/>
  <c r="AI60" i="4" l="1"/>
  <c r="AI149" i="4"/>
  <c r="AI167" i="4" s="1"/>
  <c r="AI65" i="4"/>
  <c r="AI66" i="4"/>
  <c r="AG147" i="4"/>
  <c r="AG150" i="4"/>
  <c r="AH144" i="4" s="1"/>
  <c r="AH148" i="4" s="1"/>
  <c r="AF166" i="4"/>
  <c r="AI134" i="4"/>
  <c r="AI126" i="4"/>
  <c r="AI39" i="4"/>
  <c r="AI82" i="4"/>
  <c r="AI80" i="4"/>
  <c r="AI100" i="4"/>
  <c r="AI10" i="4"/>
  <c r="AI106" i="4"/>
  <c r="AI94" i="4"/>
  <c r="AI5" i="4"/>
  <c r="AH157" i="4"/>
  <c r="AG84" i="4"/>
  <c r="AG159" i="4"/>
  <c r="AH83" i="4"/>
  <c r="AH160" i="4" s="1"/>
  <c r="AH158" i="4"/>
  <c r="AH121" i="4"/>
  <c r="AH107" i="4"/>
  <c r="AG115" i="4"/>
  <c r="AG117" i="4"/>
  <c r="AH113" i="4" s="1"/>
  <c r="AI114" i="4"/>
  <c r="AI116" i="4"/>
  <c r="AH81" i="4"/>
  <c r="AI51" i="4"/>
  <c r="AI52" i="4"/>
  <c r="AI50" i="4"/>
  <c r="AI55" i="4"/>
  <c r="AI40" i="4"/>
  <c r="AI53" i="4"/>
  <c r="AI41" i="4"/>
  <c r="AI45" i="4" s="1"/>
  <c r="AI56" i="4"/>
  <c r="AI36" i="4"/>
  <c r="AI35" i="4" s="1"/>
  <c r="AI54" i="4"/>
  <c r="AI42" i="4"/>
  <c r="AI46" i="4" s="1"/>
  <c r="AI32" i="4"/>
  <c r="AI31" i="4" s="1"/>
  <c r="AJ6" i="4"/>
  <c r="AI9" i="4"/>
  <c r="AL3" i="4"/>
  <c r="AK4" i="4"/>
  <c r="AJ60" i="4" l="1"/>
  <c r="AJ149" i="4"/>
  <c r="AJ167" i="4" s="1"/>
  <c r="AJ65" i="4"/>
  <c r="AJ66" i="4"/>
  <c r="AH147" i="4"/>
  <c r="AH150" i="4"/>
  <c r="AI144" i="4" s="1"/>
  <c r="AI148" i="4" s="1"/>
  <c r="AG166" i="4"/>
  <c r="AJ134" i="4"/>
  <c r="AJ126" i="4"/>
  <c r="AJ39" i="4"/>
  <c r="AJ82" i="4"/>
  <c r="AJ80" i="4"/>
  <c r="AJ100" i="4"/>
  <c r="AJ10" i="4"/>
  <c r="AJ106" i="4"/>
  <c r="AJ94" i="4"/>
  <c r="AJ5" i="4"/>
  <c r="AI157" i="4"/>
  <c r="AI83" i="4"/>
  <c r="AI160" i="4" s="1"/>
  <c r="AI158" i="4"/>
  <c r="AH84" i="4"/>
  <c r="AH159" i="4"/>
  <c r="AI107" i="4"/>
  <c r="AI121" i="4"/>
  <c r="AH117" i="4"/>
  <c r="AI113" i="4" s="1"/>
  <c r="AH115" i="4"/>
  <c r="AJ114" i="4"/>
  <c r="AJ116" i="4"/>
  <c r="AJ51" i="4"/>
  <c r="AJ53" i="4"/>
  <c r="AJ52" i="4"/>
  <c r="AJ54" i="4"/>
  <c r="AJ56" i="4"/>
  <c r="AJ55" i="4"/>
  <c r="AJ32" i="4"/>
  <c r="AJ31" i="4" s="1"/>
  <c r="AJ40" i="4"/>
  <c r="AJ36" i="4"/>
  <c r="AJ35" i="4" s="1"/>
  <c r="AJ41" i="4"/>
  <c r="AJ45" i="4" s="1"/>
  <c r="AJ42" i="4"/>
  <c r="AJ46" i="4" s="1"/>
  <c r="AI81" i="4"/>
  <c r="AK6" i="4"/>
  <c r="AJ9" i="4"/>
  <c r="AM3" i="4"/>
  <c r="AL4" i="4"/>
  <c r="AK60" i="4" l="1"/>
  <c r="AK149" i="4"/>
  <c r="AK167" i="4" s="1"/>
  <c r="AK65" i="4"/>
  <c r="AK66" i="4"/>
  <c r="AI147" i="4"/>
  <c r="AI166" i="4" s="1"/>
  <c r="AI150" i="4"/>
  <c r="AJ144" i="4" s="1"/>
  <c r="AJ148" i="4" s="1"/>
  <c r="AH166" i="4"/>
  <c r="AK134" i="4"/>
  <c r="AK126" i="4"/>
  <c r="AK39" i="4"/>
  <c r="AK82" i="4"/>
  <c r="AK80" i="4"/>
  <c r="AK100" i="4"/>
  <c r="AK10" i="4"/>
  <c r="AK106" i="4"/>
  <c r="AK94" i="4"/>
  <c r="AK5" i="4"/>
  <c r="AJ157" i="4"/>
  <c r="AI84" i="4"/>
  <c r="AI159" i="4"/>
  <c r="AJ83" i="4"/>
  <c r="AJ160" i="4" s="1"/>
  <c r="AJ158" i="4"/>
  <c r="AJ107" i="4"/>
  <c r="AJ121" i="4"/>
  <c r="AI115" i="4"/>
  <c r="AI117" i="4"/>
  <c r="AJ113" i="4" s="1"/>
  <c r="AK116" i="4"/>
  <c r="AK114" i="4"/>
  <c r="AJ81" i="4"/>
  <c r="AJ159" i="4" s="1"/>
  <c r="AK54" i="4"/>
  <c r="AK52" i="4"/>
  <c r="AK51" i="4"/>
  <c r="AK55" i="4"/>
  <c r="AK56" i="4"/>
  <c r="AK53" i="4"/>
  <c r="AK40" i="4"/>
  <c r="AK41" i="4"/>
  <c r="AK45" i="4" s="1"/>
  <c r="AK42" i="4"/>
  <c r="AK46" i="4" s="1"/>
  <c r="AK36" i="4"/>
  <c r="AK35" i="4" s="1"/>
  <c r="AK32" i="4"/>
  <c r="AL6" i="4"/>
  <c r="AK9" i="4"/>
  <c r="AN3" i="4"/>
  <c r="AM4" i="4"/>
  <c r="AL60" i="4" l="1"/>
  <c r="AL149" i="4"/>
  <c r="AL167" i="4" s="1"/>
  <c r="AL65" i="4"/>
  <c r="AL66" i="4"/>
  <c r="AJ147" i="4"/>
  <c r="AJ166" i="4" s="1"/>
  <c r="AJ150" i="4"/>
  <c r="AK144" i="4" s="1"/>
  <c r="AK148" i="4" s="1"/>
  <c r="AL126" i="4"/>
  <c r="AL134" i="4"/>
  <c r="AL39" i="4"/>
  <c r="AL82" i="4"/>
  <c r="AL80" i="4"/>
  <c r="AL100" i="4"/>
  <c r="AL10" i="4"/>
  <c r="AL106" i="4"/>
  <c r="AL94" i="4"/>
  <c r="AL5" i="4"/>
  <c r="AK157" i="4"/>
  <c r="AJ84" i="4"/>
  <c r="AK83" i="4"/>
  <c r="AK160" i="4" s="1"/>
  <c r="AK158" i="4"/>
  <c r="AK107" i="4"/>
  <c r="AK121" i="4"/>
  <c r="AJ117" i="4"/>
  <c r="AK113" i="4" s="1"/>
  <c r="AJ115" i="4"/>
  <c r="AL116" i="4"/>
  <c r="AL114" i="4"/>
  <c r="AK81" i="4"/>
  <c r="AL54" i="4"/>
  <c r="AL52" i="4"/>
  <c r="AL53" i="4"/>
  <c r="AL51" i="4"/>
  <c r="AL42" i="4"/>
  <c r="AL46" i="4" s="1"/>
  <c r="AL55" i="4"/>
  <c r="AL56" i="4"/>
  <c r="AL40" i="4"/>
  <c r="AL41" i="4"/>
  <c r="AL45" i="4" s="1"/>
  <c r="AL32" i="4"/>
  <c r="AL36" i="4"/>
  <c r="AL35" i="4" s="1"/>
  <c r="AM6" i="4"/>
  <c r="AL9" i="4"/>
  <c r="AO3" i="4"/>
  <c r="AN4" i="4"/>
  <c r="AM60" i="4" l="1"/>
  <c r="AM149" i="4"/>
  <c r="AM167" i="4" s="1"/>
  <c r="AM65" i="4"/>
  <c r="AM66" i="4"/>
  <c r="AK147" i="4"/>
  <c r="AK150" i="4"/>
  <c r="AL144" i="4" s="1"/>
  <c r="AL148" i="4" s="1"/>
  <c r="AM134" i="4"/>
  <c r="AM126" i="4"/>
  <c r="AM39" i="4"/>
  <c r="AM82" i="4"/>
  <c r="AM80" i="4"/>
  <c r="AM100" i="4"/>
  <c r="AM10" i="4"/>
  <c r="AM106" i="4"/>
  <c r="AM94" i="4"/>
  <c r="AM5" i="4"/>
  <c r="AL157" i="4"/>
  <c r="AK84" i="4"/>
  <c r="AK159" i="4"/>
  <c r="AL83" i="4"/>
  <c r="AL160" i="4" s="1"/>
  <c r="AL158" i="4"/>
  <c r="AL107" i="4"/>
  <c r="AL121" i="4"/>
  <c r="AK117" i="4"/>
  <c r="AL113" i="4" s="1"/>
  <c r="AK115" i="4"/>
  <c r="AM114" i="4"/>
  <c r="AM116" i="4"/>
  <c r="AL81" i="4"/>
  <c r="AL159" i="4" s="1"/>
  <c r="AM51" i="4"/>
  <c r="AM56" i="4"/>
  <c r="AM54" i="4"/>
  <c r="AM52" i="4"/>
  <c r="AM55" i="4"/>
  <c r="AM41" i="4"/>
  <c r="AM45" i="4" s="1"/>
  <c r="AM53" i="4"/>
  <c r="AM40" i="4"/>
  <c r="AM42" i="4"/>
  <c r="AM46" i="4" s="1"/>
  <c r="AM36" i="4"/>
  <c r="AM35" i="4" s="1"/>
  <c r="AM32" i="4"/>
  <c r="AN6" i="4"/>
  <c r="AM9" i="4"/>
  <c r="AP3" i="4"/>
  <c r="AO4" i="4"/>
  <c r="AN60" i="4" l="1"/>
  <c r="AN149" i="4"/>
  <c r="AN167" i="4" s="1"/>
  <c r="AN65" i="4"/>
  <c r="AN66" i="4"/>
  <c r="AL150" i="4"/>
  <c r="AM144" i="4" s="1"/>
  <c r="AM148" i="4" s="1"/>
  <c r="AL147" i="4"/>
  <c r="AL166" i="4" s="1"/>
  <c r="AK166" i="4"/>
  <c r="AN134" i="4"/>
  <c r="AN126" i="4"/>
  <c r="AN39" i="4"/>
  <c r="AN82" i="4"/>
  <c r="AN80" i="4"/>
  <c r="AN100" i="4"/>
  <c r="AN10" i="4"/>
  <c r="AN106" i="4"/>
  <c r="AN94" i="4"/>
  <c r="AN5" i="4"/>
  <c r="AM157" i="4"/>
  <c r="AL84" i="4"/>
  <c r="AM83" i="4"/>
  <c r="AM160" i="4" s="1"/>
  <c r="AM158" i="4"/>
  <c r="AM107" i="4"/>
  <c r="AM121" i="4"/>
  <c r="AL117" i="4"/>
  <c r="AM113" i="4" s="1"/>
  <c r="AL115" i="4"/>
  <c r="AN114" i="4"/>
  <c r="AN116" i="4"/>
  <c r="AM81" i="4"/>
  <c r="AN53" i="4"/>
  <c r="AN51" i="4"/>
  <c r="AN54" i="4"/>
  <c r="AN52" i="4"/>
  <c r="AN41" i="4"/>
  <c r="AN45" i="4" s="1"/>
  <c r="AN56" i="4"/>
  <c r="AN55" i="4"/>
  <c r="AN42" i="4"/>
  <c r="AN46" i="4" s="1"/>
  <c r="AN40" i="4"/>
  <c r="AN36" i="4"/>
  <c r="AN35" i="4" s="1"/>
  <c r="AN32" i="4"/>
  <c r="AO6" i="4"/>
  <c r="AN9" i="4"/>
  <c r="AQ3" i="4"/>
  <c r="AP4" i="4"/>
  <c r="AO60" i="4" l="1"/>
  <c r="AO149" i="4"/>
  <c r="AO167" i="4" s="1"/>
  <c r="AO65" i="4"/>
  <c r="AO66" i="4"/>
  <c r="AM147" i="4"/>
  <c r="AM150" i="4"/>
  <c r="AN144" i="4" s="1"/>
  <c r="AN148" i="4" s="1"/>
  <c r="AO134" i="4"/>
  <c r="AO126" i="4"/>
  <c r="AQ13" i="4"/>
  <c r="AO39" i="4"/>
  <c r="AO80" i="4"/>
  <c r="AO82" i="4"/>
  <c r="AO100" i="4"/>
  <c r="AO10" i="4"/>
  <c r="AO106" i="4"/>
  <c r="AO94" i="4"/>
  <c r="AO5" i="4"/>
  <c r="AN157" i="4"/>
  <c r="AM84" i="4"/>
  <c r="AM159" i="4"/>
  <c r="AN83" i="4"/>
  <c r="AN160" i="4" s="1"/>
  <c r="AN158" i="4"/>
  <c r="AN121" i="4"/>
  <c r="AN107" i="4"/>
  <c r="AM117" i="4"/>
  <c r="AN113" i="4" s="1"/>
  <c r="AM115" i="4"/>
  <c r="AO114" i="4"/>
  <c r="AO116" i="4"/>
  <c r="AO52" i="4"/>
  <c r="AO51" i="4"/>
  <c r="AO55" i="4"/>
  <c r="AO56" i="4"/>
  <c r="AO54" i="4"/>
  <c r="AO42" i="4"/>
  <c r="AO46" i="4" s="1"/>
  <c r="AO41" i="4"/>
  <c r="AO45" i="4" s="1"/>
  <c r="AO53" i="4"/>
  <c r="AO40" i="4"/>
  <c r="AO36" i="4"/>
  <c r="AO35" i="4" s="1"/>
  <c r="AO32" i="4"/>
  <c r="AN81" i="4"/>
  <c r="AP6" i="4"/>
  <c r="AO9" i="4"/>
  <c r="AR3" i="4"/>
  <c r="AQ4" i="4"/>
  <c r="AP66" i="4" l="1"/>
  <c r="AP60" i="4"/>
  <c r="AP149" i="4"/>
  <c r="AP167" i="4" s="1"/>
  <c r="AP65" i="4"/>
  <c r="AN147" i="4"/>
  <c r="AN150" i="4"/>
  <c r="AO144" i="4" s="1"/>
  <c r="AO148" i="4" s="1"/>
  <c r="AM166" i="4"/>
  <c r="AP134" i="4"/>
  <c r="AP126" i="4"/>
  <c r="AR13" i="4"/>
  <c r="AP39" i="4"/>
  <c r="AP80" i="4"/>
  <c r="AP82" i="4"/>
  <c r="AP100" i="4"/>
  <c r="AP10" i="4"/>
  <c r="AP106" i="4"/>
  <c r="AP94" i="4"/>
  <c r="AP5" i="4"/>
  <c r="AO157" i="4"/>
  <c r="AN84" i="4"/>
  <c r="AN159" i="4"/>
  <c r="AO83" i="4"/>
  <c r="AO160" i="4" s="1"/>
  <c r="AO158" i="4"/>
  <c r="AO121" i="4"/>
  <c r="AO107" i="4"/>
  <c r="AP114" i="4"/>
  <c r="AP116" i="4"/>
  <c r="AN117" i="4"/>
  <c r="AO113" i="4" s="1"/>
  <c r="AN115" i="4"/>
  <c r="AP52" i="4"/>
  <c r="AP54" i="4"/>
  <c r="AP53" i="4"/>
  <c r="AP51" i="4"/>
  <c r="AP55" i="4"/>
  <c r="AP41" i="4"/>
  <c r="AP45" i="4" s="1"/>
  <c r="AP56" i="4"/>
  <c r="AP42" i="4"/>
  <c r="AP46" i="4" s="1"/>
  <c r="AP40" i="4"/>
  <c r="AP36" i="4"/>
  <c r="AP35" i="4" s="1"/>
  <c r="AP32" i="4"/>
  <c r="AO81" i="4"/>
  <c r="AQ6" i="4"/>
  <c r="AP9" i="4"/>
  <c r="AS3" i="4"/>
  <c r="AS11" i="4" s="1"/>
  <c r="AR4" i="4"/>
  <c r="AQ60" i="4" l="1"/>
  <c r="AQ149" i="4"/>
  <c r="AQ167" i="4" s="1"/>
  <c r="AQ65" i="4"/>
  <c r="AQ66" i="4"/>
  <c r="AO147" i="4"/>
  <c r="AO166" i="4" s="1"/>
  <c r="AO150" i="4"/>
  <c r="AP144" i="4" s="1"/>
  <c r="AP148" i="4" s="1"/>
  <c r="AN166" i="4"/>
  <c r="AQ134" i="4"/>
  <c r="AQ126" i="4"/>
  <c r="AS13" i="4"/>
  <c r="AQ39" i="4"/>
  <c r="AQ82" i="4"/>
  <c r="AQ80" i="4"/>
  <c r="AQ100" i="4"/>
  <c r="AQ10" i="4"/>
  <c r="AQ106" i="4"/>
  <c r="AQ94" i="4"/>
  <c r="AQ5" i="4"/>
  <c r="AP157" i="4"/>
  <c r="AO84" i="4"/>
  <c r="AO159" i="4"/>
  <c r="AP83" i="4"/>
  <c r="AP160" i="4" s="1"/>
  <c r="AP158" i="4"/>
  <c r="AO117" i="4"/>
  <c r="AP113" i="4" s="1"/>
  <c r="AO115" i="4"/>
  <c r="AP121" i="4"/>
  <c r="AP107" i="4"/>
  <c r="AQ114" i="4"/>
  <c r="AQ116" i="4"/>
  <c r="AQ32" i="4"/>
  <c r="AP81" i="4"/>
  <c r="AS12" i="4"/>
  <c r="AQ53" i="4"/>
  <c r="AQ51" i="4"/>
  <c r="AQ55" i="4"/>
  <c r="AQ40" i="4"/>
  <c r="AQ52" i="4"/>
  <c r="AQ54" i="4"/>
  <c r="AQ41" i="4"/>
  <c r="AQ45" i="4" s="1"/>
  <c r="AQ56" i="4"/>
  <c r="AQ42" i="4"/>
  <c r="AQ46" i="4" s="1"/>
  <c r="AQ36" i="4"/>
  <c r="AQ35" i="4" s="1"/>
  <c r="AR6" i="4"/>
  <c r="AQ9" i="4"/>
  <c r="AT3" i="4"/>
  <c r="AT11" i="4" s="1"/>
  <c r="AS4" i="4"/>
  <c r="AR60" i="4" l="1"/>
  <c r="AR149" i="4"/>
  <c r="AR167" i="4" s="1"/>
  <c r="AR65" i="4"/>
  <c r="AR66" i="4"/>
  <c r="AP147" i="4"/>
  <c r="AP150" i="4"/>
  <c r="AQ144" i="4" s="1"/>
  <c r="AQ148" i="4" s="1"/>
  <c r="AR126" i="4"/>
  <c r="AR134" i="4"/>
  <c r="AT13" i="4"/>
  <c r="AR39" i="4"/>
  <c r="AR82" i="4"/>
  <c r="AR80" i="4"/>
  <c r="AR100" i="4"/>
  <c r="AR10" i="4"/>
  <c r="AR106" i="4"/>
  <c r="AR94" i="4"/>
  <c r="AR5" i="4"/>
  <c r="AQ157" i="4"/>
  <c r="AP84" i="4"/>
  <c r="AP159" i="4"/>
  <c r="AQ83" i="4"/>
  <c r="AQ160" i="4" s="1"/>
  <c r="AQ158" i="4"/>
  <c r="AQ107" i="4"/>
  <c r="AQ121" i="4"/>
  <c r="AP117" i="4"/>
  <c r="AQ113" i="4" s="1"/>
  <c r="AP115" i="4"/>
  <c r="AR114" i="4"/>
  <c r="AR116" i="4"/>
  <c r="AT12" i="4"/>
  <c r="AR51" i="4"/>
  <c r="AR53" i="4"/>
  <c r="AR56" i="4"/>
  <c r="AR52" i="4"/>
  <c r="AR54" i="4"/>
  <c r="AR55" i="4"/>
  <c r="AR42" i="4"/>
  <c r="AR46" i="4" s="1"/>
  <c r="AR40" i="4"/>
  <c r="AR41" i="4"/>
  <c r="AR45" i="4" s="1"/>
  <c r="AR36" i="4"/>
  <c r="AR35" i="4" s="1"/>
  <c r="AQ81" i="4"/>
  <c r="AQ159" i="4" s="1"/>
  <c r="AR32" i="4"/>
  <c r="AS6" i="4"/>
  <c r="AR9" i="4"/>
  <c r="AU3" i="4"/>
  <c r="AU11" i="4" s="1"/>
  <c r="AT4" i="4"/>
  <c r="AS60" i="4" l="1"/>
  <c r="AS149" i="4"/>
  <c r="AS167" i="4" s="1"/>
  <c r="AS65" i="4"/>
  <c r="AS66" i="4"/>
  <c r="AQ147" i="4"/>
  <c r="AQ150" i="4"/>
  <c r="AR144" i="4" s="1"/>
  <c r="AR148" i="4" s="1"/>
  <c r="AP166" i="4"/>
  <c r="AS134" i="4"/>
  <c r="AS126" i="4"/>
  <c r="AU13" i="4"/>
  <c r="AS39" i="4"/>
  <c r="AS82" i="4"/>
  <c r="AS80" i="4"/>
  <c r="AS100" i="4"/>
  <c r="AS10" i="4"/>
  <c r="AS106" i="4"/>
  <c r="AS94" i="4"/>
  <c r="AS5" i="4"/>
  <c r="AR157" i="4"/>
  <c r="AQ84" i="4"/>
  <c r="AR83" i="4"/>
  <c r="AR160" i="4" s="1"/>
  <c r="AR158" i="4"/>
  <c r="AR107" i="4"/>
  <c r="AR121" i="4"/>
  <c r="AS116" i="4"/>
  <c r="AS114" i="4"/>
  <c r="AQ115" i="4"/>
  <c r="AQ117" i="4"/>
  <c r="AR113" i="4" s="1"/>
  <c r="AS32" i="4"/>
  <c r="AR81" i="4"/>
  <c r="AS52" i="4"/>
  <c r="AS53" i="4"/>
  <c r="AS55" i="4"/>
  <c r="AS51" i="4"/>
  <c r="AS40" i="4"/>
  <c r="AS56" i="4"/>
  <c r="AS42" i="4"/>
  <c r="AS46" i="4" s="1"/>
  <c r="AS54" i="4"/>
  <c r="AS41" i="4"/>
  <c r="AS45" i="4" s="1"/>
  <c r="AS36" i="4"/>
  <c r="AS35" i="4" s="1"/>
  <c r="AU12" i="4"/>
  <c r="AT6" i="4"/>
  <c r="AS9" i="4"/>
  <c r="AV3" i="4"/>
  <c r="AV11" i="4" s="1"/>
  <c r="AU4" i="4"/>
  <c r="AT60" i="4" l="1"/>
  <c r="AT149" i="4"/>
  <c r="AT167" i="4" s="1"/>
  <c r="AT65" i="4"/>
  <c r="AT66" i="4"/>
  <c r="AQ166" i="4"/>
  <c r="AR147" i="4"/>
  <c r="AR150" i="4"/>
  <c r="AS144" i="4" s="1"/>
  <c r="AS148" i="4" s="1"/>
  <c r="AT134" i="4"/>
  <c r="AT126" i="4"/>
  <c r="AV13" i="4"/>
  <c r="AT39" i="4"/>
  <c r="AT82" i="4"/>
  <c r="AT80" i="4"/>
  <c r="AT100" i="4"/>
  <c r="AT10" i="4"/>
  <c r="AT106" i="4"/>
  <c r="AT94" i="4"/>
  <c r="AT5" i="4"/>
  <c r="AT71" i="4"/>
  <c r="AS157" i="4"/>
  <c r="AS83" i="4"/>
  <c r="AS160" i="4" s="1"/>
  <c r="AS158" i="4"/>
  <c r="AR84" i="4"/>
  <c r="AR159" i="4"/>
  <c r="AR117" i="4"/>
  <c r="AS113" i="4" s="1"/>
  <c r="AR115" i="4"/>
  <c r="AS107" i="4"/>
  <c r="AS121" i="4"/>
  <c r="AT116" i="4"/>
  <c r="AT114" i="4"/>
  <c r="AV12" i="4"/>
  <c r="AT54" i="4"/>
  <c r="AT52" i="4"/>
  <c r="AT51" i="4"/>
  <c r="AT53" i="4"/>
  <c r="AT42" i="4"/>
  <c r="AT46" i="4" s="1"/>
  <c r="AT40" i="4"/>
  <c r="AT55" i="4"/>
  <c r="AT56" i="4"/>
  <c r="AT41" i="4"/>
  <c r="AT45" i="4" s="1"/>
  <c r="AT36" i="4"/>
  <c r="AT32" i="4"/>
  <c r="AS81" i="4"/>
  <c r="AU6" i="4"/>
  <c r="AT9" i="4"/>
  <c r="AW3" i="4"/>
  <c r="AW11" i="4" s="1"/>
  <c r="AV4" i="4"/>
  <c r="AU60" i="4" l="1"/>
  <c r="AS147" i="4"/>
  <c r="AS150" i="4"/>
  <c r="AT144" i="4" s="1"/>
  <c r="AT148" i="4" s="1"/>
  <c r="AR166" i="4"/>
  <c r="AU134" i="4"/>
  <c r="AU126" i="4"/>
  <c r="AW13" i="4"/>
  <c r="AU39" i="4"/>
  <c r="AU100" i="4"/>
  <c r="AU10" i="4"/>
  <c r="AU106" i="4"/>
  <c r="AU94" i="4"/>
  <c r="AU5" i="4"/>
  <c r="AU71" i="4"/>
  <c r="AT157" i="4"/>
  <c r="AW4" i="4"/>
  <c r="AS84" i="4"/>
  <c r="AS159" i="4"/>
  <c r="AT83" i="4"/>
  <c r="AT160" i="4" s="1"/>
  <c r="AT158" i="4"/>
  <c r="AT107" i="4"/>
  <c r="AT121" i="4"/>
  <c r="AU114" i="4"/>
  <c r="AU116" i="4"/>
  <c r="AS117" i="4"/>
  <c r="AT113" i="4" s="1"/>
  <c r="AS115" i="4"/>
  <c r="AW12" i="4"/>
  <c r="AU32" i="4"/>
  <c r="AU52" i="4"/>
  <c r="AU56" i="4"/>
  <c r="AU54" i="4"/>
  <c r="AU53" i="4"/>
  <c r="AU51" i="4"/>
  <c r="AU40" i="4"/>
  <c r="AU55" i="4"/>
  <c r="AU41" i="4"/>
  <c r="AU45" i="4" s="1"/>
  <c r="AU42" i="4"/>
  <c r="AU46" i="4" s="1"/>
  <c r="AT81" i="4"/>
  <c r="AU36" i="4"/>
  <c r="AT35" i="4"/>
  <c r="AV6" i="4"/>
  <c r="AU9" i="4"/>
  <c r="AX3" i="4"/>
  <c r="AX11" i="4" s="1"/>
  <c r="AV60" i="4" l="1"/>
  <c r="AV149" i="4"/>
  <c r="AV167" i="4" s="1"/>
  <c r="AV65" i="4"/>
  <c r="AV66" i="4"/>
  <c r="AT147" i="4"/>
  <c r="AT150" i="4"/>
  <c r="AU144" i="4" s="1"/>
  <c r="AS166" i="4"/>
  <c r="AV134" i="4"/>
  <c r="AV126" i="4"/>
  <c r="AX13" i="4"/>
  <c r="AV39" i="4"/>
  <c r="AV44" i="4" s="1"/>
  <c r="AV80" i="4"/>
  <c r="AV82" i="4"/>
  <c r="AV100" i="4"/>
  <c r="AV10" i="4"/>
  <c r="AV106" i="4"/>
  <c r="AV94" i="4"/>
  <c r="AV71" i="4"/>
  <c r="AV5" i="4"/>
  <c r="AX4" i="4"/>
  <c r="AT84" i="4"/>
  <c r="AT159" i="4"/>
  <c r="AT117" i="4"/>
  <c r="AU113" i="4" s="1"/>
  <c r="AT115" i="4"/>
  <c r="AV36" i="4"/>
  <c r="AU107" i="4"/>
  <c r="AU121" i="4"/>
  <c r="AV114" i="4"/>
  <c r="AV116" i="4"/>
  <c r="AV32" i="4"/>
  <c r="AV53" i="4"/>
  <c r="AV51" i="4"/>
  <c r="AV54" i="4"/>
  <c r="AV52" i="4"/>
  <c r="AV55" i="4"/>
  <c r="AV56" i="4"/>
  <c r="AV41" i="4"/>
  <c r="AV45" i="4" s="1"/>
  <c r="AV42" i="4"/>
  <c r="AV46" i="4" s="1"/>
  <c r="AV40" i="4"/>
  <c r="AU35" i="4"/>
  <c r="AX12" i="4"/>
  <c r="AW6" i="4"/>
  <c r="AV9" i="4"/>
  <c r="AY3" i="4"/>
  <c r="AY11" i="4" s="1"/>
  <c r="AU148" i="4" l="1"/>
  <c r="AU149" i="4"/>
  <c r="AU167" i="4" s="1"/>
  <c r="AW60" i="4"/>
  <c r="AW149" i="4"/>
  <c r="AW167" i="4" s="1"/>
  <c r="AW65" i="4"/>
  <c r="AW66" i="4"/>
  <c r="AU147" i="4"/>
  <c r="AT166" i="4"/>
  <c r="AW126" i="4"/>
  <c r="AW134" i="4"/>
  <c r="AY13" i="4"/>
  <c r="AW39" i="4"/>
  <c r="AW80" i="4"/>
  <c r="AW82" i="4"/>
  <c r="AW100" i="4"/>
  <c r="AW10" i="4"/>
  <c r="AW106" i="4"/>
  <c r="AW94" i="4"/>
  <c r="AW5" i="4"/>
  <c r="AW71" i="4"/>
  <c r="AV157" i="4"/>
  <c r="AY4" i="4"/>
  <c r="AV83" i="4"/>
  <c r="AV160" i="4" s="1"/>
  <c r="AV158" i="4"/>
  <c r="AV35" i="4"/>
  <c r="AU115" i="4"/>
  <c r="AU117" i="4"/>
  <c r="AV113" i="4" s="1"/>
  <c r="AW114" i="4"/>
  <c r="AW116" i="4"/>
  <c r="AV121" i="4"/>
  <c r="AV107" i="4"/>
  <c r="AV81" i="4"/>
  <c r="AW55" i="4"/>
  <c r="AW54" i="4"/>
  <c r="AW52" i="4"/>
  <c r="AW56" i="4"/>
  <c r="AW53" i="4"/>
  <c r="AW51" i="4"/>
  <c r="AW42" i="4"/>
  <c r="AW46" i="4" s="1"/>
  <c r="AW41" i="4"/>
  <c r="AW45" i="4" s="1"/>
  <c r="AW40" i="4"/>
  <c r="AW32" i="4"/>
  <c r="AW36" i="4"/>
  <c r="AY12" i="4"/>
  <c r="AX6" i="4"/>
  <c r="AW9" i="4"/>
  <c r="AZ3" i="4"/>
  <c r="AZ11" i="4" s="1"/>
  <c r="AU150" i="4" l="1"/>
  <c r="AV144" i="4" s="1"/>
  <c r="AV148" i="4" s="1"/>
  <c r="AX60" i="4"/>
  <c r="AX149" i="4"/>
  <c r="AX167" i="4" s="1"/>
  <c r="AX65" i="4"/>
  <c r="AX66" i="4"/>
  <c r="AU166" i="4"/>
  <c r="AX134" i="4"/>
  <c r="AX126" i="4"/>
  <c r="AZ13" i="4"/>
  <c r="AX39" i="4"/>
  <c r="AX80" i="4"/>
  <c r="AX82" i="4"/>
  <c r="AX100" i="4"/>
  <c r="AX10" i="4"/>
  <c r="AX106" i="4"/>
  <c r="AX94" i="4"/>
  <c r="AW35" i="4"/>
  <c r="AX5" i="4"/>
  <c r="AX71" i="4"/>
  <c r="AW157" i="4"/>
  <c r="AZ4" i="4"/>
  <c r="AW83" i="4"/>
  <c r="AW160" i="4" s="1"/>
  <c r="AW158" i="4"/>
  <c r="AV84" i="4"/>
  <c r="AV159" i="4"/>
  <c r="AW121" i="4"/>
  <c r="AW107" i="4"/>
  <c r="AV117" i="4"/>
  <c r="AW113" i="4" s="1"/>
  <c r="AV115" i="4"/>
  <c r="AX114" i="4"/>
  <c r="AX116" i="4"/>
  <c r="AW81" i="4"/>
  <c r="AX52" i="4"/>
  <c r="AX54" i="4"/>
  <c r="AX51" i="4"/>
  <c r="AX55" i="4"/>
  <c r="AX56" i="4"/>
  <c r="AX41" i="4"/>
  <c r="AX45" i="4" s="1"/>
  <c r="AX53" i="4"/>
  <c r="AX40" i="4"/>
  <c r="AX42" i="4"/>
  <c r="AX46" i="4" s="1"/>
  <c r="AX36" i="4"/>
  <c r="AX32" i="4"/>
  <c r="AZ12" i="4"/>
  <c r="AY6" i="4"/>
  <c r="AX9" i="4"/>
  <c r="BA3" i="4"/>
  <c r="BA11" i="4" s="1"/>
  <c r="AV150" i="4" l="1"/>
  <c r="AW144" i="4" s="1"/>
  <c r="AW148" i="4" s="1"/>
  <c r="AV147" i="4"/>
  <c r="AV166" i="4" s="1"/>
  <c r="AY60" i="4"/>
  <c r="AY149" i="4"/>
  <c r="AY167" i="4" s="1"/>
  <c r="AY65" i="4"/>
  <c r="AY66" i="4"/>
  <c r="AY134" i="4"/>
  <c r="AY126" i="4"/>
  <c r="BA13" i="4"/>
  <c r="AY39" i="4"/>
  <c r="AY82" i="4"/>
  <c r="AY80" i="4"/>
  <c r="AY100" i="4"/>
  <c r="AY10" i="4"/>
  <c r="AY106" i="4"/>
  <c r="AY94" i="4"/>
  <c r="AY5" i="4"/>
  <c r="AY71" i="4"/>
  <c r="AX157" i="4"/>
  <c r="BA4" i="4"/>
  <c r="AW84" i="4"/>
  <c r="AW159" i="4"/>
  <c r="AX83" i="4"/>
  <c r="AX160" i="4" s="1"/>
  <c r="AX158" i="4"/>
  <c r="AY114" i="4"/>
  <c r="AY116" i="4"/>
  <c r="AX121" i="4"/>
  <c r="AX107" i="4"/>
  <c r="AW117" i="4"/>
  <c r="AX113" i="4" s="1"/>
  <c r="AW115" i="4"/>
  <c r="AY36" i="4"/>
  <c r="AY51" i="4"/>
  <c r="AY54" i="4"/>
  <c r="AY55" i="4"/>
  <c r="AY40" i="4"/>
  <c r="AY56" i="4"/>
  <c r="AY52" i="4"/>
  <c r="AY41" i="4"/>
  <c r="AY45" i="4" s="1"/>
  <c r="AY42" i="4"/>
  <c r="AY46" i="4" s="1"/>
  <c r="AY53" i="4"/>
  <c r="AY32" i="4"/>
  <c r="AX81" i="4"/>
  <c r="AX159" i="4" s="1"/>
  <c r="BA12" i="4"/>
  <c r="AX35" i="4"/>
  <c r="AZ6" i="4"/>
  <c r="AY9" i="4"/>
  <c r="BB3" i="4"/>
  <c r="BB11" i="4" s="1"/>
  <c r="AW150" i="4" l="1"/>
  <c r="AX144" i="4" s="1"/>
  <c r="AX148" i="4" s="1"/>
  <c r="AW147" i="4"/>
  <c r="AW166" i="4" s="1"/>
  <c r="AZ60" i="4"/>
  <c r="AZ149" i="4"/>
  <c r="AZ167" i="4" s="1"/>
  <c r="AZ66" i="4"/>
  <c r="AZ65" i="4"/>
  <c r="AZ134" i="4"/>
  <c r="AZ126" i="4"/>
  <c r="BB13" i="4"/>
  <c r="AZ39" i="4"/>
  <c r="AZ82" i="4"/>
  <c r="AZ80" i="4"/>
  <c r="AZ100" i="4"/>
  <c r="AZ10" i="4"/>
  <c r="AZ106" i="4"/>
  <c r="AZ94" i="4"/>
  <c r="AY35" i="4"/>
  <c r="AZ5" i="4"/>
  <c r="AZ71" i="4"/>
  <c r="AY157" i="4"/>
  <c r="BB4" i="4"/>
  <c r="AX84" i="4"/>
  <c r="AY83" i="4"/>
  <c r="AY160" i="4" s="1"/>
  <c r="AY158" i="4"/>
  <c r="AX117" i="4"/>
  <c r="AY113" i="4" s="1"/>
  <c r="AX115" i="4"/>
  <c r="AY107" i="4"/>
  <c r="AY121" i="4"/>
  <c r="AZ114" i="4"/>
  <c r="AZ116" i="4"/>
  <c r="AZ51" i="4"/>
  <c r="AZ53" i="4"/>
  <c r="AZ52" i="4"/>
  <c r="AZ55" i="4"/>
  <c r="AZ56" i="4"/>
  <c r="AZ54" i="4"/>
  <c r="AZ42" i="4"/>
  <c r="AZ46" i="4" s="1"/>
  <c r="AZ41" i="4"/>
  <c r="AZ45" i="4" s="1"/>
  <c r="AZ40" i="4"/>
  <c r="AZ32" i="4"/>
  <c r="AY81" i="4"/>
  <c r="AZ36" i="4"/>
  <c r="BB12" i="4"/>
  <c r="BA6" i="4"/>
  <c r="AZ9" i="4"/>
  <c r="BC3" i="4"/>
  <c r="BC11" i="4" s="1"/>
  <c r="AX150" i="4" l="1"/>
  <c r="AY144" i="4" s="1"/>
  <c r="AY148" i="4" s="1"/>
  <c r="AX147" i="4"/>
  <c r="AX166" i="4" s="1"/>
  <c r="BA60" i="4"/>
  <c r="BA149" i="4"/>
  <c r="BA167" i="4" s="1"/>
  <c r="BA65" i="4"/>
  <c r="BA66" i="4"/>
  <c r="BA134" i="4"/>
  <c r="BA126" i="4"/>
  <c r="BC13" i="4"/>
  <c r="BA39" i="4"/>
  <c r="BA82" i="4"/>
  <c r="BA80" i="4"/>
  <c r="AZ35" i="4"/>
  <c r="BA100" i="4"/>
  <c r="BA10" i="4"/>
  <c r="BA106" i="4"/>
  <c r="BA94" i="4"/>
  <c r="BA5" i="4"/>
  <c r="BA71" i="4"/>
  <c r="AZ157" i="4"/>
  <c r="BC4" i="4"/>
  <c r="AY84" i="4"/>
  <c r="AY159" i="4"/>
  <c r="AZ83" i="4"/>
  <c r="AZ160" i="4" s="1"/>
  <c r="AZ158" i="4"/>
  <c r="BA116" i="4"/>
  <c r="BA114" i="4"/>
  <c r="AZ107" i="4"/>
  <c r="AZ121" i="4"/>
  <c r="AY117" i="4"/>
  <c r="AZ113" i="4" s="1"/>
  <c r="AY115" i="4"/>
  <c r="BA36" i="4"/>
  <c r="AZ81" i="4"/>
  <c r="BA53" i="4"/>
  <c r="BA51" i="4"/>
  <c r="BA55" i="4"/>
  <c r="BA54" i="4"/>
  <c r="BA41" i="4"/>
  <c r="BA45" i="4" s="1"/>
  <c r="BA52" i="4"/>
  <c r="BA56" i="4"/>
  <c r="BA40" i="4"/>
  <c r="BA42" i="4"/>
  <c r="BA46" i="4" s="1"/>
  <c r="BA32" i="4"/>
  <c r="BC12" i="4"/>
  <c r="BB6" i="4"/>
  <c r="BA9" i="4"/>
  <c r="BD3" i="4"/>
  <c r="BD11" i="4" s="1"/>
  <c r="AY150" i="4" l="1"/>
  <c r="AZ144" i="4" s="1"/>
  <c r="AZ148" i="4" s="1"/>
  <c r="AY147" i="4"/>
  <c r="AY166" i="4" s="1"/>
  <c r="BB60" i="4"/>
  <c r="BB149" i="4"/>
  <c r="BB167" i="4" s="1"/>
  <c r="BB65" i="4"/>
  <c r="BB66" i="4"/>
  <c r="BD13" i="4"/>
  <c r="BB39" i="4"/>
  <c r="BB82" i="4"/>
  <c r="BB80" i="4"/>
  <c r="BB100" i="4"/>
  <c r="BB10" i="4"/>
  <c r="BB106" i="4"/>
  <c r="BB94" i="4"/>
  <c r="BB5" i="4"/>
  <c r="BB71" i="4"/>
  <c r="BA157" i="4"/>
  <c r="BD4" i="4"/>
  <c r="AZ84" i="4"/>
  <c r="AZ159" i="4"/>
  <c r="BA83" i="4"/>
  <c r="BA160" i="4" s="1"/>
  <c r="BA158" i="4"/>
  <c r="AZ117" i="4"/>
  <c r="BA113" i="4" s="1"/>
  <c r="AZ115" i="4"/>
  <c r="BB116" i="4"/>
  <c r="BB114" i="4"/>
  <c r="BA121" i="4"/>
  <c r="BA107" i="4"/>
  <c r="BA81" i="4"/>
  <c r="BA159" i="4" s="1"/>
  <c r="BB36" i="4"/>
  <c r="BB54" i="4"/>
  <c r="BB52" i="4"/>
  <c r="BB53" i="4"/>
  <c r="BB51" i="4"/>
  <c r="BB56" i="4"/>
  <c r="BB42" i="4"/>
  <c r="BB46" i="4" s="1"/>
  <c r="BB55" i="4"/>
  <c r="BB40" i="4"/>
  <c r="BB41" i="4"/>
  <c r="BB45" i="4" s="1"/>
  <c r="BB32" i="4"/>
  <c r="BD12" i="4"/>
  <c r="BA35" i="4"/>
  <c r="BC6" i="4"/>
  <c r="BB9" i="4"/>
  <c r="BE3" i="4"/>
  <c r="BE11" i="4" s="1"/>
  <c r="AZ147" i="4" l="1"/>
  <c r="AZ166" i="4" s="1"/>
  <c r="AZ150" i="4"/>
  <c r="BA144" i="4" s="1"/>
  <c r="BA148" i="4" s="1"/>
  <c r="BA150" i="4" s="1"/>
  <c r="BB144" i="4" s="1"/>
  <c r="BB148" i="4" s="1"/>
  <c r="BC60" i="4"/>
  <c r="BC149" i="4"/>
  <c r="BC167" i="4" s="1"/>
  <c r="BC65" i="4"/>
  <c r="BC66" i="4"/>
  <c r="BC134" i="4"/>
  <c r="BC126" i="4"/>
  <c r="BE13" i="4"/>
  <c r="BC39" i="4"/>
  <c r="BC82" i="4"/>
  <c r="BC80" i="4"/>
  <c r="BC100" i="4"/>
  <c r="BC10" i="4"/>
  <c r="BC106" i="4"/>
  <c r="BC94" i="4"/>
  <c r="BC5" i="4"/>
  <c r="BC71" i="4"/>
  <c r="BB157" i="4"/>
  <c r="BE4" i="4"/>
  <c r="BA84" i="4"/>
  <c r="BB83" i="4"/>
  <c r="BB160" i="4" s="1"/>
  <c r="BB158" i="4"/>
  <c r="BB35" i="4"/>
  <c r="BB107" i="4"/>
  <c r="BB121" i="4"/>
  <c r="BC114" i="4"/>
  <c r="BC116" i="4"/>
  <c r="BA117" i="4"/>
  <c r="BB113" i="4" s="1"/>
  <c r="BA115" i="4"/>
  <c r="BE12" i="4"/>
  <c r="BC36" i="4"/>
  <c r="BB81" i="4"/>
  <c r="BB159" i="4" s="1"/>
  <c r="BC56" i="4"/>
  <c r="BC53" i="4"/>
  <c r="BC52" i="4"/>
  <c r="BC54" i="4"/>
  <c r="BC51" i="4"/>
  <c r="BC55" i="4"/>
  <c r="BC40" i="4"/>
  <c r="BC41" i="4"/>
  <c r="BC45" i="4" s="1"/>
  <c r="BC42" i="4"/>
  <c r="BC46" i="4" s="1"/>
  <c r="BC32" i="4"/>
  <c r="BD6" i="4"/>
  <c r="BC9" i="4"/>
  <c r="BF3" i="4"/>
  <c r="BF11" i="4" s="1"/>
  <c r="BA147" i="4" l="1"/>
  <c r="BA166" i="4" s="1"/>
  <c r="BD60" i="4"/>
  <c r="BD149" i="4"/>
  <c r="BD167" i="4" s="1"/>
  <c r="BD65" i="4"/>
  <c r="BD66" i="4"/>
  <c r="BB147" i="4"/>
  <c r="BB166" i="4" s="1"/>
  <c r="BD134" i="4"/>
  <c r="BD126" i="4"/>
  <c r="BF13" i="4"/>
  <c r="BD39" i="4"/>
  <c r="BD80" i="4"/>
  <c r="BD82" i="4"/>
  <c r="BD100" i="4"/>
  <c r="BD10" i="4"/>
  <c r="BD106" i="4"/>
  <c r="BD94" i="4"/>
  <c r="BD5" i="4"/>
  <c r="BD71" i="4"/>
  <c r="BC157" i="4"/>
  <c r="BF4" i="4"/>
  <c r="BC83" i="4"/>
  <c r="BC160" i="4" s="1"/>
  <c r="BC158" i="4"/>
  <c r="BB84" i="4"/>
  <c r="BB117" i="4"/>
  <c r="BC113" i="4" s="1"/>
  <c r="BB115" i="4"/>
  <c r="BC107" i="4"/>
  <c r="BC121" i="4"/>
  <c r="BD36" i="4"/>
  <c r="BD114" i="4"/>
  <c r="BD116" i="4"/>
  <c r="BD53" i="4"/>
  <c r="BD51" i="4"/>
  <c r="BD52" i="4"/>
  <c r="BD55" i="4"/>
  <c r="BD41" i="4"/>
  <c r="BD45" i="4" s="1"/>
  <c r="BD54" i="4"/>
  <c r="BD40" i="4"/>
  <c r="BD56" i="4"/>
  <c r="BD42" i="4"/>
  <c r="BD46" i="4" s="1"/>
  <c r="BD32" i="4"/>
  <c r="BC81" i="4"/>
  <c r="BC159" i="4" s="1"/>
  <c r="BC35" i="4"/>
  <c r="BF12" i="4"/>
  <c r="BE6" i="4"/>
  <c r="BD9" i="4"/>
  <c r="BG3" i="4"/>
  <c r="BG11" i="4" s="1"/>
  <c r="BE60" i="4" l="1"/>
  <c r="BE149" i="4"/>
  <c r="BE167" i="4" s="1"/>
  <c r="BE65" i="4"/>
  <c r="BE66" i="4"/>
  <c r="BE126" i="4"/>
  <c r="BE134" i="4"/>
  <c r="BG13" i="4"/>
  <c r="BE39" i="4"/>
  <c r="BE82" i="4"/>
  <c r="BE80" i="4"/>
  <c r="BE100" i="4"/>
  <c r="BE10" i="4"/>
  <c r="BE106" i="4"/>
  <c r="BE94" i="4"/>
  <c r="BE5" i="4"/>
  <c r="BE71" i="4"/>
  <c r="BD157" i="4"/>
  <c r="BG4" i="4"/>
  <c r="BC84" i="4"/>
  <c r="BD83" i="4"/>
  <c r="BD160" i="4" s="1"/>
  <c r="BD158" i="4"/>
  <c r="BD35" i="4"/>
  <c r="BE114" i="4"/>
  <c r="BE116" i="4"/>
  <c r="BD121" i="4"/>
  <c r="BD107" i="4"/>
  <c r="BC117" i="4"/>
  <c r="BD113" i="4" s="1"/>
  <c r="BC115" i="4"/>
  <c r="BD81" i="4"/>
  <c r="BE51" i="4"/>
  <c r="BE52" i="4"/>
  <c r="BE55" i="4"/>
  <c r="BE56" i="4"/>
  <c r="BE53" i="4"/>
  <c r="BE54" i="4"/>
  <c r="BE42" i="4"/>
  <c r="BE46" i="4" s="1"/>
  <c r="BE40" i="4"/>
  <c r="BE41" i="4"/>
  <c r="BE45" i="4" s="1"/>
  <c r="BE32" i="4"/>
  <c r="BE36" i="4"/>
  <c r="BG12" i="4"/>
  <c r="BF6" i="4"/>
  <c r="BE9" i="4"/>
  <c r="BH3" i="4"/>
  <c r="BH11" i="4" s="1"/>
  <c r="BF60" i="4" l="1"/>
  <c r="BF149" i="4"/>
  <c r="BF167" i="4" s="1"/>
  <c r="BF65" i="4"/>
  <c r="BF66" i="4"/>
  <c r="BF126" i="4"/>
  <c r="BF134" i="4"/>
  <c r="BH13" i="4"/>
  <c r="BF39" i="4"/>
  <c r="BF80" i="4"/>
  <c r="BF82" i="4"/>
  <c r="BF100" i="4"/>
  <c r="BF10" i="4"/>
  <c r="BF106" i="4"/>
  <c r="BE35" i="4"/>
  <c r="BF94" i="4"/>
  <c r="BF5" i="4"/>
  <c r="BF71" i="4"/>
  <c r="BE157" i="4"/>
  <c r="BH4" i="4"/>
  <c r="BF48" i="4"/>
  <c r="BD84" i="4"/>
  <c r="BD159" i="4"/>
  <c r="BE83" i="4"/>
  <c r="BE160" i="4" s="1"/>
  <c r="BE158" i="4"/>
  <c r="BD117" i="4"/>
  <c r="BE113" i="4" s="1"/>
  <c r="BD115" i="4"/>
  <c r="BE121" i="4"/>
  <c r="BE107" i="4"/>
  <c r="BF116" i="4"/>
  <c r="BF114" i="4"/>
  <c r="BF32" i="4"/>
  <c r="BE81" i="4"/>
  <c r="BE159" i="4" s="1"/>
  <c r="BF52" i="4"/>
  <c r="BF54" i="4"/>
  <c r="BF55" i="4"/>
  <c r="BF51" i="4"/>
  <c r="BF41" i="4"/>
  <c r="BF45" i="4" s="1"/>
  <c r="BF53" i="4"/>
  <c r="BF40" i="4"/>
  <c r="BF56" i="4"/>
  <c r="BF42" i="4"/>
  <c r="BF46" i="4" s="1"/>
  <c r="BH12" i="4"/>
  <c r="BF36" i="4"/>
  <c r="BG6" i="4"/>
  <c r="BF9" i="4"/>
  <c r="BI3" i="4"/>
  <c r="BI11" i="4" s="1"/>
  <c r="BG60" i="4" l="1"/>
  <c r="BG149" i="4"/>
  <c r="BG167" i="4" s="1"/>
  <c r="BG65" i="4"/>
  <c r="BG66" i="4"/>
  <c r="BG134" i="4"/>
  <c r="BG126" i="4"/>
  <c r="BI13" i="4"/>
  <c r="BG39" i="4"/>
  <c r="BG82" i="4"/>
  <c r="BG80" i="4"/>
  <c r="BG100" i="4"/>
  <c r="BG10" i="4"/>
  <c r="BG106" i="4"/>
  <c r="BG94" i="4"/>
  <c r="BG5" i="4"/>
  <c r="BG71" i="4"/>
  <c r="BF157" i="4"/>
  <c r="BI4" i="4"/>
  <c r="BE84" i="4"/>
  <c r="BG48" i="4"/>
  <c r="BF83" i="4"/>
  <c r="BF160" i="4" s="1"/>
  <c r="BF158" i="4"/>
  <c r="BG36" i="4"/>
  <c r="BG114" i="4"/>
  <c r="BG116" i="4"/>
  <c r="BF121" i="4"/>
  <c r="BF107" i="4"/>
  <c r="BE117" i="4"/>
  <c r="BF113" i="4" s="1"/>
  <c r="BE115" i="4"/>
  <c r="BF81" i="4"/>
  <c r="BG54" i="4"/>
  <c r="BG52" i="4"/>
  <c r="BG55" i="4"/>
  <c r="BG56" i="4"/>
  <c r="BG40" i="4"/>
  <c r="BG41" i="4"/>
  <c r="BG45" i="4" s="1"/>
  <c r="BG53" i="4"/>
  <c r="BG51" i="4"/>
  <c r="BG42" i="4"/>
  <c r="BG46" i="4" s="1"/>
  <c r="BF35" i="4"/>
  <c r="BI12" i="4"/>
  <c r="BG32" i="4"/>
  <c r="BH6" i="4"/>
  <c r="BG9" i="4"/>
  <c r="BJ3" i="4"/>
  <c r="BJ11" i="4" s="1"/>
  <c r="BH60" i="4" l="1"/>
  <c r="BH149" i="4"/>
  <c r="BH167" i="4" s="1"/>
  <c r="BH66" i="4"/>
  <c r="BH65" i="4"/>
  <c r="BH134" i="4"/>
  <c r="BH126" i="4"/>
  <c r="BJ13" i="4"/>
  <c r="BH82" i="4"/>
  <c r="BH80" i="4"/>
  <c r="BH100" i="4"/>
  <c r="BH39" i="4"/>
  <c r="BH10" i="4"/>
  <c r="BH106" i="4"/>
  <c r="BH94" i="4"/>
  <c r="BH32" i="4"/>
  <c r="BH5" i="4"/>
  <c r="BH71" i="4"/>
  <c r="BG157" i="4"/>
  <c r="BJ4" i="4"/>
  <c r="BG35" i="4"/>
  <c r="BH48" i="4"/>
  <c r="BF84" i="4"/>
  <c r="BF159" i="4"/>
  <c r="BG83" i="4"/>
  <c r="BG160" i="4" s="1"/>
  <c r="BG158" i="4"/>
  <c r="BF117" i="4"/>
  <c r="BG113" i="4" s="1"/>
  <c r="BF115" i="4"/>
  <c r="BH116" i="4"/>
  <c r="BH114" i="4"/>
  <c r="BG107" i="4"/>
  <c r="BG121" i="4"/>
  <c r="BG81" i="4"/>
  <c r="BG159" i="4" s="1"/>
  <c r="BH51" i="4"/>
  <c r="BH53" i="4"/>
  <c r="BH54" i="4"/>
  <c r="BH52" i="4"/>
  <c r="BH56" i="4"/>
  <c r="BH41" i="4"/>
  <c r="BH45" i="4" s="1"/>
  <c r="BH42" i="4"/>
  <c r="BH46" i="4" s="1"/>
  <c r="BH55" i="4"/>
  <c r="BH40" i="4"/>
  <c r="BH36" i="4"/>
  <c r="BJ12" i="4"/>
  <c r="BI6" i="4"/>
  <c r="BH9" i="4"/>
  <c r="BK3" i="4"/>
  <c r="BK11" i="4" s="1"/>
  <c r="BI60" i="4" l="1"/>
  <c r="BI149" i="4"/>
  <c r="BI167" i="4" s="1"/>
  <c r="BI65" i="4"/>
  <c r="BI66" i="4"/>
  <c r="BI126" i="4"/>
  <c r="BI134" i="4"/>
  <c r="BK13" i="4"/>
  <c r="BI39" i="4"/>
  <c r="BI82" i="4"/>
  <c r="BI80" i="4"/>
  <c r="BI100" i="4"/>
  <c r="BI10" i="4"/>
  <c r="BI106" i="4"/>
  <c r="BI94" i="4"/>
  <c r="BI5" i="4"/>
  <c r="BI71" i="4"/>
  <c r="BK4" i="4"/>
  <c r="BI48" i="4"/>
  <c r="BG84" i="4"/>
  <c r="BI32" i="4"/>
  <c r="BI116" i="4"/>
  <c r="BI114" i="4"/>
  <c r="BH107" i="4"/>
  <c r="BH121" i="4"/>
  <c r="BG117" i="4"/>
  <c r="BH113" i="4" s="1"/>
  <c r="BG115" i="4"/>
  <c r="BI51" i="4"/>
  <c r="BI54" i="4"/>
  <c r="BI53" i="4"/>
  <c r="BI56" i="4"/>
  <c r="BI55" i="4"/>
  <c r="BI42" i="4"/>
  <c r="BI46" i="4" s="1"/>
  <c r="BI52" i="4"/>
  <c r="BI40" i="4"/>
  <c r="BI41" i="4"/>
  <c r="BI45" i="4" s="1"/>
  <c r="BI36" i="4"/>
  <c r="BH35" i="4"/>
  <c r="BK12" i="4"/>
  <c r="BJ6" i="4"/>
  <c r="BI9" i="4"/>
  <c r="BL3" i="4"/>
  <c r="BL11" i="4" s="1"/>
  <c r="BJ60" i="4" l="1"/>
  <c r="BJ149" i="4"/>
  <c r="BJ167" i="4" s="1"/>
  <c r="BJ65" i="4"/>
  <c r="BJ66" i="4"/>
  <c r="BJ134" i="4"/>
  <c r="BJ126" i="4"/>
  <c r="BL13" i="4"/>
  <c r="BJ39" i="4"/>
  <c r="BJ82" i="4"/>
  <c r="BJ80" i="4"/>
  <c r="BJ100" i="4"/>
  <c r="BJ10" i="4"/>
  <c r="BJ106" i="4"/>
  <c r="BJ94" i="4"/>
  <c r="BJ5" i="4"/>
  <c r="BJ71" i="4"/>
  <c r="BI157" i="4"/>
  <c r="BL4" i="4"/>
  <c r="BJ48" i="4"/>
  <c r="BI83" i="4"/>
  <c r="BI160" i="4" s="1"/>
  <c r="BI158" i="4"/>
  <c r="BH117" i="4"/>
  <c r="BI113" i="4" s="1"/>
  <c r="BH115" i="4"/>
  <c r="BI107" i="4"/>
  <c r="BI121" i="4"/>
  <c r="BJ116" i="4"/>
  <c r="BJ114" i="4"/>
  <c r="BI81" i="4"/>
  <c r="BI159" i="4" s="1"/>
  <c r="BJ52" i="4"/>
  <c r="BJ51" i="4"/>
  <c r="BJ55" i="4"/>
  <c r="BJ42" i="4"/>
  <c r="BJ46" i="4" s="1"/>
  <c r="BJ53" i="4"/>
  <c r="BJ54" i="4"/>
  <c r="BJ56" i="4"/>
  <c r="BJ40" i="4"/>
  <c r="BJ41" i="4"/>
  <c r="BJ45" i="4" s="1"/>
  <c r="BM3" i="4"/>
  <c r="BM11" i="4" s="1"/>
  <c r="BL12" i="4"/>
  <c r="BI35" i="4"/>
  <c r="BJ36" i="4"/>
  <c r="BJ32" i="4"/>
  <c r="BK6" i="4"/>
  <c r="BJ9" i="4"/>
  <c r="BK60" i="4" l="1"/>
  <c r="BK149" i="4"/>
  <c r="BK167" i="4" s="1"/>
  <c r="BK65" i="4"/>
  <c r="BK66" i="4"/>
  <c r="BK134" i="4"/>
  <c r="BK126" i="4"/>
  <c r="BM13" i="4"/>
  <c r="BK39" i="4"/>
  <c r="BK82" i="4"/>
  <c r="BK80" i="4"/>
  <c r="BK100" i="4"/>
  <c r="BK10" i="4"/>
  <c r="BK106" i="4"/>
  <c r="BK94" i="4"/>
  <c r="BK5" i="4"/>
  <c r="BK71" i="4"/>
  <c r="BJ157" i="4"/>
  <c r="BM4" i="4"/>
  <c r="BI84" i="4"/>
  <c r="BK48" i="4"/>
  <c r="BJ83" i="4"/>
  <c r="BJ160" i="4" s="1"/>
  <c r="BJ158" i="4"/>
  <c r="BJ107" i="4"/>
  <c r="BJ121" i="4"/>
  <c r="BK114" i="4"/>
  <c r="BK116" i="4"/>
  <c r="BI117" i="4"/>
  <c r="BJ113" i="4" s="1"/>
  <c r="BI115" i="4"/>
  <c r="BN3" i="4"/>
  <c r="BN11" i="4" s="1"/>
  <c r="BM12" i="4"/>
  <c r="BK32" i="4"/>
  <c r="BJ81" i="4"/>
  <c r="BK52" i="4"/>
  <c r="BK53" i="4"/>
  <c r="BK56" i="4"/>
  <c r="BK51" i="4"/>
  <c r="BK55" i="4"/>
  <c r="BK54" i="4"/>
  <c r="BK42" i="4"/>
  <c r="BK46" i="4" s="1"/>
  <c r="BK40" i="4"/>
  <c r="BK41" i="4"/>
  <c r="BK45" i="4" s="1"/>
  <c r="BK36" i="4"/>
  <c r="BJ35" i="4"/>
  <c r="BL6" i="4"/>
  <c r="BK9" i="4"/>
  <c r="BL60" i="4" l="1"/>
  <c r="BL149" i="4"/>
  <c r="BL167" i="4" s="1"/>
  <c r="BL65" i="4"/>
  <c r="BL66" i="4"/>
  <c r="BL134" i="4"/>
  <c r="BL126" i="4"/>
  <c r="BN13" i="4"/>
  <c r="BL39" i="4"/>
  <c r="BL80" i="4"/>
  <c r="BL82" i="4"/>
  <c r="BL100" i="4"/>
  <c r="BL10" i="4"/>
  <c r="BL106" i="4"/>
  <c r="BL94" i="4"/>
  <c r="BL5" i="4"/>
  <c r="BL71" i="4"/>
  <c r="BK157" i="4"/>
  <c r="BN4" i="4"/>
  <c r="BL48" i="4"/>
  <c r="BK83" i="4"/>
  <c r="BK160" i="4" s="1"/>
  <c r="BK158" i="4"/>
  <c r="BJ84" i="4"/>
  <c r="BJ159" i="4"/>
  <c r="BL36" i="4"/>
  <c r="BJ117" i="4"/>
  <c r="BK113" i="4" s="1"/>
  <c r="BJ115" i="4"/>
  <c r="BK107" i="4"/>
  <c r="BK121" i="4"/>
  <c r="BL114" i="4"/>
  <c r="BL116" i="4"/>
  <c r="BK81" i="4"/>
  <c r="BL32" i="4"/>
  <c r="BK35" i="4"/>
  <c r="BM6" i="4"/>
  <c r="BL53" i="4"/>
  <c r="BL51" i="4"/>
  <c r="BL54" i="4"/>
  <c r="BL41" i="4"/>
  <c r="BL45" i="4" s="1"/>
  <c r="BL55" i="4"/>
  <c r="BL56" i="4"/>
  <c r="BL42" i="4"/>
  <c r="BL46" i="4" s="1"/>
  <c r="BL40" i="4"/>
  <c r="BL52" i="4"/>
  <c r="BN12" i="4"/>
  <c r="BO3" i="4"/>
  <c r="BO11" i="4" s="1"/>
  <c r="BL9" i="4"/>
  <c r="BM60" i="4" l="1"/>
  <c r="BM134" i="4"/>
  <c r="BM126" i="4"/>
  <c r="BO13" i="4"/>
  <c r="BM39" i="4"/>
  <c r="BM100" i="4"/>
  <c r="BM10" i="4"/>
  <c r="BM106" i="4"/>
  <c r="BM94" i="4"/>
  <c r="BM5" i="4"/>
  <c r="BM71" i="4"/>
  <c r="BL157" i="4"/>
  <c r="BO4" i="4"/>
  <c r="BM48" i="4"/>
  <c r="BK84" i="4"/>
  <c r="BK159" i="4"/>
  <c r="BL83" i="4"/>
  <c r="BL160" i="4" s="1"/>
  <c r="BL158" i="4"/>
  <c r="BL35" i="4"/>
  <c r="BM114" i="4"/>
  <c r="BM116" i="4"/>
  <c r="BL121" i="4"/>
  <c r="BL107" i="4"/>
  <c r="BK117" i="4"/>
  <c r="BL113" i="4" s="1"/>
  <c r="BK115" i="4"/>
  <c r="BO12" i="4"/>
  <c r="BP3" i="4"/>
  <c r="BP11" i="4" s="1"/>
  <c r="BL81" i="4"/>
  <c r="BM54" i="4"/>
  <c r="BM32" i="4"/>
  <c r="BN6" i="4"/>
  <c r="BM9" i="4"/>
  <c r="BM53" i="4"/>
  <c r="BM40" i="4"/>
  <c r="BM55" i="4"/>
  <c r="BM51" i="4"/>
  <c r="BM41" i="4"/>
  <c r="BM45" i="4" s="1"/>
  <c r="BM56" i="4"/>
  <c r="BM52" i="4"/>
  <c r="BM42" i="4"/>
  <c r="BM46" i="4" s="1"/>
  <c r="BM36" i="4"/>
  <c r="BN60" i="4" l="1"/>
  <c r="BN126" i="4"/>
  <c r="BN134" i="4"/>
  <c r="BP13" i="4"/>
  <c r="BN100" i="4"/>
  <c r="BN39" i="4"/>
  <c r="BN44" i="4" s="1"/>
  <c r="BN10" i="4"/>
  <c r="BN106" i="4"/>
  <c r="BN94" i="4"/>
  <c r="BM35" i="4"/>
  <c r="BN5" i="4"/>
  <c r="BN71" i="4"/>
  <c r="BP4" i="4"/>
  <c r="BN48" i="4"/>
  <c r="BL84" i="4"/>
  <c r="BL159" i="4"/>
  <c r="BN114" i="4"/>
  <c r="BN116" i="4"/>
  <c r="BL117" i="4"/>
  <c r="BM113" i="4" s="1"/>
  <c r="BL115" i="4"/>
  <c r="BM121" i="4"/>
  <c r="BM107" i="4"/>
  <c r="BN56" i="4"/>
  <c r="BN53" i="4"/>
  <c r="BN9" i="4"/>
  <c r="BN32" i="4"/>
  <c r="BN52" i="4"/>
  <c r="BN40" i="4"/>
  <c r="BN36" i="4"/>
  <c r="BN54" i="4"/>
  <c r="BN41" i="4"/>
  <c r="BN45" i="4" s="1"/>
  <c r="BO6" i="4"/>
  <c r="BN51" i="4"/>
  <c r="BN42" i="4"/>
  <c r="BN46" i="4" s="1"/>
  <c r="BN55" i="4"/>
  <c r="BP12" i="4"/>
  <c r="BQ3" i="4"/>
  <c r="BQ11" i="4" s="1"/>
  <c r="BO60" i="4" l="1"/>
  <c r="BO134" i="4"/>
  <c r="BO126" i="4"/>
  <c r="BQ13" i="4"/>
  <c r="BO39" i="4"/>
  <c r="BO100" i="4"/>
  <c r="BO10" i="4"/>
  <c r="BO106" i="4"/>
  <c r="BO94" i="4"/>
  <c r="BN35" i="4"/>
  <c r="BO5" i="4"/>
  <c r="BO71" i="4"/>
  <c r="BQ4" i="4"/>
  <c r="BO48" i="4"/>
  <c r="BM117" i="4"/>
  <c r="BN113" i="4" s="1"/>
  <c r="BM115" i="4"/>
  <c r="BO114" i="4"/>
  <c r="BO116" i="4"/>
  <c r="BN121" i="4"/>
  <c r="BN107" i="4"/>
  <c r="BP6" i="4"/>
  <c r="BO9" i="4"/>
  <c r="BO41" i="4"/>
  <c r="BO45" i="4" s="1"/>
  <c r="BO32" i="4"/>
  <c r="BO55" i="4"/>
  <c r="BO36" i="4"/>
  <c r="BO40" i="4"/>
  <c r="BO52" i="4"/>
  <c r="BO54" i="4"/>
  <c r="BO42" i="4"/>
  <c r="BO46" i="4" s="1"/>
  <c r="BO51" i="4"/>
  <c r="BO56" i="4"/>
  <c r="BO53" i="4"/>
  <c r="BQ12" i="4"/>
  <c r="BR3" i="4"/>
  <c r="BR11" i="4" s="1"/>
  <c r="BP60" i="4" l="1"/>
  <c r="BP65" i="4"/>
  <c r="BP66" i="4"/>
  <c r="BP149" i="4"/>
  <c r="BP167" i="4" s="1"/>
  <c r="BP134" i="4"/>
  <c r="BP126" i="4"/>
  <c r="BR13" i="4"/>
  <c r="BP39" i="4"/>
  <c r="BP82" i="4"/>
  <c r="BP80" i="4"/>
  <c r="BP100" i="4"/>
  <c r="BP10" i="4"/>
  <c r="BP106" i="4"/>
  <c r="BP94" i="4"/>
  <c r="BO35" i="4"/>
  <c r="BP5" i="4"/>
  <c r="BP71" i="4"/>
  <c r="BR4" i="4"/>
  <c r="BP48" i="4"/>
  <c r="BP114" i="4"/>
  <c r="BP116" i="4"/>
  <c r="BO107" i="4"/>
  <c r="BO121" i="4"/>
  <c r="BN117" i="4"/>
  <c r="BO113" i="4" s="1"/>
  <c r="BN115" i="4"/>
  <c r="BR12" i="4"/>
  <c r="BS3" i="4"/>
  <c r="BS11" i="4" s="1"/>
  <c r="BP9" i="4"/>
  <c r="BP41" i="4"/>
  <c r="BP45" i="4" s="1"/>
  <c r="BP40" i="4"/>
  <c r="BP32" i="4"/>
  <c r="BQ6" i="4"/>
  <c r="BP54" i="4"/>
  <c r="BP36" i="4"/>
  <c r="BP51" i="4"/>
  <c r="BP42" i="4"/>
  <c r="BP46" i="4" s="1"/>
  <c r="BP55" i="4"/>
  <c r="BP56" i="4"/>
  <c r="BP52" i="4"/>
  <c r="BP53" i="4"/>
  <c r="BQ60" i="4" l="1"/>
  <c r="BQ134" i="4"/>
  <c r="BQ126" i="4"/>
  <c r="BS13" i="4"/>
  <c r="BQ39" i="4"/>
  <c r="BP35" i="4"/>
  <c r="BQ100" i="4"/>
  <c r="BQ10" i="4"/>
  <c r="BQ106" i="4"/>
  <c r="BQ94" i="4"/>
  <c r="BQ5" i="4"/>
  <c r="BQ71" i="4"/>
  <c r="BP157" i="4"/>
  <c r="BS4" i="4"/>
  <c r="BQ48" i="4"/>
  <c r="BP83" i="4"/>
  <c r="BP160" i="4" s="1"/>
  <c r="BP158" i="4"/>
  <c r="BQ116" i="4"/>
  <c r="BQ114" i="4"/>
  <c r="BO117" i="4"/>
  <c r="BP113" i="4" s="1"/>
  <c r="BO115" i="4"/>
  <c r="BP107" i="4"/>
  <c r="BP121" i="4"/>
  <c r="BP81" i="4"/>
  <c r="BT3" i="4"/>
  <c r="BT11" i="4" s="1"/>
  <c r="BS12" i="4"/>
  <c r="BR6" i="4"/>
  <c r="BQ51" i="4"/>
  <c r="BQ42" i="4"/>
  <c r="BQ46" i="4" s="1"/>
  <c r="BQ54" i="4"/>
  <c r="BQ56" i="4"/>
  <c r="BQ36" i="4"/>
  <c r="BQ55" i="4"/>
  <c r="BQ40" i="4"/>
  <c r="BQ41" i="4"/>
  <c r="BQ45" i="4" s="1"/>
  <c r="BQ52" i="4"/>
  <c r="BQ9" i="4"/>
  <c r="BQ32" i="4"/>
  <c r="BQ53" i="4"/>
  <c r="BR60" i="4" l="1"/>
  <c r="BQ35" i="4"/>
  <c r="BR65" i="4"/>
  <c r="BR66" i="4"/>
  <c r="BR149" i="4"/>
  <c r="BR167" i="4" s="1"/>
  <c r="BR126" i="4"/>
  <c r="BR134" i="4"/>
  <c r="BT13" i="4"/>
  <c r="BR39" i="4"/>
  <c r="BR82" i="4"/>
  <c r="BR80" i="4"/>
  <c r="BR100" i="4"/>
  <c r="BR10" i="4"/>
  <c r="BR106" i="4"/>
  <c r="BR94" i="4"/>
  <c r="BR5" i="4"/>
  <c r="BR71" i="4"/>
  <c r="BT4" i="4"/>
  <c r="BR48" i="4"/>
  <c r="BP84" i="4"/>
  <c r="BP159" i="4"/>
  <c r="BP117" i="4"/>
  <c r="BQ113" i="4" s="1"/>
  <c r="BP115" i="4"/>
  <c r="BQ107" i="4"/>
  <c r="BQ121" i="4"/>
  <c r="BR116" i="4"/>
  <c r="BR114" i="4"/>
  <c r="BT12" i="4"/>
  <c r="BU3" i="4"/>
  <c r="BU11" i="4" s="1"/>
  <c r="BS6" i="4"/>
  <c r="BR54" i="4"/>
  <c r="BR9" i="4"/>
  <c r="BR36" i="4"/>
  <c r="BR41" i="4"/>
  <c r="BR45" i="4" s="1"/>
  <c r="BR40" i="4"/>
  <c r="BR42" i="4"/>
  <c r="BR46" i="4" s="1"/>
  <c r="BR55" i="4"/>
  <c r="BR52" i="4"/>
  <c r="BR56" i="4"/>
  <c r="BR32" i="4"/>
  <c r="BR53" i="4"/>
  <c r="BR51" i="4"/>
  <c r="BR35" i="4" l="1"/>
  <c r="BS60" i="4"/>
  <c r="BS65" i="4"/>
  <c r="BS66" i="4"/>
  <c r="BS149" i="4"/>
  <c r="BS167" i="4" s="1"/>
  <c r="BS134" i="4"/>
  <c r="BS126" i="4"/>
  <c r="BU13" i="4"/>
  <c r="BS39" i="4"/>
  <c r="BS82" i="4"/>
  <c r="BS80" i="4"/>
  <c r="BS100" i="4"/>
  <c r="BS10" i="4"/>
  <c r="BS106" i="4"/>
  <c r="BS94" i="4"/>
  <c r="BS5" i="4"/>
  <c r="BS71" i="4"/>
  <c r="BR157" i="4"/>
  <c r="BU4" i="4"/>
  <c r="BS48" i="4"/>
  <c r="BR83" i="4"/>
  <c r="BR160" i="4" s="1"/>
  <c r="BR158" i="4"/>
  <c r="BS114" i="4"/>
  <c r="BS116" i="4"/>
  <c r="BR107" i="4"/>
  <c r="BR121" i="4"/>
  <c r="BQ117" i="4"/>
  <c r="BR113" i="4" s="1"/>
  <c r="BQ115" i="4"/>
  <c r="BV3" i="4"/>
  <c r="BV11" i="4" s="1"/>
  <c r="BU12" i="4"/>
  <c r="BS36" i="4"/>
  <c r="BS35" i="4" s="1"/>
  <c r="BS55" i="4"/>
  <c r="BS9" i="4"/>
  <c r="BS42" i="4"/>
  <c r="BS46" i="4" s="1"/>
  <c r="BS56" i="4"/>
  <c r="BS51" i="4"/>
  <c r="BS32" i="4"/>
  <c r="BS52" i="4"/>
  <c r="BS53" i="4"/>
  <c r="BT6" i="4"/>
  <c r="BS40" i="4"/>
  <c r="BS54" i="4"/>
  <c r="BS41" i="4"/>
  <c r="BS45" i="4" s="1"/>
  <c r="BR81" i="4"/>
  <c r="BT60" i="4" l="1"/>
  <c r="BT65" i="4"/>
  <c r="BT66" i="4"/>
  <c r="BT149" i="4"/>
  <c r="BT167" i="4" s="1"/>
  <c r="BT134" i="4"/>
  <c r="BT126" i="4"/>
  <c r="BV13" i="4"/>
  <c r="BT39" i="4"/>
  <c r="BT82" i="4"/>
  <c r="BT80" i="4"/>
  <c r="BT100" i="4"/>
  <c r="BT10" i="4"/>
  <c r="BT106" i="4"/>
  <c r="BT94" i="4"/>
  <c r="BT5" i="4"/>
  <c r="BT71" i="4"/>
  <c r="BS157" i="4"/>
  <c r="BV4" i="4"/>
  <c r="BT48" i="4"/>
  <c r="BR84" i="4"/>
  <c r="BR159" i="4"/>
  <c r="BS83" i="4"/>
  <c r="BS160" i="4" s="1"/>
  <c r="BS158" i="4"/>
  <c r="BR117" i="4"/>
  <c r="BS113" i="4" s="1"/>
  <c r="BR115" i="4"/>
  <c r="BS121" i="4"/>
  <c r="BS107" i="4"/>
  <c r="BT114" i="4"/>
  <c r="BT116" i="4"/>
  <c r="BS81" i="4"/>
  <c r="BV12" i="4"/>
  <c r="BW3" i="4"/>
  <c r="BW11" i="4" s="1"/>
  <c r="BU6" i="4"/>
  <c r="BT55" i="4"/>
  <c r="BT9" i="4"/>
  <c r="BT32" i="4"/>
  <c r="BT42" i="4"/>
  <c r="BT46" i="4" s="1"/>
  <c r="BT40" i="4"/>
  <c r="BT56" i="4"/>
  <c r="BT53" i="4"/>
  <c r="BT36" i="4"/>
  <c r="BT35" i="4" s="1"/>
  <c r="BT54" i="4"/>
  <c r="BT41" i="4"/>
  <c r="BT45" i="4" s="1"/>
  <c r="BT52" i="4"/>
  <c r="BT51" i="4"/>
  <c r="BU60" i="4" l="1"/>
  <c r="BU65" i="4"/>
  <c r="BU66" i="4"/>
  <c r="BU149" i="4"/>
  <c r="BU167" i="4" s="1"/>
  <c r="BU134" i="4"/>
  <c r="BU126" i="4"/>
  <c r="BW13" i="4"/>
  <c r="BU39" i="4"/>
  <c r="BU82" i="4"/>
  <c r="BU80" i="4"/>
  <c r="BU100" i="4"/>
  <c r="BU10" i="4"/>
  <c r="BU106" i="4"/>
  <c r="BU94" i="4"/>
  <c r="BU5" i="4"/>
  <c r="BU71" i="4"/>
  <c r="BT157" i="4"/>
  <c r="BW4" i="4"/>
  <c r="BU48" i="4"/>
  <c r="BS84" i="4"/>
  <c r="BS159" i="4"/>
  <c r="BT83" i="4"/>
  <c r="BT160" i="4" s="1"/>
  <c r="BT158" i="4"/>
  <c r="BT121" i="4"/>
  <c r="BT107" i="4"/>
  <c r="BU114" i="4"/>
  <c r="BU116" i="4"/>
  <c r="BS117" i="4"/>
  <c r="BT113" i="4" s="1"/>
  <c r="BS115" i="4"/>
  <c r="BX3" i="4"/>
  <c r="BX11" i="4" s="1"/>
  <c r="BW12" i="4"/>
  <c r="BU36" i="4"/>
  <c r="BU35" i="4" s="1"/>
  <c r="BU9" i="4"/>
  <c r="BU42" i="4"/>
  <c r="BU46" i="4" s="1"/>
  <c r="BU40" i="4"/>
  <c r="BU52" i="4"/>
  <c r="BV6" i="4"/>
  <c r="BU41" i="4"/>
  <c r="BU45" i="4" s="1"/>
  <c r="BU56" i="4"/>
  <c r="BU54" i="4"/>
  <c r="BU32" i="4"/>
  <c r="BU51" i="4"/>
  <c r="BU55" i="4"/>
  <c r="BU53" i="4"/>
  <c r="BT81" i="4"/>
  <c r="BV60" i="4" l="1"/>
  <c r="BV65" i="4"/>
  <c r="BV66" i="4"/>
  <c r="BV149" i="4"/>
  <c r="BV167" i="4" s="1"/>
  <c r="BV134" i="4"/>
  <c r="BV126" i="4"/>
  <c r="BX13" i="4"/>
  <c r="BV39" i="4"/>
  <c r="BV82" i="4"/>
  <c r="BV80" i="4"/>
  <c r="BV100" i="4"/>
  <c r="BV10" i="4"/>
  <c r="BV106" i="4"/>
  <c r="BV94" i="4"/>
  <c r="BV5" i="4"/>
  <c r="BV71" i="4"/>
  <c r="BU157" i="4"/>
  <c r="BX4" i="4"/>
  <c r="BV48" i="4"/>
  <c r="BT84" i="4"/>
  <c r="BT159" i="4"/>
  <c r="BU83" i="4"/>
  <c r="BU160" i="4" s="1"/>
  <c r="BU158" i="4"/>
  <c r="BT117" i="4"/>
  <c r="BU113" i="4" s="1"/>
  <c r="BT115" i="4"/>
  <c r="BU121" i="4"/>
  <c r="BU107" i="4"/>
  <c r="BV116" i="4"/>
  <c r="BV114" i="4"/>
  <c r="BU81" i="4"/>
  <c r="BV32" i="4"/>
  <c r="BV56" i="4"/>
  <c r="BV40" i="4"/>
  <c r="BV36" i="4"/>
  <c r="BV35" i="4" s="1"/>
  <c r="BV54" i="4"/>
  <c r="BV42" i="4"/>
  <c r="BV46" i="4" s="1"/>
  <c r="BV9" i="4"/>
  <c r="BV52" i="4"/>
  <c r="BV41" i="4"/>
  <c r="BV45" i="4" s="1"/>
  <c r="BW6" i="4"/>
  <c r="BV51" i="4"/>
  <c r="BV55" i="4"/>
  <c r="BV53" i="4"/>
  <c r="BY3" i="4"/>
  <c r="BY11" i="4" s="1"/>
  <c r="BX12" i="4"/>
  <c r="BW60" i="4" l="1"/>
  <c r="BW65" i="4"/>
  <c r="BW66" i="4"/>
  <c r="BW149" i="4"/>
  <c r="BW167" i="4" s="1"/>
  <c r="BW134" i="4"/>
  <c r="BW126" i="4"/>
  <c r="BY13" i="4"/>
  <c r="BW39" i="4"/>
  <c r="BW80" i="4"/>
  <c r="BW82" i="4"/>
  <c r="BW100" i="4"/>
  <c r="BW10" i="4"/>
  <c r="BW106" i="4"/>
  <c r="BW94" i="4"/>
  <c r="BW5" i="4"/>
  <c r="BW71" i="4"/>
  <c r="BV157" i="4"/>
  <c r="BY4" i="4"/>
  <c r="BW48" i="4"/>
  <c r="BV83" i="4"/>
  <c r="BV160" i="4" s="1"/>
  <c r="BV158" i="4"/>
  <c r="BU84" i="4"/>
  <c r="BU159" i="4"/>
  <c r="BV121" i="4"/>
  <c r="BV107" i="4"/>
  <c r="BW114" i="4"/>
  <c r="BW116" i="4"/>
  <c r="BU117" i="4"/>
  <c r="BV113" i="4" s="1"/>
  <c r="BU115" i="4"/>
  <c r="BV81" i="4"/>
  <c r="BV159" i="4" s="1"/>
  <c r="BY12" i="4"/>
  <c r="BZ3" i="4"/>
  <c r="BW53" i="4"/>
  <c r="BW41" i="4"/>
  <c r="BW45" i="4" s="1"/>
  <c r="BX6" i="4"/>
  <c r="BW32" i="4"/>
  <c r="BW56" i="4"/>
  <c r="BW9" i="4"/>
  <c r="BW51" i="4"/>
  <c r="BW36" i="4"/>
  <c r="BW35" i="4" s="1"/>
  <c r="BW40" i="4"/>
  <c r="BW55" i="4"/>
  <c r="BW52" i="4"/>
  <c r="BW54" i="4"/>
  <c r="BW42" i="4"/>
  <c r="BW46" i="4" s="1"/>
  <c r="BX60" i="4" l="1"/>
  <c r="BX65" i="4"/>
  <c r="BX66" i="4"/>
  <c r="CA3" i="4"/>
  <c r="BZ11" i="4"/>
  <c r="BX149" i="4"/>
  <c r="BX167" i="4" s="1"/>
  <c r="BX126" i="4"/>
  <c r="BX134" i="4"/>
  <c r="BZ13" i="4"/>
  <c r="BX39" i="4"/>
  <c r="BX82" i="4"/>
  <c r="BX80" i="4"/>
  <c r="BX100" i="4"/>
  <c r="BX10" i="4"/>
  <c r="BX106" i="4"/>
  <c r="BX94" i="4"/>
  <c r="BX5" i="4"/>
  <c r="BX71" i="4"/>
  <c r="BW157" i="4"/>
  <c r="BZ4" i="4"/>
  <c r="BX48" i="4"/>
  <c r="BV84" i="4"/>
  <c r="BW83" i="4"/>
  <c r="BW160" i="4" s="1"/>
  <c r="BW158" i="4"/>
  <c r="BV117" i="4"/>
  <c r="BW113" i="4" s="1"/>
  <c r="BV115" i="4"/>
  <c r="BW107" i="4"/>
  <c r="BW121" i="4"/>
  <c r="BX114" i="4"/>
  <c r="BX116" i="4"/>
  <c r="BW81" i="4"/>
  <c r="BZ12" i="4"/>
  <c r="BX56" i="4"/>
  <c r="BX32" i="4"/>
  <c r="BX9" i="4"/>
  <c r="BX36" i="4"/>
  <c r="BX35" i="4" s="1"/>
  <c r="BX53" i="4"/>
  <c r="BX40" i="4"/>
  <c r="BX55" i="4"/>
  <c r="BX41" i="4"/>
  <c r="BX45" i="4" s="1"/>
  <c r="BX42" i="4"/>
  <c r="BX46" i="4" s="1"/>
  <c r="BX52" i="4"/>
  <c r="BY6" i="4"/>
  <c r="BX51" i="4"/>
  <c r="BX54" i="4"/>
  <c r="BY60" i="4" l="1"/>
  <c r="CA13" i="4"/>
  <c r="CB3" i="4"/>
  <c r="CA4" i="4"/>
  <c r="CA11" i="4"/>
  <c r="CA12" i="4"/>
  <c r="BY134" i="4"/>
  <c r="BY126" i="4"/>
  <c r="BY39" i="4"/>
  <c r="BY100" i="4"/>
  <c r="BY10" i="4"/>
  <c r="BY106" i="4"/>
  <c r="BY94" i="4"/>
  <c r="BY5" i="4"/>
  <c r="BY71" i="4"/>
  <c r="BX157" i="4"/>
  <c r="BY48" i="4"/>
  <c r="BX83" i="4"/>
  <c r="BX160" i="4" s="1"/>
  <c r="BX158" i="4"/>
  <c r="BW84" i="4"/>
  <c r="BW159" i="4"/>
  <c r="BY116" i="4"/>
  <c r="BY114" i="4"/>
  <c r="BX107" i="4"/>
  <c r="BX121" i="4"/>
  <c r="BW117" i="4"/>
  <c r="BX113" i="4" s="1"/>
  <c r="BW115" i="4"/>
  <c r="BZ6" i="4"/>
  <c r="BY54" i="4"/>
  <c r="BY41" i="4"/>
  <c r="BY45" i="4" s="1"/>
  <c r="BY42" i="4"/>
  <c r="BY46" i="4" s="1"/>
  <c r="BY9" i="4"/>
  <c r="BY51" i="4"/>
  <c r="BY56" i="4"/>
  <c r="BY32" i="4"/>
  <c r="BY53" i="4"/>
  <c r="BY52" i="4"/>
  <c r="BY55" i="4"/>
  <c r="BY40" i="4"/>
  <c r="BY36" i="4"/>
  <c r="BY35" i="4" s="1"/>
  <c r="BX81" i="4"/>
  <c r="BZ60" i="4" l="1"/>
  <c r="BZ65" i="4"/>
  <c r="BZ66" i="4"/>
  <c r="CC3" i="4"/>
  <c r="CB12" i="4"/>
  <c r="CB13" i="4"/>
  <c r="CB4" i="4"/>
  <c r="CB11" i="4"/>
  <c r="CA6" i="4"/>
  <c r="BZ149" i="4"/>
  <c r="BZ167" i="4" s="1"/>
  <c r="BZ126" i="4"/>
  <c r="BZ134" i="4"/>
  <c r="BZ39" i="4"/>
  <c r="BZ82" i="4"/>
  <c r="BZ80" i="4"/>
  <c r="BZ100" i="4"/>
  <c r="BZ10" i="4"/>
  <c r="BZ106" i="4"/>
  <c r="BZ94" i="4"/>
  <c r="BZ5" i="4"/>
  <c r="BZ71" i="4"/>
  <c r="BZ48" i="4"/>
  <c r="BX84" i="4"/>
  <c r="BX159" i="4"/>
  <c r="BX117" i="4"/>
  <c r="BY113" i="4" s="1"/>
  <c r="BX115" i="4"/>
  <c r="BY107" i="4"/>
  <c r="BY121" i="4"/>
  <c r="BZ116" i="4"/>
  <c r="BZ114" i="4"/>
  <c r="BZ56" i="4"/>
  <c r="BZ41" i="4"/>
  <c r="BZ45" i="4" s="1"/>
  <c r="BZ55" i="4"/>
  <c r="BZ9" i="4"/>
  <c r="BZ40" i="4"/>
  <c r="BZ52" i="4"/>
  <c r="BZ36" i="4"/>
  <c r="BZ35" i="4" s="1"/>
  <c r="BZ42" i="4"/>
  <c r="BZ46" i="4" s="1"/>
  <c r="BZ32" i="4"/>
  <c r="BZ53" i="4"/>
  <c r="BZ51" i="4"/>
  <c r="BZ54" i="4"/>
  <c r="CA60" i="4" l="1"/>
  <c r="CC12" i="4"/>
  <c r="CC13" i="4"/>
  <c r="CC4" i="4"/>
  <c r="CD3" i="4"/>
  <c r="CC11" i="4"/>
  <c r="CA65" i="4"/>
  <c r="CA66" i="4"/>
  <c r="CA40" i="4"/>
  <c r="CA51" i="4"/>
  <c r="CA55" i="4"/>
  <c r="CA126" i="4"/>
  <c r="CB6" i="4"/>
  <c r="CA114" i="4"/>
  <c r="CA9" i="4"/>
  <c r="CA41" i="4"/>
  <c r="CA45" i="4" s="1"/>
  <c r="CA52" i="4"/>
  <c r="CA56" i="4"/>
  <c r="CA80" i="4"/>
  <c r="CA134" i="4"/>
  <c r="CA10" i="4"/>
  <c r="CA32" i="4"/>
  <c r="CA149" i="4"/>
  <c r="CA167" i="4" s="1"/>
  <c r="CA36" i="4"/>
  <c r="CA35" i="4" s="1"/>
  <c r="CA42" i="4"/>
  <c r="CA46" i="4" s="1"/>
  <c r="CA48" i="4"/>
  <c r="CA53" i="4"/>
  <c r="CA94" i="4"/>
  <c r="CA116" i="4"/>
  <c r="CA39" i="4"/>
  <c r="CA44" i="4" s="1"/>
  <c r="CA54" i="4"/>
  <c r="CA71" i="4"/>
  <c r="CA82" i="4"/>
  <c r="CA106" i="4"/>
  <c r="CA5" i="4"/>
  <c r="BZ157" i="4"/>
  <c r="BZ83" i="4"/>
  <c r="BZ160" i="4" s="1"/>
  <c r="BZ158" i="4"/>
  <c r="BZ107" i="4"/>
  <c r="BZ121" i="4"/>
  <c r="BY117" i="4"/>
  <c r="BZ113" i="4" s="1"/>
  <c r="BY115" i="4"/>
  <c r="BZ81" i="4"/>
  <c r="CB60" i="4" l="1"/>
  <c r="CD13" i="4"/>
  <c r="CD4" i="4"/>
  <c r="CE3" i="4"/>
  <c r="CD11" i="4"/>
  <c r="CD12" i="4"/>
  <c r="CB65" i="4"/>
  <c r="CB66" i="4"/>
  <c r="CB149" i="4"/>
  <c r="CB167" i="4" s="1"/>
  <c r="CB40" i="4"/>
  <c r="CB51" i="4"/>
  <c r="CB55" i="4"/>
  <c r="CB126" i="4"/>
  <c r="CB114" i="4"/>
  <c r="CB41" i="4"/>
  <c r="CB45" i="4" s="1"/>
  <c r="CB52" i="4"/>
  <c r="CB56" i="4"/>
  <c r="CB80" i="4"/>
  <c r="CB134" i="4"/>
  <c r="CB106" i="4"/>
  <c r="CB36" i="4"/>
  <c r="CB35" i="4" s="1"/>
  <c r="CB42" i="4"/>
  <c r="CB46" i="4" s="1"/>
  <c r="CB48" i="4"/>
  <c r="CB53" i="4"/>
  <c r="CB94" i="4"/>
  <c r="CB116" i="4"/>
  <c r="CB39" i="4"/>
  <c r="CB44" i="4" s="1"/>
  <c r="CB54" i="4"/>
  <c r="CB71" i="4"/>
  <c r="CB82" i="4"/>
  <c r="CB32" i="4"/>
  <c r="CB10" i="4"/>
  <c r="CB5" i="4"/>
  <c r="CC6" i="4"/>
  <c r="CB9" i="4"/>
  <c r="CA81" i="4"/>
  <c r="CA159" i="4" s="1"/>
  <c r="CA157" i="4"/>
  <c r="CA107" i="4"/>
  <c r="CA121" i="4"/>
  <c r="CA83" i="4"/>
  <c r="CA160" i="4" s="1"/>
  <c r="CA158" i="4"/>
  <c r="BZ84" i="4"/>
  <c r="BZ159" i="4"/>
  <c r="BZ117" i="4"/>
  <c r="CA113" i="4" s="1"/>
  <c r="BZ115" i="4"/>
  <c r="CC60" i="4" l="1"/>
  <c r="CC65" i="4"/>
  <c r="CC66" i="4"/>
  <c r="CE13" i="4"/>
  <c r="CE4" i="4"/>
  <c r="CF3" i="4"/>
  <c r="CE11" i="4"/>
  <c r="CE12" i="4"/>
  <c r="CB83" i="4"/>
  <c r="CB160" i="4" s="1"/>
  <c r="CB158" i="4"/>
  <c r="CB81" i="4"/>
  <c r="CB159" i="4" s="1"/>
  <c r="CB157" i="4"/>
  <c r="CA84" i="4"/>
  <c r="CA115" i="4"/>
  <c r="CA117" i="4"/>
  <c r="CB113" i="4" s="1"/>
  <c r="CC5" i="4"/>
  <c r="CC10" i="4"/>
  <c r="CC55" i="4"/>
  <c r="CD6" i="4"/>
  <c r="CC106" i="4"/>
  <c r="CC36" i="4"/>
  <c r="CC35" i="4" s="1"/>
  <c r="CC114" i="4"/>
  <c r="CC40" i="4"/>
  <c r="CC94" i="4"/>
  <c r="CC39" i="4"/>
  <c r="CC44" i="4" s="1"/>
  <c r="CC51" i="4"/>
  <c r="CC116" i="4"/>
  <c r="CC52" i="4"/>
  <c r="CC71" i="4"/>
  <c r="CC126" i="4"/>
  <c r="CC56" i="4"/>
  <c r="CC149" i="4"/>
  <c r="CC167" i="4" s="1"/>
  <c r="CC48" i="4"/>
  <c r="CC32" i="4"/>
  <c r="CC41" i="4"/>
  <c r="CC45" i="4" s="1"/>
  <c r="CC53" i="4"/>
  <c r="CC82" i="4"/>
  <c r="CC134" i="4"/>
  <c r="CC42" i="4"/>
  <c r="CC46" i="4" s="1"/>
  <c r="CC54" i="4"/>
  <c r="CC80" i="4"/>
  <c r="CC9" i="4"/>
  <c r="CB107" i="4"/>
  <c r="CB121" i="4"/>
  <c r="AK31" i="4"/>
  <c r="CD60" i="4" l="1"/>
  <c r="CD65" i="4"/>
  <c r="CD66" i="4"/>
  <c r="CF12" i="4"/>
  <c r="CF13" i="4"/>
  <c r="CG3" i="4"/>
  <c r="CF11" i="4"/>
  <c r="CF4" i="4"/>
  <c r="CB115" i="4"/>
  <c r="CB117" i="4"/>
  <c r="CC113" i="4" s="1"/>
  <c r="CC115" i="4" s="1"/>
  <c r="CB84" i="4"/>
  <c r="CC157" i="4"/>
  <c r="CC81" i="4"/>
  <c r="CC159" i="4" s="1"/>
  <c r="CD116" i="4"/>
  <c r="CD36" i="4"/>
  <c r="CD35" i="4" s="1"/>
  <c r="CD52" i="4"/>
  <c r="CD71" i="4"/>
  <c r="CD126" i="4"/>
  <c r="CD39" i="4"/>
  <c r="CD44" i="4" s="1"/>
  <c r="CD134" i="4"/>
  <c r="CD32" i="4"/>
  <c r="CD53" i="4"/>
  <c r="CD40" i="4"/>
  <c r="CD54" i="4"/>
  <c r="CD80" i="4"/>
  <c r="CD48" i="4"/>
  <c r="CD56" i="4"/>
  <c r="CD42" i="4"/>
  <c r="CD46" i="4" s="1"/>
  <c r="CD106" i="4"/>
  <c r="CD114" i="4"/>
  <c r="CD5" i="4"/>
  <c r="CD41" i="4"/>
  <c r="CD45" i="4" s="1"/>
  <c r="CD55" i="4"/>
  <c r="CD82" i="4"/>
  <c r="CD9" i="4"/>
  <c r="CD94" i="4"/>
  <c r="CD10" i="4"/>
  <c r="CD149" i="4"/>
  <c r="CD167" i="4" s="1"/>
  <c r="CE6" i="4"/>
  <c r="CD51" i="4"/>
  <c r="CC107" i="4"/>
  <c r="CC121" i="4"/>
  <c r="CC83" i="4"/>
  <c r="CC160" i="4" s="1"/>
  <c r="CC158" i="4"/>
  <c r="AL31" i="4"/>
  <c r="CC117" i="4" l="1"/>
  <c r="CD113" i="4" s="1"/>
  <c r="CD115" i="4" s="1"/>
  <c r="CE60" i="4"/>
  <c r="CG11" i="4"/>
  <c r="CG12" i="4"/>
  <c r="CG4" i="4"/>
  <c r="CG13" i="4"/>
  <c r="CH3" i="4"/>
  <c r="CE65" i="4"/>
  <c r="CE66" i="4"/>
  <c r="CD81" i="4"/>
  <c r="CD159" i="4" s="1"/>
  <c r="CD157" i="4"/>
  <c r="CC84" i="4"/>
  <c r="CD107" i="4"/>
  <c r="CD121" i="4"/>
  <c r="CD83" i="4"/>
  <c r="CD160" i="4" s="1"/>
  <c r="CD158" i="4"/>
  <c r="CE39" i="4"/>
  <c r="CE44" i="4" s="1"/>
  <c r="CE54" i="4"/>
  <c r="CE71" i="4"/>
  <c r="CE149" i="4"/>
  <c r="CE167" i="4" s="1"/>
  <c r="CE55" i="4"/>
  <c r="CE51" i="4"/>
  <c r="CE116" i="4"/>
  <c r="CE40" i="4"/>
  <c r="CE52" i="4"/>
  <c r="CE80" i="4"/>
  <c r="CE41" i="4"/>
  <c r="CE45" i="4" s="1"/>
  <c r="CE10" i="4"/>
  <c r="CE82" i="4"/>
  <c r="CE5" i="4"/>
  <c r="CE42" i="4"/>
  <c r="CE46" i="4" s="1"/>
  <c r="CE53" i="4"/>
  <c r="CE126" i="4"/>
  <c r="CF6" i="4"/>
  <c r="CE32" i="4"/>
  <c r="CE56" i="4"/>
  <c r="CE94" i="4"/>
  <c r="CE134" i="4"/>
  <c r="CE9" i="4"/>
  <c r="CE48" i="4"/>
  <c r="CE106" i="4"/>
  <c r="CE114" i="4"/>
  <c r="CE36" i="4"/>
  <c r="CE35" i="4" s="1"/>
  <c r="AM31" i="4"/>
  <c r="CD117" i="4" l="1"/>
  <c r="CE113" i="4" s="1"/>
  <c r="CE115" i="4" s="1"/>
  <c r="CF60" i="4"/>
  <c r="CI3" i="4"/>
  <c r="CH4" i="4"/>
  <c r="CH12" i="4"/>
  <c r="CH13" i="4"/>
  <c r="CH11" i="4"/>
  <c r="CF65" i="4"/>
  <c r="CF66" i="4"/>
  <c r="CE83" i="4"/>
  <c r="CE160" i="4" s="1"/>
  <c r="CE158" i="4"/>
  <c r="CE81" i="4"/>
  <c r="CE159" i="4" s="1"/>
  <c r="CE157" i="4"/>
  <c r="CD84" i="4"/>
  <c r="CF41" i="4"/>
  <c r="CF45" i="4" s="1"/>
  <c r="CF56" i="4"/>
  <c r="CF32" i="4"/>
  <c r="CF36" i="4"/>
  <c r="CF35" i="4" s="1"/>
  <c r="CF71" i="4"/>
  <c r="CF55" i="4"/>
  <c r="CF149" i="4"/>
  <c r="CF167" i="4" s="1"/>
  <c r="CF5" i="4"/>
  <c r="CF48" i="4"/>
  <c r="CF80" i="4"/>
  <c r="CF9" i="4"/>
  <c r="CF40" i="4"/>
  <c r="CF94" i="4"/>
  <c r="CF134" i="4"/>
  <c r="CF126" i="4"/>
  <c r="CF82" i="4"/>
  <c r="CF10" i="4"/>
  <c r="CF51" i="4"/>
  <c r="CF42" i="4"/>
  <c r="CF46" i="4" s="1"/>
  <c r="CF106" i="4"/>
  <c r="CG6" i="4"/>
  <c r="CF52" i="4"/>
  <c r="CF114" i="4"/>
  <c r="CF53" i="4"/>
  <c r="CF116" i="4"/>
  <c r="CF54" i="4"/>
  <c r="CF39" i="4"/>
  <c r="CF44" i="4" s="1"/>
  <c r="CE107" i="4"/>
  <c r="CE121" i="4"/>
  <c r="AN31" i="4"/>
  <c r="CE117" i="4" l="1"/>
  <c r="CF113" i="4" s="1"/>
  <c r="CF117" i="4" s="1"/>
  <c r="CG113" i="4" s="1"/>
  <c r="CG60" i="4"/>
  <c r="CE84" i="4"/>
  <c r="CG65" i="4"/>
  <c r="CG66" i="4"/>
  <c r="CI11" i="4"/>
  <c r="CJ3" i="4"/>
  <c r="CI12" i="4"/>
  <c r="CI4" i="4"/>
  <c r="CI13" i="4"/>
  <c r="CF157" i="4"/>
  <c r="CF81" i="4"/>
  <c r="CF159" i="4" s="1"/>
  <c r="CG5" i="4"/>
  <c r="CG32" i="4"/>
  <c r="CG80" i="4"/>
  <c r="CG51" i="4"/>
  <c r="CH6" i="4"/>
  <c r="CG52" i="4"/>
  <c r="CG116" i="4"/>
  <c r="CG36" i="4"/>
  <c r="CG35" i="4" s="1"/>
  <c r="CG53" i="4"/>
  <c r="CG71" i="4"/>
  <c r="CG126" i="4"/>
  <c r="CG54" i="4"/>
  <c r="CG94" i="4"/>
  <c r="CG42" i="4"/>
  <c r="CG46" i="4" s="1"/>
  <c r="CG39" i="4"/>
  <c r="CG44" i="4" s="1"/>
  <c r="CG82" i="4"/>
  <c r="CG9" i="4"/>
  <c r="CG114" i="4"/>
  <c r="CG10" i="4"/>
  <c r="CG106" i="4"/>
  <c r="CG40" i="4"/>
  <c r="CG55" i="4"/>
  <c r="CG56" i="4"/>
  <c r="CG149" i="4"/>
  <c r="CG167" i="4" s="1"/>
  <c r="CG41" i="4"/>
  <c r="CG45" i="4" s="1"/>
  <c r="CG48" i="4"/>
  <c r="CG134" i="4"/>
  <c r="CF107" i="4"/>
  <c r="CF121" i="4"/>
  <c r="CF115" i="4"/>
  <c r="CF83" i="4"/>
  <c r="CF160" i="4" s="1"/>
  <c r="CF158" i="4"/>
  <c r="AO31" i="4"/>
  <c r="CH60" i="4" l="1"/>
  <c r="CK3" i="4"/>
  <c r="CJ13" i="4"/>
  <c r="CJ11" i="4"/>
  <c r="CJ4" i="4"/>
  <c r="CJ12" i="4"/>
  <c r="CH65" i="4"/>
  <c r="CH66" i="4"/>
  <c r="CG121" i="4"/>
  <c r="CG107" i="4"/>
  <c r="CG157" i="4"/>
  <c r="CG81" i="4"/>
  <c r="CG159" i="4" s="1"/>
  <c r="CH5" i="4"/>
  <c r="CH39" i="4"/>
  <c r="CH44" i="4" s="1"/>
  <c r="CH56" i="4"/>
  <c r="CH71" i="4"/>
  <c r="CH9" i="4"/>
  <c r="CH82" i="4"/>
  <c r="CH114" i="4"/>
  <c r="CH54" i="4"/>
  <c r="CH80" i="4"/>
  <c r="CH10" i="4"/>
  <c r="CH55" i="4"/>
  <c r="CI6" i="4"/>
  <c r="CH51" i="4"/>
  <c r="CH36" i="4"/>
  <c r="CH35" i="4" s="1"/>
  <c r="CH134" i="4"/>
  <c r="CH106" i="4"/>
  <c r="CH32" i="4"/>
  <c r="CH52" i="4"/>
  <c r="CH116" i="4"/>
  <c r="CH48" i="4"/>
  <c r="CH53" i="4"/>
  <c r="CH126" i="4"/>
  <c r="CH40" i="4"/>
  <c r="CH41" i="4"/>
  <c r="CH45" i="4" s="1"/>
  <c r="CH94" i="4"/>
  <c r="CH149" i="4"/>
  <c r="CH167" i="4" s="1"/>
  <c r="CH42" i="4"/>
  <c r="CH46" i="4" s="1"/>
  <c r="CF84" i="4"/>
  <c r="CG115" i="4"/>
  <c r="CG117" i="4"/>
  <c r="CH113" i="4" s="1"/>
  <c r="CG83" i="4"/>
  <c r="CG160" i="4" s="1"/>
  <c r="CG158" i="4"/>
  <c r="AP31" i="4"/>
  <c r="CI60" i="4" l="1"/>
  <c r="CI65" i="4"/>
  <c r="CI66" i="4"/>
  <c r="CK11" i="4"/>
  <c r="CL3" i="4"/>
  <c r="CK12" i="4"/>
  <c r="CK4" i="4"/>
  <c r="CK13" i="4"/>
  <c r="CH117" i="4"/>
  <c r="CI113" i="4" s="1"/>
  <c r="CH115" i="4"/>
  <c r="CG84" i="4"/>
  <c r="CH81" i="4"/>
  <c r="CH159" i="4" s="1"/>
  <c r="CH157" i="4"/>
  <c r="CI9" i="4"/>
  <c r="CI52" i="4"/>
  <c r="CI80" i="4"/>
  <c r="CI126" i="4"/>
  <c r="CI32" i="4"/>
  <c r="CI53" i="4"/>
  <c r="CI149" i="4"/>
  <c r="CI167" i="4" s="1"/>
  <c r="CI41" i="4"/>
  <c r="CI45" i="4" s="1"/>
  <c r="CI54" i="4"/>
  <c r="CI71" i="4"/>
  <c r="CJ6" i="4"/>
  <c r="CI40" i="4"/>
  <c r="CI55" i="4"/>
  <c r="CI82" i="4"/>
  <c r="CI51" i="4"/>
  <c r="CI116" i="4"/>
  <c r="CI10" i="4"/>
  <c r="CI42" i="4"/>
  <c r="CI46" i="4" s="1"/>
  <c r="CI56" i="4"/>
  <c r="CI94" i="4"/>
  <c r="CI5" i="4"/>
  <c r="CI106" i="4"/>
  <c r="CI134" i="4"/>
  <c r="CI39" i="4"/>
  <c r="CI44" i="4" s="1"/>
  <c r="CI36" i="4"/>
  <c r="CI35" i="4" s="1"/>
  <c r="CI48" i="4"/>
  <c r="CI114" i="4"/>
  <c r="CH83" i="4"/>
  <c r="CH160" i="4" s="1"/>
  <c r="CH158" i="4"/>
  <c r="CH121" i="4"/>
  <c r="CH107" i="4"/>
  <c r="AQ31" i="4"/>
  <c r="CJ60" i="4" l="1"/>
  <c r="CM3" i="4"/>
  <c r="CL12" i="4"/>
  <c r="CL13" i="4"/>
  <c r="CL4" i="4"/>
  <c r="CL11" i="4"/>
  <c r="CJ65" i="4"/>
  <c r="CJ66" i="4"/>
  <c r="CI107" i="4"/>
  <c r="CI121" i="4"/>
  <c r="CI81" i="4"/>
  <c r="CI159" i="4" s="1"/>
  <c r="CI157" i="4"/>
  <c r="CI83" i="4"/>
  <c r="CI160" i="4" s="1"/>
  <c r="CI158" i="4"/>
  <c r="CI115" i="4"/>
  <c r="CI117" i="4"/>
  <c r="CJ113" i="4" s="1"/>
  <c r="CJ40" i="4"/>
  <c r="CJ53" i="4"/>
  <c r="CJ126" i="4"/>
  <c r="CJ10" i="4"/>
  <c r="CJ39" i="4"/>
  <c r="CJ44" i="4" s="1"/>
  <c r="CJ54" i="4"/>
  <c r="CJ149" i="4"/>
  <c r="CJ167" i="4" s="1"/>
  <c r="CJ5" i="4"/>
  <c r="CJ42" i="4"/>
  <c r="CJ46" i="4" s="1"/>
  <c r="CJ55" i="4"/>
  <c r="CJ82" i="4"/>
  <c r="CJ41" i="4"/>
  <c r="CJ45" i="4" s="1"/>
  <c r="CJ48" i="4"/>
  <c r="CJ114" i="4"/>
  <c r="CJ9" i="4"/>
  <c r="CJ56" i="4"/>
  <c r="CJ94" i="4"/>
  <c r="CK6" i="4"/>
  <c r="CJ116" i="4"/>
  <c r="CJ32" i="4"/>
  <c r="CJ51" i="4"/>
  <c r="CJ71" i="4"/>
  <c r="CJ106" i="4"/>
  <c r="CJ36" i="4"/>
  <c r="CJ35" i="4" s="1"/>
  <c r="CJ52" i="4"/>
  <c r="CJ80" i="4"/>
  <c r="CJ134" i="4"/>
  <c r="CH84" i="4"/>
  <c r="AR31" i="4"/>
  <c r="CK60" i="4" l="1"/>
  <c r="CM13" i="4"/>
  <c r="CM4" i="4"/>
  <c r="CN3" i="4"/>
  <c r="CM11" i="4"/>
  <c r="CM12" i="4"/>
  <c r="CI84" i="4"/>
  <c r="CJ83" i="4"/>
  <c r="CJ160" i="4" s="1"/>
  <c r="CJ158" i="4"/>
  <c r="CK10" i="4"/>
  <c r="CK106" i="4"/>
  <c r="CK32" i="4"/>
  <c r="CK9" i="4"/>
  <c r="CK114" i="4"/>
  <c r="CK36" i="4"/>
  <c r="CK35" i="4" s="1"/>
  <c r="CK51" i="4"/>
  <c r="CK116" i="4"/>
  <c r="CK40" i="4"/>
  <c r="CK53" i="4"/>
  <c r="CK134" i="4"/>
  <c r="CK41" i="4"/>
  <c r="CK45" i="4" s="1"/>
  <c r="CK39" i="4"/>
  <c r="CK44" i="4" s="1"/>
  <c r="CK52" i="4"/>
  <c r="CK71" i="4"/>
  <c r="CK126" i="4"/>
  <c r="CK54" i="4"/>
  <c r="CK5" i="4"/>
  <c r="CK42" i="4"/>
  <c r="CK46" i="4" s="1"/>
  <c r="CK55" i="4"/>
  <c r="CL6" i="4"/>
  <c r="CK48" i="4"/>
  <c r="CK56" i="4"/>
  <c r="CK94" i="4"/>
  <c r="CJ115" i="4"/>
  <c r="CJ117" i="4"/>
  <c r="CK113" i="4" s="1"/>
  <c r="CJ81" i="4"/>
  <c r="CJ159" i="4" s="1"/>
  <c r="CJ157" i="4"/>
  <c r="CJ121" i="4"/>
  <c r="CJ107" i="4"/>
  <c r="AS31" i="4"/>
  <c r="CL61" i="4" l="1"/>
  <c r="CL72" i="4"/>
  <c r="CL60" i="4"/>
  <c r="CO3" i="4"/>
  <c r="CN13" i="4"/>
  <c r="CN4" i="4"/>
  <c r="CN11" i="4"/>
  <c r="CN12" i="4"/>
  <c r="CL65" i="4"/>
  <c r="CL66" i="4"/>
  <c r="CJ84" i="4"/>
  <c r="CK115" i="4"/>
  <c r="CK117" i="4"/>
  <c r="CL113" i="4" s="1"/>
  <c r="CL39" i="4"/>
  <c r="CL44" i="4" s="1"/>
  <c r="CL53" i="4"/>
  <c r="CL134" i="4"/>
  <c r="CL126" i="4"/>
  <c r="CL40" i="4"/>
  <c r="CL54" i="4"/>
  <c r="CL80" i="4"/>
  <c r="CL156" i="4"/>
  <c r="CL36" i="4"/>
  <c r="CL35" i="4" s="1"/>
  <c r="CL5" i="4"/>
  <c r="CL41" i="4"/>
  <c r="CL45" i="4" s="1"/>
  <c r="CL55" i="4"/>
  <c r="CL82" i="4"/>
  <c r="CL161" i="4"/>
  <c r="CL9" i="4"/>
  <c r="CL48" i="4"/>
  <c r="CL56" i="4"/>
  <c r="CL94" i="4"/>
  <c r="CL149" i="4"/>
  <c r="CL167" i="4" s="1"/>
  <c r="CL10" i="4"/>
  <c r="CL106" i="4"/>
  <c r="CL155" i="4"/>
  <c r="CL52" i="4"/>
  <c r="CM6" i="4"/>
  <c r="CL42" i="4"/>
  <c r="CL46" i="4" s="1"/>
  <c r="CL114" i="4"/>
  <c r="CL71" i="4"/>
  <c r="CL32" i="4"/>
  <c r="CL51" i="4"/>
  <c r="CL116" i="4"/>
  <c r="CK107" i="4"/>
  <c r="CK121" i="4"/>
  <c r="AT31" i="4"/>
  <c r="CM61" i="4" l="1"/>
  <c r="CM72" i="4"/>
  <c r="CM60" i="4"/>
  <c r="CM65" i="4"/>
  <c r="CM66" i="4"/>
  <c r="CO4" i="4"/>
  <c r="CO11" i="4"/>
  <c r="CO12" i="4"/>
  <c r="CO13" i="4"/>
  <c r="CP3" i="4"/>
  <c r="CL157" i="4"/>
  <c r="CL81" i="4"/>
  <c r="CL159" i="4" s="1"/>
  <c r="CL158" i="4"/>
  <c r="CL83" i="4"/>
  <c r="CL160" i="4" s="1"/>
  <c r="CL115" i="4"/>
  <c r="CL117" i="4"/>
  <c r="CM113" i="4" s="1"/>
  <c r="CL121" i="4"/>
  <c r="CL107" i="4"/>
  <c r="CN6" i="4"/>
  <c r="CM32" i="4"/>
  <c r="CM52" i="4"/>
  <c r="CM94" i="4"/>
  <c r="CM161" i="4"/>
  <c r="CM10" i="4"/>
  <c r="CM48" i="4"/>
  <c r="CM114" i="4"/>
  <c r="CM41" i="4"/>
  <c r="CM45" i="4" s="1"/>
  <c r="CM56" i="4"/>
  <c r="CM134" i="4"/>
  <c r="CM9" i="4"/>
  <c r="CM82" i="4"/>
  <c r="CM106" i="4"/>
  <c r="CM126" i="4"/>
  <c r="CM53" i="4"/>
  <c r="CM156" i="4"/>
  <c r="CM36" i="4"/>
  <c r="CM35" i="4" s="1"/>
  <c r="CM116" i="4"/>
  <c r="CM42" i="4"/>
  <c r="CM46" i="4" s="1"/>
  <c r="CM39" i="4"/>
  <c r="CM44" i="4" s="1"/>
  <c r="CM51" i="4"/>
  <c r="CM80" i="4"/>
  <c r="CM149" i="4"/>
  <c r="CM167" i="4" s="1"/>
  <c r="CM55" i="4"/>
  <c r="CM5" i="4"/>
  <c r="CM40" i="4"/>
  <c r="CM54" i="4"/>
  <c r="CM155" i="4"/>
  <c r="CM71" i="4"/>
  <c r="AU31" i="4"/>
  <c r="CN61" i="4" l="1"/>
  <c r="CN72" i="4"/>
  <c r="CN60" i="4"/>
  <c r="CQ3" i="4"/>
  <c r="CP13" i="4"/>
  <c r="CP11" i="4"/>
  <c r="CP4" i="4"/>
  <c r="CP12" i="4"/>
  <c r="CN65" i="4"/>
  <c r="CN66" i="4"/>
  <c r="CN10" i="4"/>
  <c r="CN51" i="4"/>
  <c r="CN41" i="4"/>
  <c r="CN45" i="4" s="1"/>
  <c r="CN106" i="4"/>
  <c r="CN161" i="4"/>
  <c r="CO6" i="4"/>
  <c r="CN52" i="4"/>
  <c r="CN114" i="4"/>
  <c r="CN32" i="4"/>
  <c r="CN53" i="4"/>
  <c r="CN116" i="4"/>
  <c r="CN9" i="4"/>
  <c r="CN39" i="4"/>
  <c r="CN44" i="4" s="1"/>
  <c r="CN42" i="4"/>
  <c r="CN46" i="4" s="1"/>
  <c r="CN54" i="4"/>
  <c r="CN71" i="4"/>
  <c r="CN126" i="4"/>
  <c r="CN36" i="4"/>
  <c r="CN35" i="4" s="1"/>
  <c r="CN55" i="4"/>
  <c r="CN82" i="4"/>
  <c r="CN149" i="4"/>
  <c r="CN167" i="4" s="1"/>
  <c r="CN156" i="4"/>
  <c r="CN40" i="4"/>
  <c r="CN56" i="4"/>
  <c r="CN80" i="4"/>
  <c r="CN155" i="4"/>
  <c r="CN5" i="4"/>
  <c r="CN48" i="4"/>
  <c r="CN134" i="4"/>
  <c r="CN94" i="4"/>
  <c r="CL84" i="4"/>
  <c r="CM83" i="4"/>
  <c r="CM160" i="4" s="1"/>
  <c r="CM158" i="4"/>
  <c r="CM117" i="4"/>
  <c r="CN113" i="4" s="1"/>
  <c r="CM115" i="4"/>
  <c r="CM81" i="4"/>
  <c r="CM159" i="4" s="1"/>
  <c r="CM157" i="4"/>
  <c r="CM107" i="4"/>
  <c r="CM121" i="4"/>
  <c r="AV31" i="4"/>
  <c r="CO72" i="4" l="1"/>
  <c r="CO60" i="4"/>
  <c r="CO61" i="4"/>
  <c r="CO66" i="4"/>
  <c r="CO65" i="4"/>
  <c r="CR3" i="4"/>
  <c r="CQ12" i="4"/>
  <c r="CQ4" i="4"/>
  <c r="CQ11" i="4"/>
  <c r="CQ13" i="4"/>
  <c r="CN83" i="4"/>
  <c r="CN160" i="4" s="1"/>
  <c r="CN158" i="4"/>
  <c r="CO41" i="4"/>
  <c r="CO45" i="4" s="1"/>
  <c r="CO48" i="4"/>
  <c r="CO134" i="4"/>
  <c r="CO80" i="4"/>
  <c r="CO5" i="4"/>
  <c r="CO32" i="4"/>
  <c r="CO42" i="4"/>
  <c r="CO46" i="4" s="1"/>
  <c r="CO156" i="4"/>
  <c r="CO55" i="4"/>
  <c r="CO106" i="4"/>
  <c r="CO9" i="4"/>
  <c r="CO51" i="4"/>
  <c r="CO94" i="4"/>
  <c r="CO155" i="4"/>
  <c r="CO10" i="4"/>
  <c r="CO52" i="4"/>
  <c r="CO56" i="4"/>
  <c r="CO114" i="4"/>
  <c r="CO161" i="4"/>
  <c r="CO82" i="4"/>
  <c r="CP6" i="4"/>
  <c r="CO53" i="4"/>
  <c r="CO116" i="4"/>
  <c r="CO39" i="4"/>
  <c r="CO44" i="4" s="1"/>
  <c r="CO149" i="4"/>
  <c r="CO167" i="4" s="1"/>
  <c r="CO36" i="4"/>
  <c r="CO35" i="4" s="1"/>
  <c r="CO54" i="4"/>
  <c r="CO71" i="4"/>
  <c r="CO126" i="4"/>
  <c r="CO40" i="4"/>
  <c r="CN117" i="4"/>
  <c r="CO113" i="4" s="1"/>
  <c r="CN115" i="4"/>
  <c r="CN107" i="4"/>
  <c r="CN121" i="4"/>
  <c r="CM84" i="4"/>
  <c r="CN81" i="4"/>
  <c r="CN159" i="4" s="1"/>
  <c r="CN157" i="4"/>
  <c r="AW31" i="4"/>
  <c r="CP72" i="4" l="1"/>
  <c r="CP60" i="4"/>
  <c r="CP61" i="4"/>
  <c r="CP65" i="4"/>
  <c r="CP66" i="4"/>
  <c r="CS3" i="4"/>
  <c r="CR4" i="4"/>
  <c r="CR13" i="4"/>
  <c r="CR11" i="4"/>
  <c r="CR12" i="4"/>
  <c r="CO81" i="4"/>
  <c r="CO159" i="4" s="1"/>
  <c r="CO157" i="4"/>
  <c r="CO115" i="4"/>
  <c r="CO117" i="4"/>
  <c r="CP113" i="4" s="1"/>
  <c r="CO107" i="4"/>
  <c r="CO121" i="4"/>
  <c r="CN84" i="4"/>
  <c r="CP48" i="4"/>
  <c r="CP54" i="4"/>
  <c r="CP126" i="4"/>
  <c r="CP56" i="4"/>
  <c r="CP41" i="4"/>
  <c r="CP45" i="4" s="1"/>
  <c r="CP40" i="4"/>
  <c r="CP71" i="4"/>
  <c r="CP134" i="4"/>
  <c r="CP82" i="4"/>
  <c r="CP10" i="4"/>
  <c r="CP80" i="4"/>
  <c r="CP39" i="4"/>
  <c r="CP44" i="4" s="1"/>
  <c r="CP36" i="4"/>
  <c r="CP35" i="4" s="1"/>
  <c r="CP149" i="4"/>
  <c r="CP167" i="4" s="1"/>
  <c r="CP32" i="4"/>
  <c r="CP155" i="4"/>
  <c r="CP116" i="4"/>
  <c r="CP5" i="4"/>
  <c r="CP42" i="4"/>
  <c r="CP46" i="4" s="1"/>
  <c r="CP94" i="4"/>
  <c r="CP156" i="4"/>
  <c r="CP55" i="4"/>
  <c r="CP9" i="4"/>
  <c r="CP51" i="4"/>
  <c r="CP106" i="4"/>
  <c r="CP161" i="4"/>
  <c r="CQ6" i="4"/>
  <c r="CP52" i="4"/>
  <c r="CP114" i="4"/>
  <c r="CP53" i="4"/>
  <c r="CO158" i="4"/>
  <c r="CO83" i="4"/>
  <c r="CO160" i="4" s="1"/>
  <c r="AX31" i="4"/>
  <c r="CQ60" i="4" l="1"/>
  <c r="CQ72" i="4"/>
  <c r="CQ61" i="4"/>
  <c r="CQ65" i="4"/>
  <c r="CQ66" i="4"/>
  <c r="CS4" i="4"/>
  <c r="CT3" i="4"/>
  <c r="CS11" i="4"/>
  <c r="CS12" i="4"/>
  <c r="CS13" i="4"/>
  <c r="CP81" i="4"/>
  <c r="CP159" i="4" s="1"/>
  <c r="CP157" i="4"/>
  <c r="CP107" i="4"/>
  <c r="CP121" i="4"/>
  <c r="CP115" i="4"/>
  <c r="CP117" i="4"/>
  <c r="CQ113" i="4" s="1"/>
  <c r="CP83" i="4"/>
  <c r="CP160" i="4" s="1"/>
  <c r="CP158" i="4"/>
  <c r="CQ9" i="4"/>
  <c r="CQ51" i="4"/>
  <c r="CQ114" i="4"/>
  <c r="CQ161" i="4"/>
  <c r="CQ10" i="4"/>
  <c r="CQ52" i="4"/>
  <c r="CQ82" i="4"/>
  <c r="CQ36" i="4"/>
  <c r="CQ35" i="4" s="1"/>
  <c r="CQ53" i="4"/>
  <c r="CQ48" i="4"/>
  <c r="CQ126" i="4"/>
  <c r="CQ39" i="4"/>
  <c r="CQ44" i="4" s="1"/>
  <c r="CQ54" i="4"/>
  <c r="CQ116" i="4"/>
  <c r="CQ32" i="4"/>
  <c r="CQ55" i="4"/>
  <c r="CQ71" i="4"/>
  <c r="CQ134" i="4"/>
  <c r="CQ40" i="4"/>
  <c r="CQ56" i="4"/>
  <c r="CQ80" i="4"/>
  <c r="CQ149" i="4"/>
  <c r="CQ167" i="4" s="1"/>
  <c r="CQ5" i="4"/>
  <c r="CQ41" i="4"/>
  <c r="CQ45" i="4" s="1"/>
  <c r="CQ106" i="4"/>
  <c r="CR6" i="4"/>
  <c r="CQ42" i="4"/>
  <c r="CQ46" i="4" s="1"/>
  <c r="CQ94" i="4"/>
  <c r="CQ155" i="4"/>
  <c r="CQ156" i="4"/>
  <c r="CO84" i="4"/>
  <c r="AY31" i="4"/>
  <c r="CR60" i="4" l="1"/>
  <c r="CR61" i="4"/>
  <c r="CR72" i="4"/>
  <c r="CT4" i="4"/>
  <c r="CT11" i="4"/>
  <c r="CT12" i="4"/>
  <c r="CU3" i="4"/>
  <c r="CT13" i="4"/>
  <c r="CR65" i="4"/>
  <c r="CR66" i="4"/>
  <c r="CQ117" i="4"/>
  <c r="CR113" i="4" s="1"/>
  <c r="CQ115" i="4"/>
  <c r="CQ121" i="4"/>
  <c r="CQ107" i="4"/>
  <c r="CQ83" i="4"/>
  <c r="CQ160" i="4" s="1"/>
  <c r="CQ158" i="4"/>
  <c r="CP84" i="4"/>
  <c r="CR42" i="4"/>
  <c r="CR46" i="4" s="1"/>
  <c r="CR54" i="4"/>
  <c r="CR80" i="4"/>
  <c r="CR134" i="4"/>
  <c r="CR53" i="4"/>
  <c r="CR36" i="4"/>
  <c r="CR35" i="4" s="1"/>
  <c r="CR40" i="4"/>
  <c r="CR149" i="4"/>
  <c r="CR167" i="4" s="1"/>
  <c r="CR5" i="4"/>
  <c r="CR41" i="4"/>
  <c r="CR45" i="4" s="1"/>
  <c r="CR55" i="4"/>
  <c r="CR82" i="4"/>
  <c r="CR155" i="4"/>
  <c r="CR9" i="4"/>
  <c r="CR48" i="4"/>
  <c r="CR94" i="4"/>
  <c r="CR156" i="4"/>
  <c r="CR106" i="4"/>
  <c r="CR10" i="4"/>
  <c r="CR116" i="4"/>
  <c r="CR161" i="4"/>
  <c r="CR32" i="4"/>
  <c r="CR51" i="4"/>
  <c r="CR114" i="4"/>
  <c r="CR39" i="4"/>
  <c r="CR44" i="4" s="1"/>
  <c r="CS6" i="4"/>
  <c r="CR52" i="4"/>
  <c r="CR71" i="4"/>
  <c r="CR126" i="4"/>
  <c r="CR56" i="4"/>
  <c r="CQ81" i="4"/>
  <c r="CQ159" i="4" s="1"/>
  <c r="CQ157" i="4"/>
  <c r="AZ31" i="4"/>
  <c r="CS60" i="4" l="1"/>
  <c r="CS72" i="4"/>
  <c r="CS61" i="4"/>
  <c r="CU13" i="4"/>
  <c r="CU12" i="4"/>
  <c r="CU11" i="4"/>
  <c r="CV3" i="4"/>
  <c r="CU4" i="4"/>
  <c r="CS65" i="4"/>
  <c r="CS66" i="4"/>
  <c r="CR83" i="4"/>
  <c r="CR160" i="4" s="1"/>
  <c r="CR158" i="4"/>
  <c r="CR81" i="4"/>
  <c r="CR159" i="4" s="1"/>
  <c r="CR157" i="4"/>
  <c r="CR121" i="4"/>
  <c r="CR107" i="4"/>
  <c r="CQ84" i="4"/>
  <c r="CS9" i="4"/>
  <c r="CS36" i="4"/>
  <c r="CS35" i="4" s="1"/>
  <c r="CS51" i="4"/>
  <c r="CS116" i="4"/>
  <c r="CT6" i="4"/>
  <c r="CS39" i="4"/>
  <c r="CS44" i="4" s="1"/>
  <c r="CS52" i="4"/>
  <c r="CS71" i="4"/>
  <c r="CS126" i="4"/>
  <c r="CS134" i="4"/>
  <c r="CS114" i="4"/>
  <c r="CS40" i="4"/>
  <c r="CS53" i="4"/>
  <c r="CS80" i="4"/>
  <c r="CS149" i="4"/>
  <c r="CS167" i="4" s="1"/>
  <c r="CS42" i="4"/>
  <c r="CS46" i="4" s="1"/>
  <c r="CS55" i="4"/>
  <c r="CS41" i="4"/>
  <c r="CS45" i="4" s="1"/>
  <c r="CS54" i="4"/>
  <c r="CS161" i="4"/>
  <c r="CS82" i="4"/>
  <c r="CS10" i="4"/>
  <c r="CS32" i="4"/>
  <c r="CS56" i="4"/>
  <c r="CS94" i="4"/>
  <c r="CS155" i="4"/>
  <c r="CS5" i="4"/>
  <c r="CS48" i="4"/>
  <c r="CS106" i="4"/>
  <c r="CS156" i="4"/>
  <c r="CR115" i="4"/>
  <c r="CR117" i="4"/>
  <c r="CS113" i="4" s="1"/>
  <c r="BA31" i="4"/>
  <c r="CT61" i="4" l="1"/>
  <c r="CT60" i="4"/>
  <c r="CT72" i="4"/>
  <c r="CV13" i="4"/>
  <c r="CV12" i="4"/>
  <c r="CW3" i="4"/>
  <c r="CV4" i="4"/>
  <c r="CV11" i="4"/>
  <c r="CT65" i="4"/>
  <c r="CT66" i="4"/>
  <c r="CR84" i="4"/>
  <c r="CT41" i="4"/>
  <c r="CT45" i="4" s="1"/>
  <c r="CT54" i="4"/>
  <c r="CT80" i="4"/>
  <c r="CT155" i="4"/>
  <c r="CT149" i="4"/>
  <c r="CT167" i="4" s="1"/>
  <c r="CT5" i="4"/>
  <c r="CT32" i="4"/>
  <c r="CT55" i="4"/>
  <c r="CT82" i="4"/>
  <c r="CT9" i="4"/>
  <c r="CT48" i="4"/>
  <c r="CT56" i="4"/>
  <c r="CT94" i="4"/>
  <c r="CT161" i="4"/>
  <c r="CT40" i="4"/>
  <c r="CT10" i="4"/>
  <c r="CT42" i="4"/>
  <c r="CT46" i="4" s="1"/>
  <c r="CT106" i="4"/>
  <c r="CT156" i="4"/>
  <c r="CU6" i="4"/>
  <c r="CT114" i="4"/>
  <c r="CT53" i="4"/>
  <c r="CT36" i="4"/>
  <c r="CT35" i="4" s="1"/>
  <c r="CT51" i="4"/>
  <c r="CT116" i="4"/>
  <c r="CT39" i="4"/>
  <c r="CT44" i="4" s="1"/>
  <c r="CT52" i="4"/>
  <c r="CT71" i="4"/>
  <c r="CT126" i="4"/>
  <c r="CT134" i="4"/>
  <c r="CS107" i="4"/>
  <c r="CS121" i="4"/>
  <c r="CS115" i="4"/>
  <c r="CS117" i="4"/>
  <c r="CT113" i="4" s="1"/>
  <c r="CS158" i="4"/>
  <c r="CS83" i="4"/>
  <c r="CS160" i="4" s="1"/>
  <c r="CS157" i="4"/>
  <c r="CS81" i="4"/>
  <c r="CS159" i="4" s="1"/>
  <c r="BB31" i="4"/>
  <c r="CU61" i="4" l="1"/>
  <c r="CU60" i="4"/>
  <c r="CU72" i="4"/>
  <c r="CU65" i="4"/>
  <c r="CU66" i="4"/>
  <c r="CX3" i="4"/>
  <c r="CW4" i="4"/>
  <c r="CW11" i="4"/>
  <c r="CW13" i="4"/>
  <c r="CW12" i="4"/>
  <c r="CS84" i="4"/>
  <c r="CT107" i="4"/>
  <c r="CT121" i="4"/>
  <c r="CV6" i="4"/>
  <c r="CU32" i="4"/>
  <c r="CU94" i="4"/>
  <c r="CU126" i="4"/>
  <c r="CU10" i="4"/>
  <c r="CU48" i="4"/>
  <c r="CU56" i="4"/>
  <c r="CU106" i="4"/>
  <c r="CU161" i="4"/>
  <c r="CU9" i="4"/>
  <c r="CU82" i="4"/>
  <c r="CU114" i="4"/>
  <c r="CU5" i="4"/>
  <c r="CU156" i="4"/>
  <c r="CU36" i="4"/>
  <c r="CU35" i="4" s="1"/>
  <c r="CU53" i="4"/>
  <c r="CU116" i="4"/>
  <c r="CU42" i="4"/>
  <c r="CU46" i="4" s="1"/>
  <c r="CU39" i="4"/>
  <c r="CU44" i="4" s="1"/>
  <c r="CU51" i="4"/>
  <c r="CU80" i="4"/>
  <c r="CU134" i="4"/>
  <c r="CU55" i="4"/>
  <c r="CU40" i="4"/>
  <c r="CU54" i="4"/>
  <c r="CU71" i="4"/>
  <c r="CU149" i="4"/>
  <c r="CU167" i="4" s="1"/>
  <c r="CU41" i="4"/>
  <c r="CU45" i="4" s="1"/>
  <c r="CU155" i="4"/>
  <c r="CU52" i="4"/>
  <c r="CT115" i="4"/>
  <c r="CT117" i="4"/>
  <c r="CU113" i="4" s="1"/>
  <c r="CT81" i="4"/>
  <c r="CT159" i="4" s="1"/>
  <c r="CT157" i="4"/>
  <c r="CT83" i="4"/>
  <c r="CT160" i="4" s="1"/>
  <c r="CT158" i="4"/>
  <c r="BC31" i="4"/>
  <c r="CV61" i="4" l="1"/>
  <c r="CV72" i="4"/>
  <c r="CV60" i="4"/>
  <c r="CV65" i="4"/>
  <c r="CV66" i="4"/>
  <c r="CY3" i="4"/>
  <c r="CX4" i="4"/>
  <c r="CX12" i="4"/>
  <c r="CX11" i="4"/>
  <c r="CX13" i="4"/>
  <c r="CU107" i="4"/>
  <c r="CU121" i="4"/>
  <c r="CT84" i="4"/>
  <c r="CV39" i="4"/>
  <c r="CV44" i="4" s="1"/>
  <c r="CV53" i="4"/>
  <c r="CV40" i="4"/>
  <c r="CV126" i="4"/>
  <c r="CV36" i="4"/>
  <c r="CV35" i="4" s="1"/>
  <c r="CV54" i="4"/>
  <c r="CV82" i="4"/>
  <c r="CV134" i="4"/>
  <c r="CV41" i="4"/>
  <c r="CV45" i="4" s="1"/>
  <c r="CV55" i="4"/>
  <c r="CV80" i="4"/>
  <c r="CV149" i="4"/>
  <c r="CV167" i="4" s="1"/>
  <c r="CV5" i="4"/>
  <c r="CV42" i="4"/>
  <c r="CV46" i="4" s="1"/>
  <c r="CV56" i="4"/>
  <c r="CV155" i="4"/>
  <c r="CV10" i="4"/>
  <c r="CV106" i="4"/>
  <c r="CV161" i="4"/>
  <c r="CV9" i="4"/>
  <c r="CV48" i="4"/>
  <c r="CV94" i="4"/>
  <c r="CV156" i="4"/>
  <c r="CW6" i="4"/>
  <c r="CV51" i="4"/>
  <c r="CV114" i="4"/>
  <c r="CV32" i="4"/>
  <c r="CV52" i="4"/>
  <c r="CV71" i="4"/>
  <c r="CV116" i="4"/>
  <c r="CU81" i="4"/>
  <c r="CU159" i="4" s="1"/>
  <c r="CU157" i="4"/>
  <c r="CU117" i="4"/>
  <c r="CV113" i="4" s="1"/>
  <c r="CU115" i="4"/>
  <c r="CU158" i="4"/>
  <c r="CU83" i="4"/>
  <c r="CU160" i="4" s="1"/>
  <c r="BD31" i="4"/>
  <c r="CW61" i="4" l="1"/>
  <c r="CW60" i="4"/>
  <c r="CW72" i="4"/>
  <c r="CW66" i="4"/>
  <c r="CW65" i="4"/>
  <c r="CY13" i="4"/>
  <c r="CY11" i="4"/>
  <c r="CZ3" i="4"/>
  <c r="CY12" i="4"/>
  <c r="CY4" i="4"/>
  <c r="CU84" i="4"/>
  <c r="CV115" i="4"/>
  <c r="CV117" i="4"/>
  <c r="CW113" i="4" s="1"/>
  <c r="CV158" i="4"/>
  <c r="CV83" i="4"/>
  <c r="CV160" i="4" s="1"/>
  <c r="CW5" i="4"/>
  <c r="CW41" i="4"/>
  <c r="CW45" i="4" s="1"/>
  <c r="CW56" i="4"/>
  <c r="CW156" i="4"/>
  <c r="CW48" i="4"/>
  <c r="CW9" i="4"/>
  <c r="CW42" i="4"/>
  <c r="CW46" i="4" s="1"/>
  <c r="CW106" i="4"/>
  <c r="CW155" i="4"/>
  <c r="CW40" i="4"/>
  <c r="CW10" i="4"/>
  <c r="CW51" i="4"/>
  <c r="CW94" i="4"/>
  <c r="CW161" i="4"/>
  <c r="CW149" i="4"/>
  <c r="CW167" i="4" s="1"/>
  <c r="CX6" i="4"/>
  <c r="CW52" i="4"/>
  <c r="CW82" i="4"/>
  <c r="CW116" i="4"/>
  <c r="CW32" i="4"/>
  <c r="CW53" i="4"/>
  <c r="CW71" i="4"/>
  <c r="CW126" i="4"/>
  <c r="CW36" i="4"/>
  <c r="CW35" i="4" s="1"/>
  <c r="CW54" i="4"/>
  <c r="CW80" i="4"/>
  <c r="CW114" i="4"/>
  <c r="CW39" i="4"/>
  <c r="CW44" i="4" s="1"/>
  <c r="CW55" i="4"/>
  <c r="CW134" i="4"/>
  <c r="CV107" i="4"/>
  <c r="CV121" i="4"/>
  <c r="CV81" i="4"/>
  <c r="CV159" i="4" s="1"/>
  <c r="CV157" i="4"/>
  <c r="BE31" i="4"/>
  <c r="CX61" i="4" l="1"/>
  <c r="CX72" i="4"/>
  <c r="CX60" i="4"/>
  <c r="CX65" i="4"/>
  <c r="CX66" i="4"/>
  <c r="CZ12" i="4"/>
  <c r="DA3" i="4"/>
  <c r="CZ4" i="4"/>
  <c r="CZ13" i="4"/>
  <c r="CZ11" i="4"/>
  <c r="CV84" i="4"/>
  <c r="CW107" i="4"/>
  <c r="CW121" i="4"/>
  <c r="CW157" i="4"/>
  <c r="CW81" i="4"/>
  <c r="CW159" i="4" s="1"/>
  <c r="CW83" i="4"/>
  <c r="CW160" i="4" s="1"/>
  <c r="CW158" i="4"/>
  <c r="CY6" i="4"/>
  <c r="CX51" i="4"/>
  <c r="CX71" i="4"/>
  <c r="CX114" i="4"/>
  <c r="CX5" i="4"/>
  <c r="CX52" i="4"/>
  <c r="CX36" i="4"/>
  <c r="CX35" i="4" s="1"/>
  <c r="CX161" i="4"/>
  <c r="CX10" i="4"/>
  <c r="CX53" i="4"/>
  <c r="CX55" i="4"/>
  <c r="CX116" i="4"/>
  <c r="CX40" i="4"/>
  <c r="CX80" i="4"/>
  <c r="CX42" i="4"/>
  <c r="CX46" i="4" s="1"/>
  <c r="CX54" i="4"/>
  <c r="CX82" i="4"/>
  <c r="CX126" i="4"/>
  <c r="CX48" i="4"/>
  <c r="CX134" i="4"/>
  <c r="CX39" i="4"/>
  <c r="CX44" i="4" s="1"/>
  <c r="CX9" i="4"/>
  <c r="CX156" i="4"/>
  <c r="CX32" i="4"/>
  <c r="CX41" i="4"/>
  <c r="CX45" i="4" s="1"/>
  <c r="CX94" i="4"/>
  <c r="CX149" i="4"/>
  <c r="CX167" i="4" s="1"/>
  <c r="CX56" i="4"/>
  <c r="CX106" i="4"/>
  <c r="CX155" i="4"/>
  <c r="CW115" i="4"/>
  <c r="CW117" i="4"/>
  <c r="CX113" i="4" s="1"/>
  <c r="BF31" i="4"/>
  <c r="CY72" i="4" l="1"/>
  <c r="CY61" i="4"/>
  <c r="CY60" i="4"/>
  <c r="CY65" i="4"/>
  <c r="CY66" i="4"/>
  <c r="DA13" i="4"/>
  <c r="DA4" i="4"/>
  <c r="DB3" i="4"/>
  <c r="DA11" i="4"/>
  <c r="DA12" i="4"/>
  <c r="CW84" i="4"/>
  <c r="CX158" i="4"/>
  <c r="CX83" i="4"/>
  <c r="CX160" i="4" s="1"/>
  <c r="CY10" i="4"/>
  <c r="CY48" i="4"/>
  <c r="CY106" i="4"/>
  <c r="CY161" i="4"/>
  <c r="CY39" i="4"/>
  <c r="CY44" i="4" s="1"/>
  <c r="CY9" i="4"/>
  <c r="CY51" i="4"/>
  <c r="CY114" i="4"/>
  <c r="CY32" i="4"/>
  <c r="CY52" i="4"/>
  <c r="CY126" i="4"/>
  <c r="CY82" i="4"/>
  <c r="CY36" i="4"/>
  <c r="CY35" i="4" s="1"/>
  <c r="CY53" i="4"/>
  <c r="CY116" i="4"/>
  <c r="CY54" i="4"/>
  <c r="CY134" i="4"/>
  <c r="CY41" i="4"/>
  <c r="CY45" i="4" s="1"/>
  <c r="CY55" i="4"/>
  <c r="CY71" i="4"/>
  <c r="CY149" i="4"/>
  <c r="CY167" i="4" s="1"/>
  <c r="CY5" i="4"/>
  <c r="CY94" i="4"/>
  <c r="CY156" i="4"/>
  <c r="CZ6" i="4"/>
  <c r="CY40" i="4"/>
  <c r="CY56" i="4"/>
  <c r="CY80" i="4"/>
  <c r="CY155" i="4"/>
  <c r="CY42" i="4"/>
  <c r="CY46" i="4" s="1"/>
  <c r="CX81" i="4"/>
  <c r="CX159" i="4" s="1"/>
  <c r="CX157" i="4"/>
  <c r="CX115" i="4"/>
  <c r="CX117" i="4"/>
  <c r="CY113" i="4" s="1"/>
  <c r="CX107" i="4"/>
  <c r="CX121" i="4"/>
  <c r="BG31" i="4"/>
  <c r="CZ60" i="4" l="1"/>
  <c r="CZ61" i="4"/>
  <c r="CZ72" i="4"/>
  <c r="DB13" i="4"/>
  <c r="DC3" i="4"/>
  <c r="DB4" i="4"/>
  <c r="DB11" i="4"/>
  <c r="DB12" i="4"/>
  <c r="CZ65" i="4"/>
  <c r="CZ66" i="4"/>
  <c r="CX84" i="4"/>
  <c r="CY115" i="4"/>
  <c r="CY117" i="4"/>
  <c r="CZ113" i="4" s="1"/>
  <c r="CY81" i="4"/>
  <c r="CY159" i="4" s="1"/>
  <c r="CY157" i="4"/>
  <c r="CY83" i="4"/>
  <c r="CY160" i="4" s="1"/>
  <c r="CY158" i="4"/>
  <c r="CZ32" i="4"/>
  <c r="CZ53" i="4"/>
  <c r="CZ41" i="4"/>
  <c r="CZ45" i="4" s="1"/>
  <c r="CZ106" i="4"/>
  <c r="CZ36" i="4"/>
  <c r="CZ35" i="4" s="1"/>
  <c r="CZ54" i="4"/>
  <c r="CZ55" i="4"/>
  <c r="CZ126" i="4"/>
  <c r="CZ39" i="4"/>
  <c r="CZ44" i="4" s="1"/>
  <c r="CZ134" i="4"/>
  <c r="CZ71" i="4"/>
  <c r="CZ40" i="4"/>
  <c r="CZ56" i="4"/>
  <c r="CZ80" i="4"/>
  <c r="CZ149" i="4"/>
  <c r="CZ167" i="4" s="1"/>
  <c r="CZ9" i="4"/>
  <c r="CZ161" i="4"/>
  <c r="CZ52" i="4"/>
  <c r="DA6" i="4"/>
  <c r="CZ42" i="4"/>
  <c r="CZ46" i="4" s="1"/>
  <c r="CZ82" i="4"/>
  <c r="CZ155" i="4"/>
  <c r="CZ10" i="4"/>
  <c r="CZ5" i="4"/>
  <c r="CZ48" i="4"/>
  <c r="CZ94" i="4"/>
  <c r="CZ156" i="4"/>
  <c r="CZ51" i="4"/>
  <c r="CZ116" i="4"/>
  <c r="CZ114" i="4"/>
  <c r="CY121" i="4"/>
  <c r="CY107" i="4"/>
  <c r="BH31" i="4"/>
  <c r="DA72" i="4" l="1"/>
  <c r="DA61" i="4"/>
  <c r="DA60" i="4"/>
  <c r="DA65" i="4"/>
  <c r="DA66" i="4"/>
  <c r="DC13" i="4"/>
  <c r="DC11" i="4"/>
  <c r="DC4" i="4"/>
  <c r="DD3" i="4"/>
  <c r="DC12" i="4"/>
  <c r="CY84" i="4"/>
  <c r="CZ121" i="4"/>
  <c r="CZ107" i="4"/>
  <c r="CZ83" i="4"/>
  <c r="CZ160" i="4" s="1"/>
  <c r="CZ158" i="4"/>
  <c r="CZ115" i="4"/>
  <c r="CZ117" i="4"/>
  <c r="DA113" i="4" s="1"/>
  <c r="CZ81" i="4"/>
  <c r="CZ159" i="4" s="1"/>
  <c r="CZ157" i="4"/>
  <c r="DA10" i="4"/>
  <c r="DA48" i="4"/>
  <c r="DA106" i="4"/>
  <c r="DA161" i="4"/>
  <c r="DA5" i="4"/>
  <c r="DA9" i="4"/>
  <c r="DA114" i="4"/>
  <c r="DA36" i="4"/>
  <c r="DA35" i="4" s="1"/>
  <c r="DA51" i="4"/>
  <c r="DA116" i="4"/>
  <c r="DA94" i="4"/>
  <c r="DA39" i="4"/>
  <c r="DA44" i="4" s="1"/>
  <c r="DA52" i="4"/>
  <c r="DA71" i="4"/>
  <c r="DA126" i="4"/>
  <c r="DA155" i="4"/>
  <c r="DA40" i="4"/>
  <c r="DA53" i="4"/>
  <c r="DA80" i="4"/>
  <c r="DA134" i="4"/>
  <c r="DA56" i="4"/>
  <c r="DA41" i="4"/>
  <c r="DA45" i="4" s="1"/>
  <c r="DA54" i="4"/>
  <c r="DA156" i="4"/>
  <c r="DA32" i="4"/>
  <c r="DB6" i="4"/>
  <c r="DA42" i="4"/>
  <c r="DA46" i="4" s="1"/>
  <c r="DA55" i="4"/>
  <c r="DA82" i="4"/>
  <c r="DA149" i="4"/>
  <c r="DA167" i="4" s="1"/>
  <c r="BI31" i="4"/>
  <c r="DB72" i="4" l="1"/>
  <c r="DB61" i="4"/>
  <c r="DB60" i="4"/>
  <c r="DD4" i="4"/>
  <c r="DD11" i="4"/>
  <c r="DE3" i="4"/>
  <c r="DD12" i="4"/>
  <c r="DD13" i="4"/>
  <c r="DB65" i="4"/>
  <c r="DB66" i="4"/>
  <c r="DA117" i="4"/>
  <c r="DB113" i="4" s="1"/>
  <c r="DA115" i="4"/>
  <c r="CZ84" i="4"/>
  <c r="DC6" i="4"/>
  <c r="DB51" i="4"/>
  <c r="DB114" i="4"/>
  <c r="DB80" i="4"/>
  <c r="DB32" i="4"/>
  <c r="DB52" i="4"/>
  <c r="DB116" i="4"/>
  <c r="DB156" i="4"/>
  <c r="DB36" i="4"/>
  <c r="DB35" i="4" s="1"/>
  <c r="DB53" i="4"/>
  <c r="DB71" i="4"/>
  <c r="DB126" i="4"/>
  <c r="DB55" i="4"/>
  <c r="DB39" i="4"/>
  <c r="DB44" i="4" s="1"/>
  <c r="DB54" i="4"/>
  <c r="DB134" i="4"/>
  <c r="DB40" i="4"/>
  <c r="DB5" i="4"/>
  <c r="DB41" i="4"/>
  <c r="DB45" i="4" s="1"/>
  <c r="DB56" i="4"/>
  <c r="DB82" i="4"/>
  <c r="DB149" i="4"/>
  <c r="DB167" i="4" s="1"/>
  <c r="DB10" i="4"/>
  <c r="DB9" i="4"/>
  <c r="DB42" i="4"/>
  <c r="DB46" i="4" s="1"/>
  <c r="DB94" i="4"/>
  <c r="DB155" i="4"/>
  <c r="DB48" i="4"/>
  <c r="DB106" i="4"/>
  <c r="DB161" i="4"/>
  <c r="DA81" i="4"/>
  <c r="DA159" i="4" s="1"/>
  <c r="DA157" i="4"/>
  <c r="DA83" i="4"/>
  <c r="DA160" i="4" s="1"/>
  <c r="DA158" i="4"/>
  <c r="DA107" i="4"/>
  <c r="DA121" i="4"/>
  <c r="BJ31" i="4"/>
  <c r="DC60" i="4" l="1"/>
  <c r="DC72" i="4"/>
  <c r="DC61" i="4"/>
  <c r="DC65" i="4"/>
  <c r="DC66" i="4"/>
  <c r="DF3" i="4"/>
  <c r="DE4" i="4"/>
  <c r="DE11" i="4"/>
  <c r="DE12" i="4"/>
  <c r="DE13" i="4"/>
  <c r="DB107" i="4"/>
  <c r="DB121" i="4"/>
  <c r="DC5" i="4"/>
  <c r="DC41" i="4"/>
  <c r="DC45" i="4" s="1"/>
  <c r="DC51" i="4"/>
  <c r="DC82" i="4"/>
  <c r="DC156" i="4"/>
  <c r="DD6" i="4"/>
  <c r="DC42" i="4"/>
  <c r="DC46" i="4" s="1"/>
  <c r="DC54" i="4"/>
  <c r="DC94" i="4"/>
  <c r="DC126" i="4"/>
  <c r="DC9" i="4"/>
  <c r="DC52" i="4"/>
  <c r="DC106" i="4"/>
  <c r="DC161" i="4"/>
  <c r="DC10" i="4"/>
  <c r="DC48" i="4"/>
  <c r="DC80" i="4"/>
  <c r="DC114" i="4"/>
  <c r="DC32" i="4"/>
  <c r="DC55" i="4"/>
  <c r="DC116" i="4"/>
  <c r="DC36" i="4"/>
  <c r="DC35" i="4" s="1"/>
  <c r="DC53" i="4"/>
  <c r="DC134" i="4"/>
  <c r="DC40" i="4"/>
  <c r="DC71" i="4"/>
  <c r="DC155" i="4"/>
  <c r="DC39" i="4"/>
  <c r="DC44" i="4" s="1"/>
  <c r="DC56" i="4"/>
  <c r="DC149" i="4"/>
  <c r="DC167" i="4" s="1"/>
  <c r="DB83" i="4"/>
  <c r="DB160" i="4" s="1"/>
  <c r="DB158" i="4"/>
  <c r="DB81" i="4"/>
  <c r="DB159" i="4" s="1"/>
  <c r="DB157" i="4"/>
  <c r="DB115" i="4"/>
  <c r="DB117" i="4"/>
  <c r="DC113" i="4" s="1"/>
  <c r="DA84" i="4"/>
  <c r="BK31" i="4"/>
  <c r="DD61" i="4" l="1"/>
  <c r="DD72" i="4"/>
  <c r="DD60" i="4"/>
  <c r="DG3" i="4"/>
  <c r="DF4" i="4"/>
  <c r="DF12" i="4"/>
  <c r="DF11" i="4"/>
  <c r="DF13" i="4"/>
  <c r="DD65" i="4"/>
  <c r="DD66" i="4"/>
  <c r="DC83" i="4"/>
  <c r="DC160" i="4" s="1"/>
  <c r="DC158" i="4"/>
  <c r="DC81" i="4"/>
  <c r="DC159" i="4" s="1"/>
  <c r="DC157" i="4"/>
  <c r="DC115" i="4"/>
  <c r="DC117" i="4"/>
  <c r="DD113" i="4" s="1"/>
  <c r="DB84" i="4"/>
  <c r="DC107" i="4"/>
  <c r="DC121" i="4"/>
  <c r="DD5" i="4"/>
  <c r="DD40" i="4"/>
  <c r="DD55" i="4"/>
  <c r="DD155" i="4"/>
  <c r="DD36" i="4"/>
  <c r="DD35" i="4" s="1"/>
  <c r="DD52" i="4"/>
  <c r="DD126" i="4"/>
  <c r="DD80" i="4"/>
  <c r="DD9" i="4"/>
  <c r="DD48" i="4"/>
  <c r="DD56" i="4"/>
  <c r="DD94" i="4"/>
  <c r="DD156" i="4"/>
  <c r="DD149" i="4"/>
  <c r="DD167" i="4" s="1"/>
  <c r="DD10" i="4"/>
  <c r="DD106" i="4"/>
  <c r="DD161" i="4"/>
  <c r="DE6" i="4"/>
  <c r="DD41" i="4"/>
  <c r="DD45" i="4" s="1"/>
  <c r="DD114" i="4"/>
  <c r="DD54" i="4"/>
  <c r="DD32" i="4"/>
  <c r="DD51" i="4"/>
  <c r="DD116" i="4"/>
  <c r="DD71" i="4"/>
  <c r="DD42" i="4"/>
  <c r="DD46" i="4" s="1"/>
  <c r="DD53" i="4"/>
  <c r="DD82" i="4"/>
  <c r="DD134" i="4"/>
  <c r="DD39" i="4"/>
  <c r="DD44" i="4" s="1"/>
  <c r="BL31" i="4"/>
  <c r="DE61" i="4" l="1"/>
  <c r="DE60" i="4"/>
  <c r="DE72" i="4"/>
  <c r="DE65" i="4"/>
  <c r="DE66" i="4"/>
  <c r="DC84" i="4"/>
  <c r="DH3" i="4"/>
  <c r="DG11" i="4"/>
  <c r="DG13" i="4"/>
  <c r="DG4" i="4"/>
  <c r="DG12" i="4"/>
  <c r="DD81" i="4"/>
  <c r="DD159" i="4" s="1"/>
  <c r="DD157" i="4"/>
  <c r="DD83" i="4"/>
  <c r="DD160" i="4" s="1"/>
  <c r="DD158" i="4"/>
  <c r="DD107" i="4"/>
  <c r="DD121" i="4"/>
  <c r="DE5" i="4"/>
  <c r="DE32" i="4"/>
  <c r="DE48" i="4"/>
  <c r="DE155" i="4"/>
  <c r="DE10" i="4"/>
  <c r="DE94" i="4"/>
  <c r="DE161" i="4"/>
  <c r="DE9" i="4"/>
  <c r="DE42" i="4"/>
  <c r="DE46" i="4" s="1"/>
  <c r="DE56" i="4"/>
  <c r="DE114" i="4"/>
  <c r="DE156" i="4"/>
  <c r="DE41" i="4"/>
  <c r="DE45" i="4" s="1"/>
  <c r="DE149" i="4"/>
  <c r="DE167" i="4" s="1"/>
  <c r="DF6" i="4"/>
  <c r="DE51" i="4"/>
  <c r="DE106" i="4"/>
  <c r="DE36" i="4"/>
  <c r="DE35" i="4" s="1"/>
  <c r="DE52" i="4"/>
  <c r="DE71" i="4"/>
  <c r="DE116" i="4"/>
  <c r="DE54" i="4"/>
  <c r="DE134" i="4"/>
  <c r="DE39" i="4"/>
  <c r="DE44" i="4" s="1"/>
  <c r="DE53" i="4"/>
  <c r="DE82" i="4"/>
  <c r="DE126" i="4"/>
  <c r="DE40" i="4"/>
  <c r="DE80" i="4"/>
  <c r="DE55" i="4"/>
  <c r="DD115" i="4"/>
  <c r="DD117" i="4"/>
  <c r="DE113" i="4" s="1"/>
  <c r="BM31" i="4"/>
  <c r="DF61" i="4" l="1"/>
  <c r="DF60" i="4"/>
  <c r="DF72" i="4"/>
  <c r="DF65" i="4"/>
  <c r="DF66" i="4"/>
  <c r="DI3" i="4"/>
  <c r="DH4" i="4"/>
  <c r="DH13" i="4"/>
  <c r="DH12" i="4"/>
  <c r="DH11" i="4"/>
  <c r="DG6" i="4"/>
  <c r="DF40" i="4"/>
  <c r="DF106" i="4"/>
  <c r="DF161" i="4"/>
  <c r="DF10" i="4"/>
  <c r="DF56" i="4"/>
  <c r="DF114" i="4"/>
  <c r="DF94" i="4"/>
  <c r="DF48" i="4"/>
  <c r="DF51" i="4"/>
  <c r="DF116" i="4"/>
  <c r="DF36" i="4"/>
  <c r="DF35" i="4" s="1"/>
  <c r="DF52" i="4"/>
  <c r="DF71" i="4"/>
  <c r="DF126" i="4"/>
  <c r="DF42" i="4"/>
  <c r="DF46" i="4" s="1"/>
  <c r="DF32" i="4"/>
  <c r="DF53" i="4"/>
  <c r="DF82" i="4"/>
  <c r="DF134" i="4"/>
  <c r="DF9" i="4"/>
  <c r="DF41" i="4"/>
  <c r="DF45" i="4" s="1"/>
  <c r="DF54" i="4"/>
  <c r="DF80" i="4"/>
  <c r="DF149" i="4"/>
  <c r="DF167" i="4" s="1"/>
  <c r="DF5" i="4"/>
  <c r="DF39" i="4"/>
  <c r="DF44" i="4" s="1"/>
  <c r="DF55" i="4"/>
  <c r="DF155" i="4"/>
  <c r="DF156" i="4"/>
  <c r="DE157" i="4"/>
  <c r="DE81" i="4"/>
  <c r="DE159" i="4" s="1"/>
  <c r="DE107" i="4"/>
  <c r="DE121" i="4"/>
  <c r="DD84" i="4"/>
  <c r="DE83" i="4"/>
  <c r="DE160" i="4" s="1"/>
  <c r="DE158" i="4"/>
  <c r="DE115" i="4"/>
  <c r="DE117" i="4"/>
  <c r="DF113" i="4" s="1"/>
  <c r="BN31" i="4"/>
  <c r="DG61" i="4" l="1"/>
  <c r="DG60" i="4"/>
  <c r="DG72" i="4"/>
  <c r="DG65" i="4"/>
  <c r="DG66" i="4"/>
  <c r="DI12" i="4"/>
  <c r="DI4" i="4"/>
  <c r="DJ3" i="4"/>
  <c r="DI11" i="4"/>
  <c r="DI13" i="4"/>
  <c r="DF158" i="4"/>
  <c r="DF83" i="4"/>
  <c r="DF160" i="4" s="1"/>
  <c r="DF107" i="4"/>
  <c r="DF121" i="4"/>
  <c r="DE84" i="4"/>
  <c r="DF81" i="4"/>
  <c r="DF159" i="4" s="1"/>
  <c r="DF157" i="4"/>
  <c r="DH6" i="4"/>
  <c r="DG52" i="4"/>
  <c r="DG48" i="4"/>
  <c r="DG80" i="4"/>
  <c r="DG5" i="4"/>
  <c r="DG116" i="4"/>
  <c r="DG32" i="4"/>
  <c r="DG53" i="4"/>
  <c r="DG134" i="4"/>
  <c r="DG36" i="4"/>
  <c r="DG35" i="4" s="1"/>
  <c r="DG54" i="4"/>
  <c r="DG71" i="4"/>
  <c r="DG149" i="4"/>
  <c r="DG167" i="4" s="1"/>
  <c r="DG39" i="4"/>
  <c r="DG44" i="4" s="1"/>
  <c r="DG55" i="4"/>
  <c r="DG82" i="4"/>
  <c r="DG155" i="4"/>
  <c r="DG41" i="4"/>
  <c r="DG45" i="4" s="1"/>
  <c r="DG94" i="4"/>
  <c r="DG40" i="4"/>
  <c r="DG56" i="4"/>
  <c r="DG156" i="4"/>
  <c r="DG42" i="4"/>
  <c r="DG46" i="4" s="1"/>
  <c r="DG10" i="4"/>
  <c r="DG106" i="4"/>
  <c r="DG126" i="4"/>
  <c r="DG9" i="4"/>
  <c r="DG51" i="4"/>
  <c r="DG114" i="4"/>
  <c r="DG161" i="4"/>
  <c r="DF115" i="4"/>
  <c r="DF117" i="4"/>
  <c r="DG113" i="4" s="1"/>
  <c r="BO31" i="4"/>
  <c r="DH60" i="4" l="1"/>
  <c r="DH61" i="4"/>
  <c r="DH72" i="4"/>
  <c r="DH65" i="4"/>
  <c r="DH66" i="4"/>
  <c r="DJ4" i="4"/>
  <c r="DJ11" i="4"/>
  <c r="DJ13" i="4"/>
  <c r="DJ12" i="4"/>
  <c r="DK3" i="4"/>
  <c r="DG83" i="4"/>
  <c r="DG160" i="4" s="1"/>
  <c r="DG158" i="4"/>
  <c r="DH10" i="4"/>
  <c r="DH116" i="4"/>
  <c r="DH126" i="4"/>
  <c r="DH32" i="4"/>
  <c r="DH51" i="4"/>
  <c r="DH71" i="4"/>
  <c r="DH106" i="4"/>
  <c r="DH161" i="4"/>
  <c r="DH9" i="4"/>
  <c r="DH52" i="4"/>
  <c r="DH56" i="4"/>
  <c r="DH114" i="4"/>
  <c r="DH42" i="4"/>
  <c r="DH46" i="4" s="1"/>
  <c r="DH53" i="4"/>
  <c r="DH134" i="4"/>
  <c r="DH40" i="4"/>
  <c r="DH36" i="4"/>
  <c r="DH35" i="4" s="1"/>
  <c r="DH54" i="4"/>
  <c r="DH149" i="4"/>
  <c r="DH167" i="4" s="1"/>
  <c r="DH94" i="4"/>
  <c r="DH41" i="4"/>
  <c r="DH45" i="4" s="1"/>
  <c r="DH39" i="4"/>
  <c r="DH44" i="4" s="1"/>
  <c r="DH82" i="4"/>
  <c r="DH155" i="4"/>
  <c r="DH5" i="4"/>
  <c r="DH48" i="4"/>
  <c r="DH55" i="4"/>
  <c r="DH80" i="4"/>
  <c r="DH156" i="4"/>
  <c r="DI6" i="4"/>
  <c r="DF84" i="4"/>
  <c r="DG107" i="4"/>
  <c r="DG121" i="4"/>
  <c r="DG115" i="4"/>
  <c r="DG117" i="4"/>
  <c r="DH113" i="4" s="1"/>
  <c r="DG81" i="4"/>
  <c r="DG159" i="4" s="1"/>
  <c r="DG157" i="4"/>
  <c r="BP31" i="4"/>
  <c r="DI61" i="4" l="1"/>
  <c r="DI72" i="4"/>
  <c r="DI60" i="4"/>
  <c r="DK4" i="4"/>
  <c r="DL3" i="4"/>
  <c r="DK12" i="4"/>
  <c r="DK11" i="4"/>
  <c r="DK13" i="4"/>
  <c r="DI65" i="4"/>
  <c r="DI66" i="4"/>
  <c r="DH121" i="4"/>
  <c r="DH107" i="4"/>
  <c r="DH115" i="4"/>
  <c r="DH117" i="4"/>
  <c r="DI113" i="4" s="1"/>
  <c r="DI10" i="4"/>
  <c r="DI32" i="4"/>
  <c r="DI114" i="4"/>
  <c r="DI36" i="4"/>
  <c r="DI35" i="4" s="1"/>
  <c r="DI51" i="4"/>
  <c r="DI116" i="4"/>
  <c r="DI39" i="4"/>
  <c r="DI44" i="4" s="1"/>
  <c r="DI52" i="4"/>
  <c r="DI126" i="4"/>
  <c r="DI53" i="4"/>
  <c r="DI134" i="4"/>
  <c r="DI41" i="4"/>
  <c r="DI45" i="4" s="1"/>
  <c r="DI54" i="4"/>
  <c r="DI80" i="4"/>
  <c r="DI161" i="4"/>
  <c r="DJ6" i="4"/>
  <c r="DI42" i="4"/>
  <c r="DI46" i="4" s="1"/>
  <c r="DI55" i="4"/>
  <c r="DI82" i="4"/>
  <c r="DI149" i="4"/>
  <c r="DI167" i="4" s="1"/>
  <c r="DI71" i="4"/>
  <c r="DI40" i="4"/>
  <c r="DI9" i="4"/>
  <c r="DI48" i="4"/>
  <c r="DI56" i="4"/>
  <c r="DI94" i="4"/>
  <c r="DI156" i="4"/>
  <c r="DI5" i="4"/>
  <c r="DI106" i="4"/>
  <c r="DI155" i="4"/>
  <c r="DH83" i="4"/>
  <c r="DH160" i="4" s="1"/>
  <c r="DH158" i="4"/>
  <c r="DH81" i="4"/>
  <c r="DH159" i="4" s="1"/>
  <c r="DH157" i="4"/>
  <c r="DG84" i="4"/>
  <c r="BQ31" i="4"/>
  <c r="DJ72" i="4" l="1"/>
  <c r="DJ60" i="4"/>
  <c r="DJ61" i="4"/>
  <c r="DJ65" i="4"/>
  <c r="DJ66" i="4"/>
  <c r="DM3" i="4"/>
  <c r="DL4" i="4"/>
  <c r="DL11" i="4"/>
  <c r="DL12" i="4"/>
  <c r="DL13" i="4"/>
  <c r="DJ36" i="4"/>
  <c r="DJ35" i="4" s="1"/>
  <c r="DJ52" i="4"/>
  <c r="DJ71" i="4"/>
  <c r="DJ126" i="4"/>
  <c r="DJ5" i="4"/>
  <c r="DJ82" i="4"/>
  <c r="DJ32" i="4"/>
  <c r="DJ39" i="4"/>
  <c r="DJ44" i="4" s="1"/>
  <c r="DJ53" i="4"/>
  <c r="DJ134" i="4"/>
  <c r="DJ41" i="4"/>
  <c r="DJ45" i="4" s="1"/>
  <c r="DJ55" i="4"/>
  <c r="DJ51" i="4"/>
  <c r="DJ40" i="4"/>
  <c r="DJ54" i="4"/>
  <c r="DJ80" i="4"/>
  <c r="DJ161" i="4"/>
  <c r="DJ155" i="4"/>
  <c r="DJ9" i="4"/>
  <c r="DJ48" i="4"/>
  <c r="DJ56" i="4"/>
  <c r="DJ94" i="4"/>
  <c r="DJ156" i="4"/>
  <c r="DJ116" i="4"/>
  <c r="DJ10" i="4"/>
  <c r="DJ42" i="4"/>
  <c r="DJ46" i="4" s="1"/>
  <c r="DJ106" i="4"/>
  <c r="DJ149" i="4"/>
  <c r="DJ167" i="4" s="1"/>
  <c r="DK6" i="4"/>
  <c r="DJ114" i="4"/>
  <c r="DI81" i="4"/>
  <c r="DI159" i="4" s="1"/>
  <c r="DI157" i="4"/>
  <c r="DI107" i="4"/>
  <c r="DI121" i="4"/>
  <c r="DI115" i="4"/>
  <c r="DI117" i="4"/>
  <c r="DJ113" i="4" s="1"/>
  <c r="DI83" i="4"/>
  <c r="DI160" i="4" s="1"/>
  <c r="DI158" i="4"/>
  <c r="DH84" i="4"/>
  <c r="BR31" i="4"/>
  <c r="DK60" i="4" l="1"/>
  <c r="DK72" i="4"/>
  <c r="DK61" i="4"/>
  <c r="DK65" i="4"/>
  <c r="DK66" i="4"/>
  <c r="DN3" i="4"/>
  <c r="DM4" i="4"/>
  <c r="DM11" i="4"/>
  <c r="DM12" i="4"/>
  <c r="DM13" i="4"/>
  <c r="DI84" i="4"/>
  <c r="DJ83" i="4"/>
  <c r="DJ160" i="4" s="1"/>
  <c r="DJ158" i="4"/>
  <c r="DJ115" i="4"/>
  <c r="DJ117" i="4"/>
  <c r="DK113" i="4" s="1"/>
  <c r="DJ107" i="4"/>
  <c r="DJ121" i="4"/>
  <c r="DJ81" i="4"/>
  <c r="DJ159" i="4" s="1"/>
  <c r="DJ157" i="4"/>
  <c r="DK39" i="4"/>
  <c r="DK44" i="4" s="1"/>
  <c r="DK55" i="4"/>
  <c r="DK126" i="4"/>
  <c r="DK40" i="4"/>
  <c r="DK51" i="4"/>
  <c r="DK82" i="4"/>
  <c r="DK134" i="4"/>
  <c r="DK149" i="4"/>
  <c r="DK167" i="4" s="1"/>
  <c r="DK41" i="4"/>
  <c r="DK45" i="4" s="1"/>
  <c r="DK54" i="4"/>
  <c r="DK52" i="4"/>
  <c r="DK5" i="4"/>
  <c r="DK42" i="4"/>
  <c r="DK46" i="4" s="1"/>
  <c r="DK56" i="4"/>
  <c r="DK155" i="4"/>
  <c r="DK32" i="4"/>
  <c r="DK94" i="4"/>
  <c r="DL6" i="4"/>
  <c r="DK80" i="4"/>
  <c r="DK156" i="4"/>
  <c r="DK10" i="4"/>
  <c r="DK48" i="4"/>
  <c r="DK106" i="4"/>
  <c r="DK161" i="4"/>
  <c r="DK9" i="4"/>
  <c r="DK114" i="4"/>
  <c r="DK36" i="4"/>
  <c r="DK35" i="4" s="1"/>
  <c r="DK53" i="4"/>
  <c r="DK71" i="4"/>
  <c r="DK116" i="4"/>
  <c r="BS31" i="4"/>
  <c r="DL61" i="4" l="1"/>
  <c r="DL72" i="4"/>
  <c r="DL60" i="4"/>
  <c r="DL65" i="4"/>
  <c r="DL66" i="4"/>
  <c r="DO3" i="4"/>
  <c r="DN13" i="4"/>
  <c r="DN12" i="4"/>
  <c r="DN4" i="4"/>
  <c r="DN11" i="4"/>
  <c r="DJ84" i="4"/>
  <c r="DK115" i="4"/>
  <c r="DK117" i="4"/>
  <c r="DL113" i="4" s="1"/>
  <c r="DK83" i="4"/>
  <c r="DK160" i="4" s="1"/>
  <c r="DK158" i="4"/>
  <c r="DK81" i="4"/>
  <c r="DK159" i="4" s="1"/>
  <c r="DK157" i="4"/>
  <c r="DL39" i="4"/>
  <c r="DL44" i="4" s="1"/>
  <c r="DL54" i="4"/>
  <c r="DL71" i="4"/>
  <c r="DL126" i="4"/>
  <c r="DL36" i="4"/>
  <c r="DL35" i="4" s="1"/>
  <c r="DL55" i="4"/>
  <c r="DL80" i="4"/>
  <c r="DL134" i="4"/>
  <c r="DL41" i="4"/>
  <c r="DL45" i="4" s="1"/>
  <c r="DL56" i="4"/>
  <c r="DL149" i="4"/>
  <c r="DL167" i="4" s="1"/>
  <c r="DL5" i="4"/>
  <c r="DL48" i="4"/>
  <c r="DL82" i="4"/>
  <c r="DL155" i="4"/>
  <c r="DL53" i="4"/>
  <c r="DL9" i="4"/>
  <c r="DL40" i="4"/>
  <c r="DL94" i="4"/>
  <c r="DL156" i="4"/>
  <c r="DL32" i="4"/>
  <c r="DL116" i="4"/>
  <c r="DL10" i="4"/>
  <c r="DL51" i="4"/>
  <c r="DL42" i="4"/>
  <c r="DL46" i="4" s="1"/>
  <c r="DL106" i="4"/>
  <c r="DL161" i="4"/>
  <c r="DM6" i="4"/>
  <c r="DL52" i="4"/>
  <c r="DL114" i="4"/>
  <c r="DK107" i="4"/>
  <c r="DK121" i="4"/>
  <c r="BT31" i="4"/>
  <c r="DM72" i="4" l="1"/>
  <c r="DM61" i="4"/>
  <c r="DM60" i="4"/>
  <c r="DM66" i="4"/>
  <c r="DM65" i="4"/>
  <c r="DP3" i="4"/>
  <c r="DO12" i="4"/>
  <c r="DO4" i="4"/>
  <c r="DO13" i="4"/>
  <c r="DO11" i="4"/>
  <c r="DK84" i="4"/>
  <c r="DL107" i="4"/>
  <c r="DL121" i="4"/>
  <c r="DL83" i="4"/>
  <c r="DL160" i="4" s="1"/>
  <c r="DL158" i="4"/>
  <c r="DN6" i="4"/>
  <c r="DM52" i="4"/>
  <c r="DM82" i="4"/>
  <c r="DM114" i="4"/>
  <c r="DM106" i="4"/>
  <c r="DM36" i="4"/>
  <c r="DM35" i="4" s="1"/>
  <c r="DM53" i="4"/>
  <c r="DM116" i="4"/>
  <c r="DM155" i="4"/>
  <c r="DM39" i="4"/>
  <c r="DM44" i="4" s="1"/>
  <c r="DM54" i="4"/>
  <c r="DM80" i="4"/>
  <c r="DM126" i="4"/>
  <c r="DM56" i="4"/>
  <c r="DM40" i="4"/>
  <c r="DM55" i="4"/>
  <c r="DM71" i="4"/>
  <c r="DM134" i="4"/>
  <c r="DM41" i="4"/>
  <c r="DM45" i="4" s="1"/>
  <c r="DM48" i="4"/>
  <c r="DM149" i="4"/>
  <c r="DM167" i="4" s="1"/>
  <c r="DM51" i="4"/>
  <c r="DM5" i="4"/>
  <c r="DM32" i="4"/>
  <c r="DM156" i="4"/>
  <c r="DM10" i="4"/>
  <c r="DM9" i="4"/>
  <c r="DM42" i="4"/>
  <c r="DM46" i="4" s="1"/>
  <c r="DM94" i="4"/>
  <c r="DM161" i="4"/>
  <c r="DL157" i="4"/>
  <c r="DL81" i="4"/>
  <c r="DL159" i="4" s="1"/>
  <c r="DL115" i="4"/>
  <c r="DL117" i="4"/>
  <c r="DM113" i="4" s="1"/>
  <c r="BU31" i="4"/>
  <c r="DN60" i="4" l="1"/>
  <c r="DN72" i="4"/>
  <c r="DN61" i="4"/>
  <c r="DN65" i="4"/>
  <c r="DN66" i="4"/>
  <c r="DQ3" i="4"/>
  <c r="DP4" i="4"/>
  <c r="DP13" i="4"/>
  <c r="DP12" i="4"/>
  <c r="DP11" i="4"/>
  <c r="DL84" i="4"/>
  <c r="DM83" i="4"/>
  <c r="DM160" i="4" s="1"/>
  <c r="DM158" i="4"/>
  <c r="DM107" i="4"/>
  <c r="DM121" i="4"/>
  <c r="DN40" i="4"/>
  <c r="DN54" i="4"/>
  <c r="DN94" i="4"/>
  <c r="DN149" i="4"/>
  <c r="DN167" i="4" s="1"/>
  <c r="DN5" i="4"/>
  <c r="DN42" i="4"/>
  <c r="DN46" i="4" s="1"/>
  <c r="DN56" i="4"/>
  <c r="DN106" i="4"/>
  <c r="DN155" i="4"/>
  <c r="DO6" i="4"/>
  <c r="DN36" i="4"/>
  <c r="DN35" i="4" s="1"/>
  <c r="DN156" i="4"/>
  <c r="DN9" i="4"/>
  <c r="DN71" i="4"/>
  <c r="DN161" i="4"/>
  <c r="DN10" i="4"/>
  <c r="DN41" i="4"/>
  <c r="DN45" i="4" s="1"/>
  <c r="DN114" i="4"/>
  <c r="DN32" i="4"/>
  <c r="DN51" i="4"/>
  <c r="DN55" i="4"/>
  <c r="DN116" i="4"/>
  <c r="DN48" i="4"/>
  <c r="DN52" i="4"/>
  <c r="DN82" i="4"/>
  <c r="DN126" i="4"/>
  <c r="DN39" i="4"/>
  <c r="DN44" i="4" s="1"/>
  <c r="DN53" i="4"/>
  <c r="DN80" i="4"/>
  <c r="DN134" i="4"/>
  <c r="DM115" i="4"/>
  <c r="DM117" i="4"/>
  <c r="DN113" i="4" s="1"/>
  <c r="DM81" i="4"/>
  <c r="DM159" i="4" s="1"/>
  <c r="DM157" i="4"/>
  <c r="BV31" i="4"/>
  <c r="DO61" i="4" l="1"/>
  <c r="DO60" i="4"/>
  <c r="DO72" i="4"/>
  <c r="DO65" i="4"/>
  <c r="DO66" i="4"/>
  <c r="DQ4" i="4"/>
  <c r="DR3" i="4"/>
  <c r="DQ13" i="4"/>
  <c r="DQ11" i="4"/>
  <c r="DQ12" i="4"/>
  <c r="DM84" i="4"/>
  <c r="DN107" i="4"/>
  <c r="DN121" i="4"/>
  <c r="DO36" i="4"/>
  <c r="DO35" i="4" s="1"/>
  <c r="DO51" i="4"/>
  <c r="DO126" i="4"/>
  <c r="DO39" i="4"/>
  <c r="DO44" i="4" s="1"/>
  <c r="DO52" i="4"/>
  <c r="DO82" i="4"/>
  <c r="DO134" i="4"/>
  <c r="DO32" i="4"/>
  <c r="DO53" i="4"/>
  <c r="DO80" i="4"/>
  <c r="DO149" i="4"/>
  <c r="DO167" i="4" s="1"/>
  <c r="DO41" i="4"/>
  <c r="DO45" i="4" s="1"/>
  <c r="DO54" i="4"/>
  <c r="DO71" i="4"/>
  <c r="DO155" i="4"/>
  <c r="DO10" i="4"/>
  <c r="DO40" i="4"/>
  <c r="DO55" i="4"/>
  <c r="DO156" i="4"/>
  <c r="DO9" i="4"/>
  <c r="DO42" i="4"/>
  <c r="DO46" i="4" s="1"/>
  <c r="DO56" i="4"/>
  <c r="DO94" i="4"/>
  <c r="DO161" i="4"/>
  <c r="DO5" i="4"/>
  <c r="DO106" i="4"/>
  <c r="DO116" i="4"/>
  <c r="DP6" i="4"/>
  <c r="DO48" i="4"/>
  <c r="DO114" i="4"/>
  <c r="DN157" i="4"/>
  <c r="DN81" i="4"/>
  <c r="DN159" i="4" s="1"/>
  <c r="DN115" i="4"/>
  <c r="DN117" i="4"/>
  <c r="DO113" i="4" s="1"/>
  <c r="DN83" i="4"/>
  <c r="DN160" i="4" s="1"/>
  <c r="DN158" i="4"/>
  <c r="BW31" i="4"/>
  <c r="DP60" i="4" l="1"/>
  <c r="DP61" i="4"/>
  <c r="DP72" i="4"/>
  <c r="DP65" i="4"/>
  <c r="DP66" i="4"/>
  <c r="DR4" i="4"/>
  <c r="DR11" i="4"/>
  <c r="DR12" i="4"/>
  <c r="DS3" i="4"/>
  <c r="DR13" i="4"/>
  <c r="DN84" i="4"/>
  <c r="DO117" i="4"/>
  <c r="DP113" i="4" s="1"/>
  <c r="DO115" i="4"/>
  <c r="DO81" i="4"/>
  <c r="DO159" i="4" s="1"/>
  <c r="DO157" i="4"/>
  <c r="DP36" i="4"/>
  <c r="DP35" i="4" s="1"/>
  <c r="DP149" i="4"/>
  <c r="DP167" i="4" s="1"/>
  <c r="DQ6" i="4"/>
  <c r="DP42" i="4"/>
  <c r="DP46" i="4" s="1"/>
  <c r="DP56" i="4"/>
  <c r="DP94" i="4"/>
  <c r="DP155" i="4"/>
  <c r="DP9" i="4"/>
  <c r="DP41" i="4"/>
  <c r="DP45" i="4" s="1"/>
  <c r="DP80" i="4"/>
  <c r="DP156" i="4"/>
  <c r="DP10" i="4"/>
  <c r="DP116" i="4"/>
  <c r="DP161" i="4"/>
  <c r="DP32" i="4"/>
  <c r="DP48" i="4"/>
  <c r="DP106" i="4"/>
  <c r="DP5" i="4"/>
  <c r="DP51" i="4"/>
  <c r="DP71" i="4"/>
  <c r="DP114" i="4"/>
  <c r="DP39" i="4"/>
  <c r="DP44" i="4" s="1"/>
  <c r="DP52" i="4"/>
  <c r="DP55" i="4"/>
  <c r="DP126" i="4"/>
  <c r="DP40" i="4"/>
  <c r="DP53" i="4"/>
  <c r="DP82" i="4"/>
  <c r="DP134" i="4"/>
  <c r="DP54" i="4"/>
  <c r="DO107" i="4"/>
  <c r="DO121" i="4"/>
  <c r="DO83" i="4"/>
  <c r="DO160" i="4" s="1"/>
  <c r="DO158" i="4"/>
  <c r="BX31" i="4"/>
  <c r="DQ61" i="4" l="1"/>
  <c r="DQ60" i="4"/>
  <c r="DQ72" i="4"/>
  <c r="DS13" i="4"/>
  <c r="DS4" i="4"/>
  <c r="DT3" i="4"/>
  <c r="DS11" i="4"/>
  <c r="DS12" i="4"/>
  <c r="DQ65" i="4"/>
  <c r="DQ66" i="4"/>
  <c r="DP81" i="4"/>
  <c r="DP159" i="4" s="1"/>
  <c r="DP157" i="4"/>
  <c r="DQ41" i="4"/>
  <c r="DQ45" i="4" s="1"/>
  <c r="DQ54" i="4"/>
  <c r="DQ82" i="4"/>
  <c r="DQ156" i="4"/>
  <c r="DR6" i="4"/>
  <c r="DQ42" i="4"/>
  <c r="DQ46" i="4" s="1"/>
  <c r="DQ55" i="4"/>
  <c r="DQ80" i="4"/>
  <c r="DQ134" i="4"/>
  <c r="DQ5" i="4"/>
  <c r="DQ48" i="4"/>
  <c r="DQ56" i="4"/>
  <c r="DQ94" i="4"/>
  <c r="DQ161" i="4"/>
  <c r="DQ9" i="4"/>
  <c r="DQ106" i="4"/>
  <c r="DQ149" i="4"/>
  <c r="DQ167" i="4" s="1"/>
  <c r="DQ10" i="4"/>
  <c r="DQ32" i="4"/>
  <c r="DQ114" i="4"/>
  <c r="DQ36" i="4"/>
  <c r="DQ35" i="4" s="1"/>
  <c r="DQ51" i="4"/>
  <c r="DQ116" i="4"/>
  <c r="DQ39" i="4"/>
  <c r="DQ44" i="4" s="1"/>
  <c r="DQ52" i="4"/>
  <c r="DQ71" i="4"/>
  <c r="DQ126" i="4"/>
  <c r="DQ40" i="4"/>
  <c r="DQ53" i="4"/>
  <c r="DQ155" i="4"/>
  <c r="DO84" i="4"/>
  <c r="DP107" i="4"/>
  <c r="DP121" i="4"/>
  <c r="DP115" i="4"/>
  <c r="DP117" i="4"/>
  <c r="DQ113" i="4" s="1"/>
  <c r="DP83" i="4"/>
  <c r="DP160" i="4" s="1"/>
  <c r="DP158" i="4"/>
  <c r="BY31" i="4"/>
  <c r="DR61" i="4" l="1"/>
  <c r="DR60" i="4"/>
  <c r="DR72" i="4"/>
  <c r="DR65" i="4"/>
  <c r="DR66" i="4"/>
  <c r="DU3" i="4"/>
  <c r="DT4" i="4"/>
  <c r="DT11" i="4"/>
  <c r="DT12" i="4"/>
  <c r="DT13" i="4"/>
  <c r="DQ107" i="4"/>
  <c r="DQ121" i="4"/>
  <c r="DQ158" i="4"/>
  <c r="DQ83" i="4"/>
  <c r="DQ160" i="4" s="1"/>
  <c r="DQ157" i="4"/>
  <c r="DQ81" i="4"/>
  <c r="DQ159" i="4" s="1"/>
  <c r="DP84" i="4"/>
  <c r="DQ115" i="4"/>
  <c r="DQ117" i="4"/>
  <c r="DR113" i="4" s="1"/>
  <c r="DR40" i="4"/>
  <c r="DR55" i="4"/>
  <c r="DR80" i="4"/>
  <c r="DR155" i="4"/>
  <c r="DR5" i="4"/>
  <c r="DR48" i="4"/>
  <c r="DR56" i="4"/>
  <c r="DR82" i="4"/>
  <c r="DR156" i="4"/>
  <c r="DR9" i="4"/>
  <c r="DR41" i="4"/>
  <c r="DR45" i="4" s="1"/>
  <c r="DR94" i="4"/>
  <c r="DR161" i="4"/>
  <c r="DR10" i="4"/>
  <c r="DR42" i="4"/>
  <c r="DR46" i="4" s="1"/>
  <c r="DR106" i="4"/>
  <c r="DR149" i="4"/>
  <c r="DR167" i="4" s="1"/>
  <c r="DS6" i="4"/>
  <c r="DR51" i="4"/>
  <c r="DR114" i="4"/>
  <c r="DR32" i="4"/>
  <c r="DR52" i="4"/>
  <c r="DR116" i="4"/>
  <c r="DR36" i="4"/>
  <c r="DR35" i="4" s="1"/>
  <c r="DR53" i="4"/>
  <c r="DR71" i="4"/>
  <c r="DR126" i="4"/>
  <c r="DR39" i="4"/>
  <c r="DR44" i="4" s="1"/>
  <c r="DR54" i="4"/>
  <c r="DR134" i="4"/>
  <c r="BZ31" i="4"/>
  <c r="CA31" i="4" s="1"/>
  <c r="DS61" i="4" l="1"/>
  <c r="DS60" i="4"/>
  <c r="DS72" i="4"/>
  <c r="DS65" i="4"/>
  <c r="DS66" i="4"/>
  <c r="DV3" i="4"/>
  <c r="DU4" i="4"/>
  <c r="DU11" i="4"/>
  <c r="DU12" i="4"/>
  <c r="DU13" i="4"/>
  <c r="DR115" i="4"/>
  <c r="DR117" i="4"/>
  <c r="DS113" i="4" s="1"/>
  <c r="DT6" i="4"/>
  <c r="DS32" i="4"/>
  <c r="DS54" i="4"/>
  <c r="DS94" i="4"/>
  <c r="DS126" i="4"/>
  <c r="DS10" i="4"/>
  <c r="DS55" i="4"/>
  <c r="DS106" i="4"/>
  <c r="DS161" i="4"/>
  <c r="DS9" i="4"/>
  <c r="DS48" i="4"/>
  <c r="DS114" i="4"/>
  <c r="DS36" i="4"/>
  <c r="DS35" i="4" s="1"/>
  <c r="DS52" i="4"/>
  <c r="DS116" i="4"/>
  <c r="DS39" i="4"/>
  <c r="DS44" i="4" s="1"/>
  <c r="DS56" i="4"/>
  <c r="DS134" i="4"/>
  <c r="DS40" i="4"/>
  <c r="DS53" i="4"/>
  <c r="DS71" i="4"/>
  <c r="DS149" i="4"/>
  <c r="DS167" i="4" s="1"/>
  <c r="DS41" i="4"/>
  <c r="DS45" i="4" s="1"/>
  <c r="DS80" i="4"/>
  <c r="DS155" i="4"/>
  <c r="DS5" i="4"/>
  <c r="DS42" i="4"/>
  <c r="DS46" i="4" s="1"/>
  <c r="DS51" i="4"/>
  <c r="DS82" i="4"/>
  <c r="DS156" i="4"/>
  <c r="CA47" i="4"/>
  <c r="CA49" i="4" s="1"/>
  <c r="CB31" i="4"/>
  <c r="DR81" i="4"/>
  <c r="DR159" i="4" s="1"/>
  <c r="DR157" i="4"/>
  <c r="DR107" i="4"/>
  <c r="DR121" i="4"/>
  <c r="DQ84" i="4"/>
  <c r="DR83" i="4"/>
  <c r="DR160" i="4" s="1"/>
  <c r="DR158" i="4"/>
  <c r="E44" i="5"/>
  <c r="F10" i="4" s="1"/>
  <c r="CA57" i="4" l="1"/>
  <c r="DT61" i="4"/>
  <c r="DT72" i="4"/>
  <c r="DT60" i="4"/>
  <c r="DV11" i="4"/>
  <c r="DW3" i="4"/>
  <c r="DV4" i="4"/>
  <c r="DV13" i="4"/>
  <c r="DV12" i="4"/>
  <c r="DT65" i="4"/>
  <c r="DT66" i="4"/>
  <c r="DR84" i="4"/>
  <c r="CB47" i="4"/>
  <c r="CB49" i="4" s="1"/>
  <c r="CC31" i="4"/>
  <c r="DS81" i="4"/>
  <c r="DS159" i="4" s="1"/>
  <c r="DS157" i="4"/>
  <c r="DS83" i="4"/>
  <c r="DS160" i="4" s="1"/>
  <c r="DS158" i="4"/>
  <c r="DS121" i="4"/>
  <c r="DS107" i="4"/>
  <c r="DT9" i="4"/>
  <c r="DT48" i="4"/>
  <c r="DT56" i="4"/>
  <c r="DT94" i="4"/>
  <c r="DT156" i="4"/>
  <c r="DT10" i="4"/>
  <c r="DT106" i="4"/>
  <c r="DT161" i="4"/>
  <c r="DU6" i="4"/>
  <c r="DT36" i="4"/>
  <c r="DT35" i="4" s="1"/>
  <c r="DT114" i="4"/>
  <c r="DT32" i="4"/>
  <c r="DT51" i="4"/>
  <c r="DT116" i="4"/>
  <c r="DT42" i="4"/>
  <c r="DT46" i="4" s="1"/>
  <c r="DT52" i="4"/>
  <c r="DT71" i="4"/>
  <c r="DT126" i="4"/>
  <c r="DT39" i="4"/>
  <c r="DT44" i="4" s="1"/>
  <c r="DT53" i="4"/>
  <c r="DT80" i="4"/>
  <c r="DT134" i="4"/>
  <c r="DT41" i="4"/>
  <c r="DT45" i="4" s="1"/>
  <c r="DT54" i="4"/>
  <c r="DT149" i="4"/>
  <c r="DT167" i="4" s="1"/>
  <c r="DT5" i="4"/>
  <c r="DT40" i="4"/>
  <c r="DT55" i="4"/>
  <c r="DT82" i="4"/>
  <c r="DT155" i="4"/>
  <c r="DS115" i="4"/>
  <c r="DS117" i="4"/>
  <c r="DT113" i="4" s="1"/>
  <c r="F16" i="1"/>
  <c r="F21" i="2"/>
  <c r="H68" i="4" l="1"/>
  <c r="BN68" i="4"/>
  <c r="DT68" i="4"/>
  <c r="CB57" i="4"/>
  <c r="DU72" i="4"/>
  <c r="DU61" i="4"/>
  <c r="DU60" i="4"/>
  <c r="H69" i="4"/>
  <c r="H70" i="4" s="1"/>
  <c r="DU65" i="4"/>
  <c r="DU66" i="4"/>
  <c r="DW13" i="4"/>
  <c r="DX3" i="4"/>
  <c r="DW4" i="4"/>
  <c r="DW11" i="4"/>
  <c r="DW12" i="4"/>
  <c r="BL68" i="4"/>
  <c r="BT68" i="4"/>
  <c r="AF68" i="4"/>
  <c r="AN68" i="4"/>
  <c r="P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BD68" i="4"/>
  <c r="AV68" i="4"/>
  <c r="DU41" i="4"/>
  <c r="DU45" i="4" s="1"/>
  <c r="DU114" i="4"/>
  <c r="DU5" i="4"/>
  <c r="DU32" i="4"/>
  <c r="DU48" i="4"/>
  <c r="DU82" i="4"/>
  <c r="DU155" i="4"/>
  <c r="DU9" i="4"/>
  <c r="DU42" i="4"/>
  <c r="DU46" i="4" s="1"/>
  <c r="DU56" i="4"/>
  <c r="DU94" i="4"/>
  <c r="DU156" i="4"/>
  <c r="DU10" i="4"/>
  <c r="DU51" i="4"/>
  <c r="DU116" i="4"/>
  <c r="DU161" i="4"/>
  <c r="DV6" i="4"/>
  <c r="DU52" i="4"/>
  <c r="DU126" i="4"/>
  <c r="DU36" i="4"/>
  <c r="DU35" i="4" s="1"/>
  <c r="DU53" i="4"/>
  <c r="DU71" i="4"/>
  <c r="DU106" i="4"/>
  <c r="DU39" i="4"/>
  <c r="DU44" i="4" s="1"/>
  <c r="DU54" i="4"/>
  <c r="DU80" i="4"/>
  <c r="DU134" i="4"/>
  <c r="DU40" i="4"/>
  <c r="DU68" i="4" s="1"/>
  <c r="DU55" i="4"/>
  <c r="DU149" i="4"/>
  <c r="DU167" i="4" s="1"/>
  <c r="DT83" i="4"/>
  <c r="DT160" i="4" s="1"/>
  <c r="DT158" i="4"/>
  <c r="DT107" i="4"/>
  <c r="DT121" i="4"/>
  <c r="DS84" i="4"/>
  <c r="DT81" i="4"/>
  <c r="DT159" i="4" s="1"/>
  <c r="DT157" i="4"/>
  <c r="DT69" i="4"/>
  <c r="DT70" i="4" s="1"/>
  <c r="CC47" i="4"/>
  <c r="CC49" i="4" s="1"/>
  <c r="CD31" i="4"/>
  <c r="DT115" i="4"/>
  <c r="DT117" i="4"/>
  <c r="DU113" i="4" s="1"/>
  <c r="E10" i="2"/>
  <c r="E11" i="2" s="1"/>
  <c r="C11" i="3"/>
  <c r="G44" i="4"/>
  <c r="H44" i="4"/>
  <c r="H47" i="4" s="1"/>
  <c r="H48" i="4" s="1"/>
  <c r="H49" i="4" s="1"/>
  <c r="H59" i="4" s="1"/>
  <c r="I44" i="4"/>
  <c r="I47" i="4" s="1"/>
  <c r="I48" i="4" s="1"/>
  <c r="I49" i="4" s="1"/>
  <c r="I59" i="4" s="1"/>
  <c r="J44" i="4"/>
  <c r="J47" i="4" s="1"/>
  <c r="J48" i="4" s="1"/>
  <c r="J49" i="4" s="1"/>
  <c r="J59" i="4" s="1"/>
  <c r="K44" i="4"/>
  <c r="K47" i="4" s="1"/>
  <c r="K48" i="4" s="1"/>
  <c r="K49" i="4" s="1"/>
  <c r="K59" i="4" s="1"/>
  <c r="L44" i="4"/>
  <c r="L47" i="4" s="1"/>
  <c r="L48" i="4" s="1"/>
  <c r="L49" i="4" s="1"/>
  <c r="L59" i="4" s="1"/>
  <c r="M44" i="4"/>
  <c r="M47" i="4" s="1"/>
  <c r="M48" i="4" s="1"/>
  <c r="M49" i="4" s="1"/>
  <c r="M59" i="4" s="1"/>
  <c r="N44" i="4"/>
  <c r="N47" i="4" s="1"/>
  <c r="N48" i="4" s="1"/>
  <c r="N49" i="4" s="1"/>
  <c r="N59" i="4" s="1"/>
  <c r="O44" i="4"/>
  <c r="O47" i="4" s="1"/>
  <c r="O48" i="4" s="1"/>
  <c r="O49" i="4" s="1"/>
  <c r="O59" i="4" s="1"/>
  <c r="P44" i="4"/>
  <c r="P47" i="4" s="1"/>
  <c r="P48" i="4" s="1"/>
  <c r="P49" i="4" s="1"/>
  <c r="P59" i="4" s="1"/>
  <c r="Q44" i="4"/>
  <c r="Q47" i="4" s="1"/>
  <c r="Q48" i="4" s="1"/>
  <c r="Q49" i="4" s="1"/>
  <c r="Q59" i="4" s="1"/>
  <c r="R44" i="4"/>
  <c r="R47" i="4" s="1"/>
  <c r="R48" i="4" s="1"/>
  <c r="R49" i="4" s="1"/>
  <c r="R59" i="4" s="1"/>
  <c r="S44" i="4"/>
  <c r="S47" i="4" s="1"/>
  <c r="S48" i="4" s="1"/>
  <c r="S49" i="4" s="1"/>
  <c r="S59" i="4" s="1"/>
  <c r="T44" i="4"/>
  <c r="T47" i="4" s="1"/>
  <c r="T48" i="4" s="1"/>
  <c r="T49" i="4" s="1"/>
  <c r="T59" i="4" s="1"/>
  <c r="U44" i="4"/>
  <c r="U47" i="4" s="1"/>
  <c r="U48" i="4" s="1"/>
  <c r="U49" i="4" s="1"/>
  <c r="U59" i="4" s="1"/>
  <c r="V44" i="4"/>
  <c r="V47" i="4" s="1"/>
  <c r="V48" i="4" s="1"/>
  <c r="V49" i="4" s="1"/>
  <c r="V59" i="4" s="1"/>
  <c r="W44" i="4"/>
  <c r="W47" i="4" s="1"/>
  <c r="W48" i="4" s="1"/>
  <c r="W49" i="4" s="1"/>
  <c r="W59" i="4" s="1"/>
  <c r="X44" i="4"/>
  <c r="Y44" i="4"/>
  <c r="Y47" i="4" s="1"/>
  <c r="Y48" i="4" s="1"/>
  <c r="Y49" i="4" s="1"/>
  <c r="Y59" i="4" s="1"/>
  <c r="Z44" i="4"/>
  <c r="Z47" i="4" s="1"/>
  <c r="Z48" i="4" s="1"/>
  <c r="Z49" i="4" s="1"/>
  <c r="Z59" i="4" s="1"/>
  <c r="AA44" i="4"/>
  <c r="AB44" i="4"/>
  <c r="AB47" i="4" s="1"/>
  <c r="AB48" i="4" s="1"/>
  <c r="AB49" i="4" s="1"/>
  <c r="AB59" i="4" s="1"/>
  <c r="AC44" i="4"/>
  <c r="AC47" i="4" s="1"/>
  <c r="AC48" i="4" s="1"/>
  <c r="AC49" i="4" s="1"/>
  <c r="AC59" i="4" s="1"/>
  <c r="AD44" i="4"/>
  <c r="AD47" i="4" s="1"/>
  <c r="AD48" i="4" s="1"/>
  <c r="AD49" i="4" s="1"/>
  <c r="AD59" i="4" s="1"/>
  <c r="AE44" i="4"/>
  <c r="AE47" i="4" s="1"/>
  <c r="AE48" i="4" s="1"/>
  <c r="AE49" i="4" s="1"/>
  <c r="AE59" i="4" s="1"/>
  <c r="AF44" i="4"/>
  <c r="AG44" i="4"/>
  <c r="AH44" i="4"/>
  <c r="AH47" i="4" s="1"/>
  <c r="AH48" i="4" s="1"/>
  <c r="AH49" i="4" s="1"/>
  <c r="AH59" i="4" s="1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V13" i="1"/>
  <c r="E28" i="3" s="1"/>
  <c r="C8" i="3"/>
  <c r="F25" i="2"/>
  <c r="F22" i="2"/>
  <c r="F20" i="2"/>
  <c r="C10" i="3"/>
  <c r="BZ68" i="4"/>
  <c r="BR68" i="4"/>
  <c r="BJ68" i="4"/>
  <c r="BB68" i="4"/>
  <c r="AT68" i="4"/>
  <c r="AL68" i="4"/>
  <c r="AD68" i="4"/>
  <c r="V68" i="4"/>
  <c r="N68" i="4"/>
  <c r="F68" i="4"/>
  <c r="F18" i="2"/>
  <c r="AE68" i="4"/>
  <c r="BY68" i="4"/>
  <c r="BQ68" i="4"/>
  <c r="BI68" i="4"/>
  <c r="BA68" i="4"/>
  <c r="AS68" i="4"/>
  <c r="AK68" i="4"/>
  <c r="AC68" i="4"/>
  <c r="U68" i="4"/>
  <c r="M68" i="4"/>
  <c r="J17" i="2"/>
  <c r="E16" i="2" s="1"/>
  <c r="F16" i="2" s="1"/>
  <c r="X68" i="4"/>
  <c r="BS68" i="4"/>
  <c r="AM68" i="4"/>
  <c r="O68" i="4"/>
  <c r="BX68" i="4"/>
  <c r="BP68" i="4"/>
  <c r="BH68" i="4"/>
  <c r="AZ68" i="4"/>
  <c r="AR68" i="4"/>
  <c r="AJ68" i="4"/>
  <c r="AB68" i="4"/>
  <c r="T68" i="4"/>
  <c r="L68" i="4"/>
  <c r="E28" i="2"/>
  <c r="F28" i="2" s="1"/>
  <c r="BK68" i="4"/>
  <c r="BW68" i="4"/>
  <c r="BO68" i="4"/>
  <c r="BG68" i="4"/>
  <c r="AY68" i="4"/>
  <c r="AQ68" i="4"/>
  <c r="AI68" i="4"/>
  <c r="AA68" i="4"/>
  <c r="S68" i="4"/>
  <c r="K68" i="4"/>
  <c r="BC68" i="4"/>
  <c r="W68" i="4"/>
  <c r="BV68" i="4"/>
  <c r="BF68" i="4"/>
  <c r="AX68" i="4"/>
  <c r="AP68" i="4"/>
  <c r="AH68" i="4"/>
  <c r="Z68" i="4"/>
  <c r="R68" i="4"/>
  <c r="J68" i="4"/>
  <c r="E27" i="2"/>
  <c r="F27" i="2" s="1"/>
  <c r="AU68" i="4"/>
  <c r="G68" i="4"/>
  <c r="BU68" i="4"/>
  <c r="BM68" i="4"/>
  <c r="BE68" i="4"/>
  <c r="AW68" i="4"/>
  <c r="AO68" i="4"/>
  <c r="AG68" i="4"/>
  <c r="Y68" i="4"/>
  <c r="Q68" i="4"/>
  <c r="I68" i="4"/>
  <c r="F23" i="2"/>
  <c r="F19" i="2"/>
  <c r="V16" i="1"/>
  <c r="E31" i="3" s="1"/>
  <c r="E26" i="2"/>
  <c r="V4" i="1"/>
  <c r="E20" i="3" s="1"/>
  <c r="F11" i="2" l="1"/>
  <c r="H11" i="2"/>
  <c r="H71" i="4"/>
  <c r="H72" i="4" s="1"/>
  <c r="H73" i="4" s="1"/>
  <c r="C9" i="3"/>
  <c r="CC57" i="4"/>
  <c r="AP13" i="4"/>
  <c r="E4" i="12"/>
  <c r="DU69" i="4"/>
  <c r="DU70" i="4" s="1"/>
  <c r="DS69" i="4"/>
  <c r="DS70" i="4" s="1"/>
  <c r="DS73" i="4" s="1"/>
  <c r="DC69" i="4"/>
  <c r="DC70" i="4" s="1"/>
  <c r="DC73" i="4" s="1"/>
  <c r="CM69" i="4"/>
  <c r="CM70" i="4" s="1"/>
  <c r="BT69" i="4"/>
  <c r="BT70" i="4" s="1"/>
  <c r="DB69" i="4"/>
  <c r="DB70" i="4" s="1"/>
  <c r="DB73" i="4" s="1"/>
  <c r="CT69" i="4"/>
  <c r="CT70" i="4" s="1"/>
  <c r="BL69" i="4"/>
  <c r="BL70" i="4" s="1"/>
  <c r="DH69" i="4"/>
  <c r="DH70" i="4" s="1"/>
  <c r="CZ69" i="4"/>
  <c r="CZ70" i="4" s="1"/>
  <c r="CZ73" i="4" s="1"/>
  <c r="CJ69" i="4"/>
  <c r="CJ70" i="4" s="1"/>
  <c r="CB69" i="4"/>
  <c r="CB70" i="4" s="1"/>
  <c r="CI69" i="4"/>
  <c r="CI70" i="4" s="1"/>
  <c r="DT73" i="4"/>
  <c r="DV72" i="4"/>
  <c r="DV60" i="4"/>
  <c r="DV61" i="4"/>
  <c r="DN69" i="4"/>
  <c r="DN70" i="4" s="1"/>
  <c r="DN73" i="4" s="1"/>
  <c r="DF69" i="4"/>
  <c r="DF70" i="4" s="1"/>
  <c r="DF73" i="4" s="1"/>
  <c r="P69" i="4"/>
  <c r="P70" i="4" s="1"/>
  <c r="AV69" i="4"/>
  <c r="AV70" i="4" s="1"/>
  <c r="CW69" i="4"/>
  <c r="CW70" i="4" s="1"/>
  <c r="AN69" i="4"/>
  <c r="AN70" i="4" s="1"/>
  <c r="BD69" i="4"/>
  <c r="BD70" i="4" s="1"/>
  <c r="CV69" i="4"/>
  <c r="CV70" i="4" s="1"/>
  <c r="CV73" i="4" s="1"/>
  <c r="CN69" i="4"/>
  <c r="CN70" i="4" s="1"/>
  <c r="AF69" i="4"/>
  <c r="AF70" i="4" s="1"/>
  <c r="Y57" i="4"/>
  <c r="S57" i="4"/>
  <c r="K57" i="4"/>
  <c r="Z57" i="4"/>
  <c r="R57" i="4"/>
  <c r="J57" i="4"/>
  <c r="I57" i="4"/>
  <c r="P57" i="4"/>
  <c r="H57" i="4"/>
  <c r="H58" i="4" s="1"/>
  <c r="Q57" i="4"/>
  <c r="AE57" i="4"/>
  <c r="W57" i="4"/>
  <c r="O57" i="4"/>
  <c r="AH57" i="4"/>
  <c r="V57" i="4"/>
  <c r="N57" i="4"/>
  <c r="AC57" i="4"/>
  <c r="U57" i="4"/>
  <c r="M57" i="4"/>
  <c r="AD57" i="4"/>
  <c r="AB57" i="4"/>
  <c r="T57" i="4"/>
  <c r="L57" i="4"/>
  <c r="DV65" i="4"/>
  <c r="DV66" i="4"/>
  <c r="DY3" i="4"/>
  <c r="DX12" i="4"/>
  <c r="DX11" i="4"/>
  <c r="DX4" i="4"/>
  <c r="DX13" i="4"/>
  <c r="CX69" i="4"/>
  <c r="CX70" i="4" s="1"/>
  <c r="DJ69" i="4"/>
  <c r="DJ70" i="4" s="1"/>
  <c r="DM69" i="4"/>
  <c r="DM70" i="4" s="1"/>
  <c r="DE69" i="4"/>
  <c r="DE70" i="4" s="1"/>
  <c r="CO69" i="4"/>
  <c r="CO70" i="4" s="1"/>
  <c r="CG69" i="4"/>
  <c r="CG70" i="4" s="1"/>
  <c r="DL69" i="4"/>
  <c r="DL70" i="4" s="1"/>
  <c r="DD69" i="4"/>
  <c r="DD70" i="4" s="1"/>
  <c r="CF69" i="4"/>
  <c r="CF70" i="4" s="1"/>
  <c r="DK69" i="4"/>
  <c r="CU69" i="4"/>
  <c r="CU70" i="4" s="1"/>
  <c r="CE69" i="4"/>
  <c r="CE70" i="4" s="1"/>
  <c r="DR69" i="4"/>
  <c r="DR70" i="4" s="1"/>
  <c r="CL69" i="4"/>
  <c r="CL70" i="4" s="1"/>
  <c r="CD69" i="4"/>
  <c r="CD70" i="4" s="1"/>
  <c r="DQ69" i="4"/>
  <c r="DQ70" i="4" s="1"/>
  <c r="DI69" i="4"/>
  <c r="DI70" i="4" s="1"/>
  <c r="DA69" i="4"/>
  <c r="DA70" i="4" s="1"/>
  <c r="CS69" i="4"/>
  <c r="CS70" i="4" s="1"/>
  <c r="CK69" i="4"/>
  <c r="CK70" i="4" s="1"/>
  <c r="CC69" i="4"/>
  <c r="CC70" i="4" s="1"/>
  <c r="DP69" i="4"/>
  <c r="DP70" i="4" s="1"/>
  <c r="CR69" i="4"/>
  <c r="CR70" i="4" s="1"/>
  <c r="DO69" i="4"/>
  <c r="DO70" i="4" s="1"/>
  <c r="DG69" i="4"/>
  <c r="DG70" i="4" s="1"/>
  <c r="CY69" i="4"/>
  <c r="CY70" i="4" s="1"/>
  <c r="CQ69" i="4"/>
  <c r="CQ70" i="4" s="1"/>
  <c r="CA69" i="4"/>
  <c r="CA70" i="4" s="1"/>
  <c r="CP69" i="4"/>
  <c r="CP70" i="4" s="1"/>
  <c r="CH69" i="4"/>
  <c r="CH70" i="4" s="1"/>
  <c r="DU83" i="4"/>
  <c r="DU160" i="4" s="1"/>
  <c r="DU158" i="4"/>
  <c r="DU81" i="4"/>
  <c r="DU159" i="4" s="1"/>
  <c r="DU157" i="4"/>
  <c r="DU115" i="4"/>
  <c r="DU117" i="4"/>
  <c r="DV113" i="4" s="1"/>
  <c r="DV39" i="4"/>
  <c r="DV44" i="4" s="1"/>
  <c r="DV80" i="4"/>
  <c r="DV149" i="4"/>
  <c r="DV167" i="4" s="1"/>
  <c r="DV5" i="4"/>
  <c r="DV41" i="4"/>
  <c r="DV45" i="4" s="1"/>
  <c r="DV155" i="4"/>
  <c r="DW6" i="4"/>
  <c r="DV42" i="4"/>
  <c r="DV46" i="4" s="1"/>
  <c r="DV94" i="4"/>
  <c r="DV156" i="4"/>
  <c r="DV10" i="4"/>
  <c r="DV51" i="4"/>
  <c r="DV56" i="4"/>
  <c r="DV106" i="4"/>
  <c r="DV161" i="4"/>
  <c r="DV9" i="4"/>
  <c r="DV52" i="4"/>
  <c r="DV114" i="4"/>
  <c r="DV32" i="4"/>
  <c r="DV53" i="4"/>
  <c r="DV82" i="4"/>
  <c r="DV116" i="4"/>
  <c r="DV36" i="4"/>
  <c r="DV35" i="4" s="1"/>
  <c r="DV54" i="4"/>
  <c r="DV55" i="4"/>
  <c r="DV126" i="4"/>
  <c r="DV48" i="4"/>
  <c r="DV40" i="4"/>
  <c r="DV68" i="4" s="1"/>
  <c r="DV71" i="4"/>
  <c r="DV134" i="4"/>
  <c r="DT84" i="4"/>
  <c r="CE31" i="4"/>
  <c r="CD47" i="4"/>
  <c r="CD49" i="4" s="1"/>
  <c r="DU107" i="4"/>
  <c r="DU121" i="4"/>
  <c r="AO13" i="4"/>
  <c r="X13" i="4"/>
  <c r="AD13" i="4"/>
  <c r="R13" i="4"/>
  <c r="T13" i="4"/>
  <c r="AL13" i="4"/>
  <c r="Z13" i="4"/>
  <c r="AB13" i="4"/>
  <c r="W13" i="4"/>
  <c r="AH13" i="4"/>
  <c r="AJ13" i="4"/>
  <c r="AM13" i="4"/>
  <c r="S13" i="4"/>
  <c r="U13" i="4"/>
  <c r="AF13" i="4"/>
  <c r="AA13" i="4"/>
  <c r="AC13" i="4"/>
  <c r="AN13" i="4"/>
  <c r="T5" i="1"/>
  <c r="C21" i="3" s="1"/>
  <c r="Y13" i="4"/>
  <c r="AI13" i="4"/>
  <c r="AK13" i="4"/>
  <c r="AG13" i="4"/>
  <c r="AE13" i="4"/>
  <c r="V13" i="4"/>
  <c r="BN47" i="4"/>
  <c r="AX47" i="4"/>
  <c r="AX48" i="4" s="1"/>
  <c r="AX49" i="4" s="1"/>
  <c r="AP47" i="4"/>
  <c r="BM47" i="4"/>
  <c r="BM49" i="4" s="1"/>
  <c r="AW47" i="4"/>
  <c r="AW48" i="4" s="1"/>
  <c r="AG47" i="4"/>
  <c r="AG48" i="4" s="1"/>
  <c r="AG49" i="4" s="1"/>
  <c r="AG59" i="4" s="1"/>
  <c r="BS47" i="4"/>
  <c r="BS49" i="4" s="1"/>
  <c r="BK47" i="4"/>
  <c r="BK49" i="4" s="1"/>
  <c r="BC47" i="4"/>
  <c r="AU47" i="4"/>
  <c r="AU48" i="4" s="1"/>
  <c r="AM47" i="4"/>
  <c r="AM48" i="4" s="1"/>
  <c r="AM49" i="4" s="1"/>
  <c r="AM59" i="4" s="1"/>
  <c r="BV47" i="4"/>
  <c r="BV49" i="4" s="1"/>
  <c r="BU47" i="4"/>
  <c r="BU49" i="4" s="1"/>
  <c r="AO47" i="4"/>
  <c r="AO48" i="4" s="1"/>
  <c r="BZ47" i="4"/>
  <c r="BR47" i="4"/>
  <c r="BR49" i="4" s="1"/>
  <c r="BJ47" i="4"/>
  <c r="BJ49" i="4" s="1"/>
  <c r="BB47" i="4"/>
  <c r="BB48" i="4" s="1"/>
  <c r="AT47" i="4"/>
  <c r="AT48" i="4" s="1"/>
  <c r="AL47" i="4"/>
  <c r="AL48" i="4" s="1"/>
  <c r="G47" i="4"/>
  <c r="G48" i="4" s="1"/>
  <c r="G49" i="4" s="1"/>
  <c r="G59" i="4" s="1"/>
  <c r="BE47" i="4"/>
  <c r="BY47" i="4"/>
  <c r="BY49" i="4" s="1"/>
  <c r="BQ47" i="4"/>
  <c r="BQ49" i="4" s="1"/>
  <c r="BI47" i="4"/>
  <c r="BI49" i="4" s="1"/>
  <c r="BA47" i="4"/>
  <c r="BA48" i="4" s="1"/>
  <c r="AS47" i="4"/>
  <c r="AS48" i="4" s="1"/>
  <c r="AK47" i="4"/>
  <c r="AK48" i="4" s="1"/>
  <c r="AK49" i="4" s="1"/>
  <c r="AK59" i="4" s="1"/>
  <c r="F47" i="4"/>
  <c r="BF47" i="4"/>
  <c r="BF49" i="4" s="1"/>
  <c r="BL47" i="4"/>
  <c r="BL49" i="4" s="1"/>
  <c r="AF47" i="4"/>
  <c r="AF48" i="4" s="1"/>
  <c r="AF49" i="4" s="1"/>
  <c r="AF59" i="4" s="1"/>
  <c r="BX47" i="4"/>
  <c r="BX49" i="4" s="1"/>
  <c r="BP47" i="4"/>
  <c r="BP49" i="4" s="1"/>
  <c r="BH47" i="4"/>
  <c r="BH49" i="4" s="1"/>
  <c r="AZ47" i="4"/>
  <c r="AZ48" i="4" s="1"/>
  <c r="AZ49" i="4" s="1"/>
  <c r="AR47" i="4"/>
  <c r="AR48" i="4" s="1"/>
  <c r="AJ47" i="4"/>
  <c r="AJ48" i="4" s="1"/>
  <c r="BT47" i="4"/>
  <c r="BT49" i="4" s="1"/>
  <c r="BD47" i="4"/>
  <c r="AV47" i="4"/>
  <c r="AV48" i="4" s="1"/>
  <c r="AN47" i="4"/>
  <c r="AN48" i="4" s="1"/>
  <c r="X47" i="4"/>
  <c r="X48" i="4" s="1"/>
  <c r="BW47" i="4"/>
  <c r="BW49" i="4" s="1"/>
  <c r="BO47" i="4"/>
  <c r="BO49" i="4" s="1"/>
  <c r="BG47" i="4"/>
  <c r="BG49" i="4" s="1"/>
  <c r="AY47" i="4"/>
  <c r="AY48" i="4" s="1"/>
  <c r="AQ47" i="4"/>
  <c r="AQ48" i="4" s="1"/>
  <c r="AI47" i="4"/>
  <c r="AI48" i="4" s="1"/>
  <c r="AI49" i="4" s="1"/>
  <c r="AI59" i="4" s="1"/>
  <c r="AA47" i="4"/>
  <c r="AA48" i="4" s="1"/>
  <c r="AA49" i="4" s="1"/>
  <c r="AA59" i="4" s="1"/>
  <c r="Y69" i="4"/>
  <c r="Y70" i="4" s="1"/>
  <c r="G69" i="4"/>
  <c r="G70" i="4" s="1"/>
  <c r="S69" i="4"/>
  <c r="S70" i="4" s="1"/>
  <c r="BK69" i="4"/>
  <c r="BK70" i="4" s="1"/>
  <c r="AZ69" i="4"/>
  <c r="BQ69" i="4"/>
  <c r="BQ70" i="4" s="1"/>
  <c r="AL69" i="4"/>
  <c r="AX69" i="4"/>
  <c r="AG69" i="4"/>
  <c r="AG70" i="4" s="1"/>
  <c r="AU69" i="4"/>
  <c r="AU70" i="4" s="1"/>
  <c r="BF69" i="4"/>
  <c r="BF70" i="4" s="1"/>
  <c r="AA69" i="4"/>
  <c r="AA70" i="4" s="1"/>
  <c r="BH69" i="4"/>
  <c r="M69" i="4"/>
  <c r="BY69" i="4"/>
  <c r="AT69" i="4"/>
  <c r="BN69" i="4"/>
  <c r="BN70" i="4" s="1"/>
  <c r="BP69" i="4"/>
  <c r="BP70" i="4" s="1"/>
  <c r="AW69" i="4"/>
  <c r="AW70" i="4" s="1"/>
  <c r="J69" i="4"/>
  <c r="BV69" i="4"/>
  <c r="BV70" i="4" s="1"/>
  <c r="AQ69" i="4"/>
  <c r="AQ70" i="4" s="1"/>
  <c r="L69" i="4"/>
  <c r="BX69" i="4"/>
  <c r="AC69" i="4"/>
  <c r="BJ69" i="4"/>
  <c r="BB69" i="4"/>
  <c r="BE69" i="4"/>
  <c r="R69" i="4"/>
  <c r="R70" i="4" s="1"/>
  <c r="W69" i="4"/>
  <c r="W70" i="4" s="1"/>
  <c r="AY69" i="4"/>
  <c r="AY70" i="4" s="1"/>
  <c r="T69" i="4"/>
  <c r="T70" i="4" s="1"/>
  <c r="O69" i="4"/>
  <c r="O70" i="4" s="1"/>
  <c r="AK69" i="4"/>
  <c r="AK70" i="4" s="1"/>
  <c r="F69" i="4"/>
  <c r="F70" i="4" s="1"/>
  <c r="BR69" i="4"/>
  <c r="AE69" i="4"/>
  <c r="AE70" i="4" s="1"/>
  <c r="AE71" i="4" s="1"/>
  <c r="BM69" i="4"/>
  <c r="BM70" i="4" s="1"/>
  <c r="Z69" i="4"/>
  <c r="Z70" i="4" s="1"/>
  <c r="BC69" i="4"/>
  <c r="BC70" i="4" s="1"/>
  <c r="BG69" i="4"/>
  <c r="AB69" i="4"/>
  <c r="AB70" i="4" s="1"/>
  <c r="AM69" i="4"/>
  <c r="AM70" i="4" s="1"/>
  <c r="AS69" i="4"/>
  <c r="N69" i="4"/>
  <c r="BZ69" i="4"/>
  <c r="AI69" i="4"/>
  <c r="AI70" i="4" s="1"/>
  <c r="U69" i="4"/>
  <c r="U70" i="4" s="1"/>
  <c r="I69" i="4"/>
  <c r="BU69" i="4"/>
  <c r="BU70" i="4" s="1"/>
  <c r="AH69" i="4"/>
  <c r="AH70" i="4" s="1"/>
  <c r="BO69" i="4"/>
  <c r="BO70" i="4" s="1"/>
  <c r="AJ69" i="4"/>
  <c r="AJ70" i="4" s="1"/>
  <c r="BS69" i="4"/>
  <c r="BA69" i="4"/>
  <c r="BA70" i="4" s="1"/>
  <c r="V69" i="4"/>
  <c r="AO69" i="4"/>
  <c r="AO70" i="4" s="1"/>
  <c r="Q69" i="4"/>
  <c r="Q70" i="4" s="1"/>
  <c r="AP69" i="4"/>
  <c r="K69" i="4"/>
  <c r="K70" i="4" s="1"/>
  <c r="BW69" i="4"/>
  <c r="BW70" i="4" s="1"/>
  <c r="AR69" i="4"/>
  <c r="X69" i="4"/>
  <c r="X70" i="4" s="1"/>
  <c r="BI69" i="4"/>
  <c r="BI70" i="4" s="1"/>
  <c r="AD69" i="4"/>
  <c r="AD70" i="4" s="1"/>
  <c r="DV50" i="4"/>
  <c r="F26" i="2"/>
  <c r="CH72" i="4" l="1"/>
  <c r="CI72" i="4"/>
  <c r="CJ72" i="4"/>
  <c r="CB72" i="4"/>
  <c r="CB73" i="4" s="1"/>
  <c r="CK72" i="4"/>
  <c r="CK73" i="4" s="1"/>
  <c r="CA72" i="4"/>
  <c r="CI73" i="4"/>
  <c r="CC72" i="4"/>
  <c r="CC73" i="4" s="1"/>
  <c r="CD72" i="4"/>
  <c r="CD73" i="4" s="1"/>
  <c r="CE72" i="4"/>
  <c r="CE73" i="4" s="1"/>
  <c r="CF72" i="4"/>
  <c r="CF73" i="4" s="1"/>
  <c r="CG72" i="4"/>
  <c r="CG73" i="4" s="1"/>
  <c r="BT72" i="4"/>
  <c r="BT73" i="4" s="1"/>
  <c r="BV72" i="4"/>
  <c r="BV73" i="4" s="1"/>
  <c r="BW72" i="4"/>
  <c r="BW73" i="4" s="1"/>
  <c r="BU72" i="4"/>
  <c r="BU73" i="4" s="1"/>
  <c r="AO49" i="4"/>
  <c r="U71" i="4"/>
  <c r="U72" i="4" s="1"/>
  <c r="U73" i="4" s="1"/>
  <c r="T71" i="4"/>
  <c r="T72" i="4" s="1"/>
  <c r="T73" i="4" s="1"/>
  <c r="Y71" i="4"/>
  <c r="Y72" i="4" s="1"/>
  <c r="Y73" i="4" s="1"/>
  <c r="Z71" i="4"/>
  <c r="Z72" i="4" s="1"/>
  <c r="Z73" i="4" s="1"/>
  <c r="AK71" i="4"/>
  <c r="AK72" i="4" s="1"/>
  <c r="AK73" i="4" s="1"/>
  <c r="AF71" i="4"/>
  <c r="AF72" i="4" s="1"/>
  <c r="AF73" i="4" s="1"/>
  <c r="F71" i="4"/>
  <c r="F72" i="4" s="1"/>
  <c r="S71" i="4"/>
  <c r="S72" i="4" s="1"/>
  <c r="S73" i="4" s="1"/>
  <c r="AQ71" i="4"/>
  <c r="AQ72" i="4" s="1"/>
  <c r="AQ73" i="4" s="1"/>
  <c r="AA71" i="4"/>
  <c r="AA72" i="4" s="1"/>
  <c r="AA73" i="4" s="1"/>
  <c r="G71" i="4"/>
  <c r="G72" i="4" s="1"/>
  <c r="G73" i="4" s="1"/>
  <c r="W71" i="4"/>
  <c r="W72" i="4" s="1"/>
  <c r="W73" i="4" s="1"/>
  <c r="AN71" i="4"/>
  <c r="AN72" i="4" s="1"/>
  <c r="AN73" i="4" s="1"/>
  <c r="AI71" i="4"/>
  <c r="AI72" i="4" s="1"/>
  <c r="AI73" i="4" s="1"/>
  <c r="X71" i="4"/>
  <c r="X72" i="4" s="1"/>
  <c r="X73" i="4" s="1"/>
  <c r="AM71" i="4"/>
  <c r="AM72" i="4" s="1"/>
  <c r="AM73" i="4" s="1"/>
  <c r="AO71" i="4"/>
  <c r="AO72" i="4" s="1"/>
  <c r="AO73" i="4" s="1"/>
  <c r="R71" i="4"/>
  <c r="R72" i="4" s="1"/>
  <c r="R73" i="4" s="1"/>
  <c r="O71" i="4"/>
  <c r="O72" i="4" s="1"/>
  <c r="O73" i="4" s="1"/>
  <c r="AJ71" i="4"/>
  <c r="AJ72" i="4" s="1"/>
  <c r="AJ73" i="4" s="1"/>
  <c r="AH71" i="4"/>
  <c r="AH72" i="4" s="1"/>
  <c r="AH73" i="4" s="1"/>
  <c r="P71" i="4"/>
  <c r="P72" i="4" s="1"/>
  <c r="P73" i="4" s="1"/>
  <c r="Q71" i="4"/>
  <c r="Q72" i="4" s="1"/>
  <c r="Q73" i="4" s="1"/>
  <c r="AD71" i="4"/>
  <c r="AD72" i="4" s="1"/>
  <c r="AD73" i="4" s="1"/>
  <c r="AG71" i="4"/>
  <c r="AG72" i="4" s="1"/>
  <c r="AG73" i="4" s="1"/>
  <c r="AB71" i="4"/>
  <c r="AB72" i="4" s="1"/>
  <c r="AB73" i="4" s="1"/>
  <c r="K71" i="4"/>
  <c r="K72" i="4" s="1"/>
  <c r="K73" i="4" s="1"/>
  <c r="DU73" i="4"/>
  <c r="AH58" i="4"/>
  <c r="T58" i="4"/>
  <c r="BX57" i="4"/>
  <c r="BT57" i="4"/>
  <c r="BL57" i="4"/>
  <c r="BY57" i="4"/>
  <c r="BS57" i="4"/>
  <c r="BI57" i="4"/>
  <c r="BR57" i="4"/>
  <c r="BF57" i="4"/>
  <c r="BK57" i="4"/>
  <c r="BG57" i="4"/>
  <c r="BU57" i="4"/>
  <c r="BV57" i="4"/>
  <c r="BW57" i="4"/>
  <c r="BM57" i="4"/>
  <c r="CD57" i="4"/>
  <c r="BH57" i="4"/>
  <c r="AZ57" i="4"/>
  <c r="AX57" i="4"/>
  <c r="BJ57" i="4"/>
  <c r="X5" i="1"/>
  <c r="G21" i="3" s="1"/>
  <c r="Z58" i="4"/>
  <c r="BE48" i="4"/>
  <c r="BE49" i="4" s="1"/>
  <c r="BP57" i="4"/>
  <c r="BQ72" i="4"/>
  <c r="BQ73" i="4" s="1"/>
  <c r="BO72" i="4"/>
  <c r="BO73" i="4" s="1"/>
  <c r="BQ57" i="4"/>
  <c r="BC48" i="4"/>
  <c r="BC49" i="4" s="1"/>
  <c r="BD48" i="4"/>
  <c r="BD49" i="4" s="1"/>
  <c r="BO57" i="4"/>
  <c r="CN73" i="4"/>
  <c r="BP72" i="4"/>
  <c r="BP73" i="4" s="1"/>
  <c r="Y58" i="4"/>
  <c r="CM73" i="4"/>
  <c r="CW73" i="4"/>
  <c r="CX73" i="4"/>
  <c r="CA73" i="4"/>
  <c r="BF72" i="4"/>
  <c r="BF73" i="4" s="1"/>
  <c r="DQ73" i="4"/>
  <c r="CT73" i="4"/>
  <c r="BI72" i="4"/>
  <c r="BI73" i="4" s="1"/>
  <c r="DW72" i="4"/>
  <c r="DW61" i="4"/>
  <c r="DW60" i="4"/>
  <c r="AW72" i="4"/>
  <c r="AW73" i="4" s="1"/>
  <c r="AE72" i="4"/>
  <c r="AE73" i="4" s="1"/>
  <c r="DP73" i="4"/>
  <c r="DE73" i="4"/>
  <c r="AU72" i="4"/>
  <c r="AU73" i="4" s="1"/>
  <c r="CJ73" i="4"/>
  <c r="DM73" i="4"/>
  <c r="CQ73" i="4"/>
  <c r="BL72" i="4"/>
  <c r="BL73" i="4" s="1"/>
  <c r="AV72" i="4"/>
  <c r="AV73" i="4" s="1"/>
  <c r="BN72" i="4"/>
  <c r="BN73" i="4" s="1"/>
  <c r="CY73" i="4"/>
  <c r="CR73" i="4"/>
  <c r="DJ73" i="4"/>
  <c r="DD73" i="4"/>
  <c r="BC72" i="4"/>
  <c r="BC73" i="4" s="1"/>
  <c r="DG73" i="4"/>
  <c r="CS73" i="4"/>
  <c r="DR73" i="4"/>
  <c r="CU73" i="4"/>
  <c r="BA72" i="4"/>
  <c r="BA73" i="4" s="1"/>
  <c r="DL73" i="4"/>
  <c r="CH73" i="4"/>
  <c r="DO73" i="4"/>
  <c r="DA73" i="4"/>
  <c r="BK72" i="4"/>
  <c r="BK73" i="4" s="1"/>
  <c r="BM72" i="4"/>
  <c r="BM73" i="4" s="1"/>
  <c r="BD72" i="4"/>
  <c r="BD73" i="4" s="1"/>
  <c r="CO73" i="4"/>
  <c r="AY72" i="4"/>
  <c r="AY73" i="4" s="1"/>
  <c r="CP73" i="4"/>
  <c r="DH73" i="4"/>
  <c r="DI73" i="4"/>
  <c r="CL73" i="4"/>
  <c r="P58" i="4"/>
  <c r="AI57" i="4"/>
  <c r="AF57" i="4"/>
  <c r="AF58" i="4" s="1"/>
  <c r="G57" i="4"/>
  <c r="G58" i="4" s="1"/>
  <c r="AG57" i="4"/>
  <c r="AK57" i="4"/>
  <c r="AA57" i="4"/>
  <c r="AM57" i="4"/>
  <c r="DY4" i="4"/>
  <c r="DY12" i="4"/>
  <c r="DZ3" i="4"/>
  <c r="DY13" i="4"/>
  <c r="DY11" i="4"/>
  <c r="DW65" i="4"/>
  <c r="DW66" i="4"/>
  <c r="U58" i="4"/>
  <c r="AE58" i="4"/>
  <c r="W58" i="4"/>
  <c r="K58" i="4"/>
  <c r="R58" i="4"/>
  <c r="AB58" i="4"/>
  <c r="Q58" i="4"/>
  <c r="AD58" i="4"/>
  <c r="O58" i="4"/>
  <c r="S58" i="4"/>
  <c r="BB49" i="4"/>
  <c r="BN49" i="4"/>
  <c r="AP48" i="4"/>
  <c r="AP49" i="4" s="1"/>
  <c r="BZ49" i="4"/>
  <c r="V5" i="1"/>
  <c r="E21" i="3" s="1"/>
  <c r="DK70" i="4"/>
  <c r="DK73" i="4" s="1"/>
  <c r="DU84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CE47" i="4"/>
  <c r="CE49" i="4" s="1"/>
  <c r="CF31" i="4"/>
  <c r="DV107" i="4"/>
  <c r="DV121" i="4"/>
  <c r="DV81" i="4"/>
  <c r="DV159" i="4" s="1"/>
  <c r="DV157" i="4"/>
  <c r="DV83" i="4"/>
  <c r="DV160" i="4" s="1"/>
  <c r="DV158" i="4"/>
  <c r="DW5" i="4"/>
  <c r="DW41" i="4"/>
  <c r="DW45" i="4" s="1"/>
  <c r="DW106" i="4"/>
  <c r="DW156" i="4"/>
  <c r="DX6" i="4"/>
  <c r="DW51" i="4"/>
  <c r="DW161" i="4"/>
  <c r="DW10" i="4"/>
  <c r="DW52" i="4"/>
  <c r="DW48" i="4"/>
  <c r="DW114" i="4"/>
  <c r="DW36" i="4"/>
  <c r="DW35" i="4" s="1"/>
  <c r="DW53" i="4"/>
  <c r="DW82" i="4"/>
  <c r="DW116" i="4"/>
  <c r="DW39" i="4"/>
  <c r="DW44" i="4" s="1"/>
  <c r="DW54" i="4"/>
  <c r="DW71" i="4"/>
  <c r="DW126" i="4"/>
  <c r="DW32" i="4"/>
  <c r="DW55" i="4"/>
  <c r="DW80" i="4"/>
  <c r="DW134" i="4"/>
  <c r="DW40" i="4"/>
  <c r="DW68" i="4" s="1"/>
  <c r="DW56" i="4"/>
  <c r="DW149" i="4"/>
  <c r="DW167" i="4" s="1"/>
  <c r="DW9" i="4"/>
  <c r="DW42" i="4"/>
  <c r="DW46" i="4" s="1"/>
  <c r="DW50" i="4"/>
  <c r="DW94" i="4"/>
  <c r="DW155" i="4"/>
  <c r="DV69" i="4"/>
  <c r="DV70" i="4" s="1"/>
  <c r="DV115" i="4"/>
  <c r="DV117" i="4"/>
  <c r="DW113" i="4" s="1"/>
  <c r="F24" i="2"/>
  <c r="AS49" i="4"/>
  <c r="X49" i="4"/>
  <c r="X59" i="4" s="1"/>
  <c r="AY49" i="4"/>
  <c r="AL49" i="4"/>
  <c r="AL59" i="4" s="1"/>
  <c r="AV49" i="4"/>
  <c r="AU49" i="4"/>
  <c r="AR49" i="4"/>
  <c r="AT49" i="4"/>
  <c r="AQ49" i="4"/>
  <c r="AW49" i="4"/>
  <c r="F48" i="4"/>
  <c r="I4" i="9"/>
  <c r="C4" i="9"/>
  <c r="AN49" i="4"/>
  <c r="AN59" i="4" s="1"/>
  <c r="AJ49" i="4"/>
  <c r="AJ59" i="4" s="1"/>
  <c r="BA49" i="4"/>
  <c r="AC70" i="4"/>
  <c r="AC71" i="4" s="1"/>
  <c r="BR70" i="4"/>
  <c r="BS70" i="4"/>
  <c r="BB70" i="4"/>
  <c r="BB72" i="4" s="1"/>
  <c r="AS70" i="4"/>
  <c r="AP70" i="4"/>
  <c r="AP71" i="4" s="1"/>
  <c r="I70" i="4"/>
  <c r="BZ70" i="4"/>
  <c r="BG70" i="4"/>
  <c r="BE70" i="4"/>
  <c r="BE72" i="4" s="1"/>
  <c r="J70" i="4"/>
  <c r="BY70" i="4"/>
  <c r="AX70" i="4"/>
  <c r="AZ70" i="4"/>
  <c r="V70" i="4"/>
  <c r="V71" i="4" s="1"/>
  <c r="AL70" i="4"/>
  <c r="AL71" i="4" s="1"/>
  <c r="N70" i="4"/>
  <c r="N71" i="4" s="1"/>
  <c r="BX70" i="4"/>
  <c r="M70" i="4"/>
  <c r="AR70" i="4"/>
  <c r="AR71" i="4" s="1"/>
  <c r="BJ70" i="4"/>
  <c r="L70" i="4"/>
  <c r="L71" i="4" s="1"/>
  <c r="AT70" i="4"/>
  <c r="BH70" i="4"/>
  <c r="BH72" i="4" s="1"/>
  <c r="AK50" i="4"/>
  <c r="AS50" i="4"/>
  <c r="BA50" i="4"/>
  <c r="BI50" i="4"/>
  <c r="BQ50" i="4"/>
  <c r="BY50" i="4"/>
  <c r="AL50" i="4"/>
  <c r="AT50" i="4"/>
  <c r="BB50" i="4"/>
  <c r="BJ50" i="4"/>
  <c r="BR50" i="4"/>
  <c r="BZ50" i="4"/>
  <c r="AM50" i="4"/>
  <c r="AU50" i="4"/>
  <c r="BC50" i="4"/>
  <c r="BK50" i="4"/>
  <c r="BS50" i="4"/>
  <c r="AN50" i="4"/>
  <c r="AV50" i="4"/>
  <c r="BD50" i="4"/>
  <c r="BL50" i="4"/>
  <c r="BT50" i="4"/>
  <c r="AO50" i="4"/>
  <c r="AW50" i="4"/>
  <c r="BE50" i="4"/>
  <c r="BM50" i="4"/>
  <c r="BU50" i="4"/>
  <c r="AP50" i="4"/>
  <c r="AX50" i="4"/>
  <c r="BF50" i="4"/>
  <c r="BN50" i="4"/>
  <c r="BV50" i="4"/>
  <c r="AQ50" i="4"/>
  <c r="AY50" i="4"/>
  <c r="BG50" i="4"/>
  <c r="BO50" i="4"/>
  <c r="BW50" i="4"/>
  <c r="BW58" i="4" s="1"/>
  <c r="AJ50" i="4"/>
  <c r="AR50" i="4"/>
  <c r="AZ50" i="4"/>
  <c r="BH50" i="4"/>
  <c r="BP50" i="4"/>
  <c r="BX50" i="4"/>
  <c r="CC58" i="4" l="1"/>
  <c r="CA58" i="4"/>
  <c r="CB58" i="4"/>
  <c r="BZ72" i="4"/>
  <c r="BZ73" i="4" s="1"/>
  <c r="BY72" i="4"/>
  <c r="BY73" i="4" s="1"/>
  <c r="BX72" i="4"/>
  <c r="BX73" i="4" s="1"/>
  <c r="BR72" i="4"/>
  <c r="BR73" i="4" s="1"/>
  <c r="BS72" i="4"/>
  <c r="BS73" i="4" s="1"/>
  <c r="I71" i="4"/>
  <c r="I72" i="4" s="1"/>
  <c r="I73" i="4" s="1"/>
  <c r="AR72" i="4"/>
  <c r="AR73" i="4" s="1"/>
  <c r="M71" i="4"/>
  <c r="M72" i="4" s="1"/>
  <c r="M73" i="4" s="1"/>
  <c r="J71" i="4"/>
  <c r="V72" i="4"/>
  <c r="V73" i="4" s="1"/>
  <c r="AS71" i="4"/>
  <c r="BU58" i="4"/>
  <c r="BK58" i="4"/>
  <c r="BI58" i="4"/>
  <c r="BM58" i="4"/>
  <c r="CD58" i="4"/>
  <c r="BT58" i="4"/>
  <c r="BL58" i="4"/>
  <c r="BV58" i="4"/>
  <c r="BF58" i="4"/>
  <c r="BD57" i="4"/>
  <c r="BD58" i="4" s="1"/>
  <c r="BO58" i="4"/>
  <c r="AY57" i="4"/>
  <c r="AY58" i="4" s="1"/>
  <c r="BC57" i="4"/>
  <c r="BC58" i="4" s="1"/>
  <c r="CE57" i="4"/>
  <c r="CE58" i="4" s="1"/>
  <c r="AW57" i="4"/>
  <c r="AW58" i="4" s="1"/>
  <c r="BZ57" i="4"/>
  <c r="BZ58" i="4" s="1"/>
  <c r="AV57" i="4"/>
  <c r="AV58" i="4" s="1"/>
  <c r="AQ57" i="4"/>
  <c r="AQ58" i="4" s="1"/>
  <c r="AP57" i="4"/>
  <c r="AP58" i="4" s="1"/>
  <c r="BN57" i="4"/>
  <c r="BN58" i="4" s="1"/>
  <c r="BA57" i="4"/>
  <c r="BA58" i="4" s="1"/>
  <c r="AT57" i="4"/>
  <c r="AT58" i="4" s="1"/>
  <c r="AS57" i="4"/>
  <c r="AS58" i="4" s="1"/>
  <c r="AR57" i="4"/>
  <c r="AR58" i="4" s="1"/>
  <c r="BB57" i="4"/>
  <c r="BB58" i="4" s="1"/>
  <c r="AU57" i="4"/>
  <c r="AU58" i="4" s="1"/>
  <c r="BE57" i="4"/>
  <c r="BE58" i="4" s="1"/>
  <c r="BP58" i="4"/>
  <c r="BQ58" i="4"/>
  <c r="AL72" i="4"/>
  <c r="AL73" i="4" s="1"/>
  <c r="BJ72" i="4"/>
  <c r="BJ73" i="4" s="1"/>
  <c r="AZ72" i="4"/>
  <c r="AZ73" i="4" s="1"/>
  <c r="AT72" i="4"/>
  <c r="AT73" i="4" s="1"/>
  <c r="AP72" i="4"/>
  <c r="AP73" i="4" s="1"/>
  <c r="BB73" i="4"/>
  <c r="BE73" i="4"/>
  <c r="AX72" i="4"/>
  <c r="AX73" i="4" s="1"/>
  <c r="BG72" i="4"/>
  <c r="BG73" i="4" s="1"/>
  <c r="AC72" i="4"/>
  <c r="AC73" i="4" s="1"/>
  <c r="DV73" i="4"/>
  <c r="N72" i="4"/>
  <c r="N73" i="4" s="1"/>
  <c r="AI58" i="4"/>
  <c r="L72" i="4"/>
  <c r="L73" i="4" s="1"/>
  <c r="DX60" i="4"/>
  <c r="DX61" i="4"/>
  <c r="DX72" i="4"/>
  <c r="BH73" i="4"/>
  <c r="F73" i="4"/>
  <c r="X57" i="4"/>
  <c r="X58" i="4" s="1"/>
  <c r="AA58" i="4"/>
  <c r="AN57" i="4"/>
  <c r="AN58" i="4" s="1"/>
  <c r="AG58" i="4"/>
  <c r="AO57" i="4"/>
  <c r="AJ57" i="4"/>
  <c r="AJ58" i="4" s="1"/>
  <c r="AL57" i="4"/>
  <c r="AL58" i="4" s="1"/>
  <c r="AK58" i="4"/>
  <c r="AM58" i="4"/>
  <c r="DZ13" i="4"/>
  <c r="DZ4" i="4"/>
  <c r="DZ11" i="4"/>
  <c r="DZ12" i="4"/>
  <c r="EA3" i="4"/>
  <c r="DX65" i="4"/>
  <c r="DX66" i="4"/>
  <c r="AX58" i="4"/>
  <c r="BH58" i="4"/>
  <c r="BG58" i="4"/>
  <c r="I58" i="4"/>
  <c r="V58" i="4"/>
  <c r="N58" i="4"/>
  <c r="BS58" i="4"/>
  <c r="BY58" i="4"/>
  <c r="M58" i="4"/>
  <c r="J58" i="4"/>
  <c r="AZ58" i="4"/>
  <c r="BR58" i="4"/>
  <c r="L58" i="4"/>
  <c r="BX58" i="4"/>
  <c r="BJ58" i="4"/>
  <c r="AC58" i="4"/>
  <c r="DX32" i="4"/>
  <c r="DX51" i="4"/>
  <c r="DX71" i="4"/>
  <c r="DX106" i="4"/>
  <c r="DX36" i="4"/>
  <c r="DX35" i="4" s="1"/>
  <c r="DX52" i="4"/>
  <c r="DX56" i="4"/>
  <c r="DX126" i="4"/>
  <c r="DX42" i="4"/>
  <c r="DX46" i="4" s="1"/>
  <c r="DX53" i="4"/>
  <c r="DX82" i="4"/>
  <c r="DX134" i="4"/>
  <c r="DX39" i="4"/>
  <c r="DX44" i="4" s="1"/>
  <c r="DX54" i="4"/>
  <c r="DX80" i="4"/>
  <c r="DX149" i="4"/>
  <c r="DX167" i="4" s="1"/>
  <c r="DX5" i="4"/>
  <c r="DX41" i="4"/>
  <c r="DX45" i="4" s="1"/>
  <c r="DX55" i="4"/>
  <c r="DX155" i="4"/>
  <c r="DY6" i="4"/>
  <c r="DX48" i="4"/>
  <c r="DX94" i="4"/>
  <c r="DX156" i="4"/>
  <c r="DX10" i="4"/>
  <c r="DX50" i="4"/>
  <c r="DX116" i="4"/>
  <c r="DX161" i="4"/>
  <c r="DX9" i="4"/>
  <c r="DX40" i="4"/>
  <c r="DX68" i="4" s="1"/>
  <c r="DX114" i="4"/>
  <c r="DV84" i="4"/>
  <c r="DW115" i="4"/>
  <c r="DW117" i="4"/>
  <c r="DX113" i="4" s="1"/>
  <c r="DW69" i="4"/>
  <c r="DW70" i="4" s="1"/>
  <c r="DW121" i="4"/>
  <c r="DW107" i="4"/>
  <c r="DW81" i="4"/>
  <c r="DW159" i="4" s="1"/>
  <c r="DW157" i="4"/>
  <c r="DW83" i="4"/>
  <c r="DW160" i="4" s="1"/>
  <c r="DW158" i="4"/>
  <c r="CF47" i="4"/>
  <c r="CG31" i="4"/>
  <c r="F49" i="4"/>
  <c r="F59" i="4" s="1"/>
  <c r="V61" i="4" l="1"/>
  <c r="V62" i="4" s="1"/>
  <c r="V63" i="4" s="1"/>
  <c r="V140" i="4" s="1"/>
  <c r="J72" i="4"/>
  <c r="J73" i="4" s="1"/>
  <c r="AS72" i="4"/>
  <c r="AS73" i="4" s="1"/>
  <c r="DW73" i="4"/>
  <c r="DY60" i="4"/>
  <c r="DY72" i="4"/>
  <c r="DY61" i="4"/>
  <c r="AO58" i="4"/>
  <c r="DY65" i="4"/>
  <c r="DY66" i="4"/>
  <c r="EA4" i="4"/>
  <c r="EB3" i="4"/>
  <c r="EA12" i="4"/>
  <c r="EA13" i="4"/>
  <c r="EA11" i="4"/>
  <c r="CG47" i="4"/>
  <c r="CG49" i="4" s="1"/>
  <c r="CH31" i="4"/>
  <c r="CF49" i="4"/>
  <c r="DX83" i="4"/>
  <c r="DX160" i="4" s="1"/>
  <c r="DX158" i="4"/>
  <c r="DX69" i="4"/>
  <c r="DX70" i="4" s="1"/>
  <c r="DW84" i="4"/>
  <c r="DX81" i="4"/>
  <c r="DX159" i="4" s="1"/>
  <c r="DX157" i="4"/>
  <c r="F57" i="4"/>
  <c r="F58" i="4" s="1"/>
  <c r="DX115" i="4"/>
  <c r="DX117" i="4"/>
  <c r="DY113" i="4" s="1"/>
  <c r="DX121" i="4"/>
  <c r="DX107" i="4"/>
  <c r="DZ6" i="4"/>
  <c r="DY42" i="4"/>
  <c r="DY46" i="4" s="1"/>
  <c r="DY55" i="4"/>
  <c r="DY94" i="4"/>
  <c r="DY134" i="4"/>
  <c r="DY5" i="4"/>
  <c r="DY32" i="4"/>
  <c r="DY56" i="4"/>
  <c r="DY106" i="4"/>
  <c r="DY155" i="4"/>
  <c r="DY9" i="4"/>
  <c r="DY48" i="4"/>
  <c r="DY114" i="4"/>
  <c r="DY156" i="4"/>
  <c r="DY10" i="4"/>
  <c r="DY50" i="4"/>
  <c r="DY80" i="4"/>
  <c r="DY36" i="4"/>
  <c r="DY35" i="4" s="1"/>
  <c r="DY51" i="4"/>
  <c r="DY116" i="4"/>
  <c r="DY39" i="4"/>
  <c r="DY44" i="4" s="1"/>
  <c r="DY52" i="4"/>
  <c r="DY71" i="4"/>
  <c r="DY126" i="4"/>
  <c r="DY40" i="4"/>
  <c r="DY68" i="4" s="1"/>
  <c r="DY53" i="4"/>
  <c r="DY82" i="4"/>
  <c r="DY149" i="4"/>
  <c r="DY167" i="4" s="1"/>
  <c r="DY41" i="4"/>
  <c r="DY45" i="4" s="1"/>
  <c r="DY54" i="4"/>
  <c r="DY161" i="4"/>
  <c r="BH81" i="4"/>
  <c r="CF57" i="4" l="1"/>
  <c r="CF58" i="4" s="1"/>
  <c r="CG57" i="4"/>
  <c r="CG58" i="4" s="1"/>
  <c r="DZ61" i="4"/>
  <c r="DZ60" i="4"/>
  <c r="DZ72" i="4"/>
  <c r="DX73" i="4"/>
  <c r="V155" i="4"/>
  <c r="V14" i="4"/>
  <c r="V156" i="4"/>
  <c r="V161" i="4"/>
  <c r="DZ65" i="4"/>
  <c r="DZ66" i="4"/>
  <c r="EC3" i="4"/>
  <c r="EB4" i="4"/>
  <c r="EB11" i="4"/>
  <c r="EB12" i="4"/>
  <c r="EB13" i="4"/>
  <c r="DX84" i="4"/>
  <c r="DY81" i="4"/>
  <c r="DY159" i="4" s="1"/>
  <c r="DY157" i="4"/>
  <c r="DZ40" i="4"/>
  <c r="DZ68" i="4" s="1"/>
  <c r="DZ53" i="4"/>
  <c r="DZ134" i="4"/>
  <c r="DZ32" i="4"/>
  <c r="DZ54" i="4"/>
  <c r="DZ80" i="4"/>
  <c r="DZ149" i="4"/>
  <c r="DZ167" i="4" s="1"/>
  <c r="DZ5" i="4"/>
  <c r="DZ48" i="4"/>
  <c r="DZ55" i="4"/>
  <c r="DZ82" i="4"/>
  <c r="DZ161" i="4"/>
  <c r="DZ9" i="4"/>
  <c r="DZ42" i="4"/>
  <c r="DZ46" i="4" s="1"/>
  <c r="DZ56" i="4"/>
  <c r="DZ94" i="4"/>
  <c r="DZ155" i="4"/>
  <c r="DZ10" i="4"/>
  <c r="DZ50" i="4"/>
  <c r="DZ106" i="4"/>
  <c r="DZ156" i="4"/>
  <c r="EA6" i="4"/>
  <c r="DZ41" i="4"/>
  <c r="DZ45" i="4" s="1"/>
  <c r="DZ114" i="4"/>
  <c r="DZ36" i="4"/>
  <c r="DZ35" i="4" s="1"/>
  <c r="DZ51" i="4"/>
  <c r="DZ116" i="4"/>
  <c r="DZ39" i="4"/>
  <c r="DZ44" i="4" s="1"/>
  <c r="DZ52" i="4"/>
  <c r="DZ71" i="4"/>
  <c r="DZ126" i="4"/>
  <c r="CH47" i="4"/>
  <c r="CH49" i="4" s="1"/>
  <c r="CI31" i="4"/>
  <c r="DY69" i="4"/>
  <c r="DY70" i="4" s="1"/>
  <c r="DY121" i="4"/>
  <c r="DY107" i="4"/>
  <c r="DY83" i="4"/>
  <c r="DY160" i="4" s="1"/>
  <c r="DY158" i="4"/>
  <c r="DY115" i="4"/>
  <c r="DY117" i="4"/>
  <c r="DZ113" i="4" s="1"/>
  <c r="BH157" i="4"/>
  <c r="BH158" i="4"/>
  <c r="BH83" i="4"/>
  <c r="BH160" i="4" s="1"/>
  <c r="BH159" i="4"/>
  <c r="CH57" i="4" l="1"/>
  <c r="CH58" i="4" s="1"/>
  <c r="DY73" i="4"/>
  <c r="EA61" i="4"/>
  <c r="EA60" i="4"/>
  <c r="EA72" i="4"/>
  <c r="EA65" i="4"/>
  <c r="EA66" i="4"/>
  <c r="EC4" i="4"/>
  <c r="EC11" i="4"/>
  <c r="ED3" i="4"/>
  <c r="EC12" i="4"/>
  <c r="EC13" i="4"/>
  <c r="DZ121" i="4"/>
  <c r="DZ107" i="4"/>
  <c r="CI47" i="4"/>
  <c r="CI49" i="4" s="1"/>
  <c r="CJ31" i="4"/>
  <c r="DZ83" i="4"/>
  <c r="DZ160" i="4" s="1"/>
  <c r="DZ158" i="4"/>
  <c r="DZ81" i="4"/>
  <c r="DZ159" i="4" s="1"/>
  <c r="DZ157" i="4"/>
  <c r="DY84" i="4"/>
  <c r="DZ69" i="4"/>
  <c r="DZ70" i="4" s="1"/>
  <c r="DZ115" i="4"/>
  <c r="DZ117" i="4"/>
  <c r="EA113" i="4" s="1"/>
  <c r="EB6" i="4"/>
  <c r="EA32" i="4"/>
  <c r="EA56" i="4"/>
  <c r="EA106" i="4"/>
  <c r="EA126" i="4"/>
  <c r="EA10" i="4"/>
  <c r="EA48" i="4"/>
  <c r="EA114" i="4"/>
  <c r="EA161" i="4"/>
  <c r="EA9" i="4"/>
  <c r="EA50" i="4"/>
  <c r="EA54" i="4"/>
  <c r="EA36" i="4"/>
  <c r="EA35" i="4" s="1"/>
  <c r="EA52" i="4"/>
  <c r="EA71" i="4"/>
  <c r="EA116" i="4"/>
  <c r="EA39" i="4"/>
  <c r="EA44" i="4" s="1"/>
  <c r="EA55" i="4"/>
  <c r="EA82" i="4"/>
  <c r="EA134" i="4"/>
  <c r="EA40" i="4"/>
  <c r="EA68" i="4" s="1"/>
  <c r="EA80" i="4"/>
  <c r="EA149" i="4"/>
  <c r="EA167" i="4" s="1"/>
  <c r="EA41" i="4"/>
  <c r="EA45" i="4" s="1"/>
  <c r="EA53" i="4"/>
  <c r="EA155" i="4"/>
  <c r="EA5" i="4"/>
  <c r="EA42" i="4"/>
  <c r="EA46" i="4" s="1"/>
  <c r="EA51" i="4"/>
  <c r="EA94" i="4"/>
  <c r="EA156" i="4"/>
  <c r="BH84" i="4"/>
  <c r="CI57" i="4" l="1"/>
  <c r="CI58" i="4" s="1"/>
  <c r="EB61" i="4"/>
  <c r="EB72" i="4"/>
  <c r="EB60" i="4"/>
  <c r="DZ73" i="4"/>
  <c r="EE3" i="4"/>
  <c r="ED13" i="4"/>
  <c r="ED12" i="4"/>
  <c r="ED4" i="4"/>
  <c r="ED11" i="4"/>
  <c r="EB65" i="4"/>
  <c r="EB66" i="4"/>
  <c r="EA107" i="4"/>
  <c r="EA121" i="4"/>
  <c r="EC6" i="4"/>
  <c r="EB51" i="4"/>
  <c r="EB71" i="4"/>
  <c r="EB32" i="4"/>
  <c r="EB52" i="4"/>
  <c r="EB116" i="4"/>
  <c r="EB41" i="4"/>
  <c r="EB45" i="4" s="1"/>
  <c r="EB53" i="4"/>
  <c r="EB126" i="4"/>
  <c r="EB36" i="4"/>
  <c r="EB35" i="4" s="1"/>
  <c r="EB54" i="4"/>
  <c r="EB80" i="4"/>
  <c r="EB134" i="4"/>
  <c r="EB39" i="4"/>
  <c r="EB44" i="4" s="1"/>
  <c r="EB55" i="4"/>
  <c r="EB82" i="4"/>
  <c r="EB149" i="4"/>
  <c r="EB167" i="4" s="1"/>
  <c r="EB5" i="4"/>
  <c r="EB42" i="4"/>
  <c r="EB46" i="4" s="1"/>
  <c r="EB56" i="4"/>
  <c r="EB94" i="4"/>
  <c r="EB155" i="4"/>
  <c r="EB9" i="4"/>
  <c r="EB48" i="4"/>
  <c r="EB106" i="4"/>
  <c r="EB156" i="4"/>
  <c r="EB10" i="4"/>
  <c r="EB50" i="4"/>
  <c r="EB40" i="4"/>
  <c r="EB68" i="4" s="1"/>
  <c r="EB114" i="4"/>
  <c r="EB161" i="4"/>
  <c r="DZ84" i="4"/>
  <c r="CJ47" i="4"/>
  <c r="CJ49" i="4" s="1"/>
  <c r="CK31" i="4"/>
  <c r="EA115" i="4"/>
  <c r="EA117" i="4"/>
  <c r="EB113" i="4" s="1"/>
  <c r="EA81" i="4"/>
  <c r="EA159" i="4" s="1"/>
  <c r="EA157" i="4"/>
  <c r="EA69" i="4"/>
  <c r="EA70" i="4" s="1"/>
  <c r="EA83" i="4"/>
  <c r="EA160" i="4" s="1"/>
  <c r="EA158" i="4"/>
  <c r="Q37" i="1"/>
  <c r="E50" i="5" s="1"/>
  <c r="BB126" i="4"/>
  <c r="BB134" i="4"/>
  <c r="BB145" i="4"/>
  <c r="BB150" i="4" s="1"/>
  <c r="BC144" i="4" s="1"/>
  <c r="BB146" i="4"/>
  <c r="CJ57" i="4" l="1"/>
  <c r="CJ58" i="4" s="1"/>
  <c r="EC61" i="4"/>
  <c r="EC60" i="4"/>
  <c r="EC72" i="4"/>
  <c r="EA73" i="4"/>
  <c r="EC66" i="4"/>
  <c r="EC65" i="4"/>
  <c r="EF3" i="4"/>
  <c r="EE11" i="4"/>
  <c r="EE4" i="4"/>
  <c r="EE13" i="4"/>
  <c r="EE12" i="4"/>
  <c r="Q45" i="1"/>
  <c r="EA84" i="4"/>
  <c r="EB83" i="4"/>
  <c r="EB160" i="4" s="1"/>
  <c r="EB158" i="4"/>
  <c r="EB117" i="4"/>
  <c r="EC113" i="4" s="1"/>
  <c r="EB115" i="4"/>
  <c r="EB69" i="4"/>
  <c r="EB70" i="4" s="1"/>
  <c r="EC32" i="4"/>
  <c r="EC42" i="4"/>
  <c r="EC46" i="4" s="1"/>
  <c r="EC116" i="4"/>
  <c r="EC36" i="4"/>
  <c r="EC35" i="4" s="1"/>
  <c r="EC48" i="4"/>
  <c r="EC126" i="4"/>
  <c r="EC39" i="4"/>
  <c r="EC44" i="4" s="1"/>
  <c r="EC50" i="4"/>
  <c r="EC134" i="4"/>
  <c r="EC40" i="4"/>
  <c r="EC68" i="4" s="1"/>
  <c r="EC41" i="4"/>
  <c r="EC45" i="4" s="1"/>
  <c r="EC71" i="4"/>
  <c r="EC149" i="4"/>
  <c r="EC167" i="4" s="1"/>
  <c r="EC5" i="4"/>
  <c r="EC51" i="4"/>
  <c r="EC55" i="4"/>
  <c r="EC82" i="4"/>
  <c r="EC156" i="4"/>
  <c r="EC9" i="4"/>
  <c r="EC52" i="4"/>
  <c r="EC106" i="4"/>
  <c r="EC161" i="4"/>
  <c r="EC10" i="4"/>
  <c r="EC53" i="4"/>
  <c r="EC80" i="4"/>
  <c r="EC114" i="4"/>
  <c r="EC155" i="4"/>
  <c r="ED6" i="4"/>
  <c r="EC54" i="4"/>
  <c r="EC56" i="4"/>
  <c r="EC94" i="4"/>
  <c r="EB107" i="4"/>
  <c r="EB121" i="4"/>
  <c r="CL31" i="4"/>
  <c r="CK47" i="4"/>
  <c r="CK49" i="4" s="1"/>
  <c r="EB157" i="4"/>
  <c r="EB81" i="4"/>
  <c r="EB159" i="4" s="1"/>
  <c r="E49" i="5"/>
  <c r="E53" i="5" s="1"/>
  <c r="Q38" i="1" s="1"/>
  <c r="Q39" i="1" s="1"/>
  <c r="BB165" i="4"/>
  <c r="BC147" i="4"/>
  <c r="BC148" i="4"/>
  <c r="BC150" i="4" s="1"/>
  <c r="BD144" i="4" s="1"/>
  <c r="ED61" i="4" l="1"/>
  <c r="ED72" i="4"/>
  <c r="ED60" i="4"/>
  <c r="EB73" i="4"/>
  <c r="ED65" i="4"/>
  <c r="ED66" i="4"/>
  <c r="EG3" i="4"/>
  <c r="EF11" i="4"/>
  <c r="EF13" i="4"/>
  <c r="EF12" i="4"/>
  <c r="EF4" i="4"/>
  <c r="EB84" i="4"/>
  <c r="EC69" i="4"/>
  <c r="EC70" i="4" s="1"/>
  <c r="EC83" i="4"/>
  <c r="EC160" i="4" s="1"/>
  <c r="EC158" i="4"/>
  <c r="EC107" i="4"/>
  <c r="EC121" i="4"/>
  <c r="EC115" i="4"/>
  <c r="EC117" i="4"/>
  <c r="ED113" i="4" s="1"/>
  <c r="EC81" i="4"/>
  <c r="EC159" i="4" s="1"/>
  <c r="EC157" i="4"/>
  <c r="CM31" i="4"/>
  <c r="CL47" i="4"/>
  <c r="CK57" i="4"/>
  <c r="CK58" i="4" s="1"/>
  <c r="ED10" i="4"/>
  <c r="ED53" i="4"/>
  <c r="ED55" i="4"/>
  <c r="ED114" i="4"/>
  <c r="ED42" i="4"/>
  <c r="ED46" i="4" s="1"/>
  <c r="ED50" i="4"/>
  <c r="ED116" i="4"/>
  <c r="ED48" i="4"/>
  <c r="ED39" i="4"/>
  <c r="ED44" i="4" s="1"/>
  <c r="ED80" i="4"/>
  <c r="ED126" i="4"/>
  <c r="ED32" i="4"/>
  <c r="ED41" i="4"/>
  <c r="ED45" i="4" s="1"/>
  <c r="ED134" i="4"/>
  <c r="ED36" i="4"/>
  <c r="ED35" i="4" s="1"/>
  <c r="ED54" i="4"/>
  <c r="ED71" i="4"/>
  <c r="ED149" i="4"/>
  <c r="ED167" i="4" s="1"/>
  <c r="EE6" i="4"/>
  <c r="ED40" i="4"/>
  <c r="ED68" i="4" s="1"/>
  <c r="ED56" i="4"/>
  <c r="ED82" i="4"/>
  <c r="ED155" i="4"/>
  <c r="ED9" i="4"/>
  <c r="ED51" i="4"/>
  <c r="ED94" i="4"/>
  <c r="ED156" i="4"/>
  <c r="ED5" i="4"/>
  <c r="ED52" i="4"/>
  <c r="ED106" i="4"/>
  <c r="ED161" i="4"/>
  <c r="BD147" i="4"/>
  <c r="BD148" i="4"/>
  <c r="BD150" i="4" s="1"/>
  <c r="BE144" i="4" s="1"/>
  <c r="BC166" i="4"/>
  <c r="EE72" i="4" l="1"/>
  <c r="EE61" i="4"/>
  <c r="EE60" i="4"/>
  <c r="EC73" i="4"/>
  <c r="EG13" i="4"/>
  <c r="EG4" i="4"/>
  <c r="EH3" i="4"/>
  <c r="EG12" i="4"/>
  <c r="EG11" i="4"/>
  <c r="EE65" i="4"/>
  <c r="EE66" i="4"/>
  <c r="EC84" i="4"/>
  <c r="CL49" i="4"/>
  <c r="ED81" i="4"/>
  <c r="ED159" i="4" s="1"/>
  <c r="ED157" i="4"/>
  <c r="CM47" i="4"/>
  <c r="CM49" i="4" s="1"/>
  <c r="CN31" i="4"/>
  <c r="EE10" i="4"/>
  <c r="EE51" i="4"/>
  <c r="EE114" i="4"/>
  <c r="EE32" i="4"/>
  <c r="EE52" i="4"/>
  <c r="EE116" i="4"/>
  <c r="EE36" i="4"/>
  <c r="EE35" i="4" s="1"/>
  <c r="EE53" i="4"/>
  <c r="EE71" i="4"/>
  <c r="EE134" i="4"/>
  <c r="EE39" i="4"/>
  <c r="EE44" i="4" s="1"/>
  <c r="EE54" i="4"/>
  <c r="EE82" i="4"/>
  <c r="EE149" i="4"/>
  <c r="EE167" i="4" s="1"/>
  <c r="EE41" i="4"/>
  <c r="EE45" i="4" s="1"/>
  <c r="EE55" i="4"/>
  <c r="EE80" i="4"/>
  <c r="EE155" i="4"/>
  <c r="EE9" i="4"/>
  <c r="EE40" i="4"/>
  <c r="EE68" i="4" s="1"/>
  <c r="EE56" i="4"/>
  <c r="EE156" i="4"/>
  <c r="EE5" i="4"/>
  <c r="EE42" i="4"/>
  <c r="EE46" i="4" s="1"/>
  <c r="EE50" i="4"/>
  <c r="EE94" i="4"/>
  <c r="EE126" i="4"/>
  <c r="EF6" i="4"/>
  <c r="EE48" i="4"/>
  <c r="EE106" i="4"/>
  <c r="EE161" i="4"/>
  <c r="ED83" i="4"/>
  <c r="ED160" i="4" s="1"/>
  <c r="ED158" i="4"/>
  <c r="ED107" i="4"/>
  <c r="ED121" i="4"/>
  <c r="ED69" i="4"/>
  <c r="ED70" i="4" s="1"/>
  <c r="ED115" i="4"/>
  <c r="ED117" i="4"/>
  <c r="EE113" i="4" s="1"/>
  <c r="BE147" i="4"/>
  <c r="BE148" i="4"/>
  <c r="BE150" i="4" s="1"/>
  <c r="BF144" i="4" s="1"/>
  <c r="BD166" i="4"/>
  <c r="CL57" i="4" l="1"/>
  <c r="CL58" i="4" s="1"/>
  <c r="CM57" i="4"/>
  <c r="CM58" i="4" s="1"/>
  <c r="EF60" i="4"/>
  <c r="EF61" i="4"/>
  <c r="EF72" i="4"/>
  <c r="ED73" i="4"/>
  <c r="EH4" i="4"/>
  <c r="EH11" i="4"/>
  <c r="EI3" i="4"/>
  <c r="EH12" i="4"/>
  <c r="EH13" i="4"/>
  <c r="EF65" i="4"/>
  <c r="EF66" i="4"/>
  <c r="EE107" i="4"/>
  <c r="EE121" i="4"/>
  <c r="EF9" i="4"/>
  <c r="EF48" i="4"/>
  <c r="EF156" i="4"/>
  <c r="EF5" i="4"/>
  <c r="EF51" i="4"/>
  <c r="EF116" i="4"/>
  <c r="EF161" i="4"/>
  <c r="EG6" i="4"/>
  <c r="EF52" i="4"/>
  <c r="EF71" i="4"/>
  <c r="EF106" i="4"/>
  <c r="EF32" i="4"/>
  <c r="EF53" i="4"/>
  <c r="EF114" i="4"/>
  <c r="EF36" i="4"/>
  <c r="EF35" i="4" s="1"/>
  <c r="EF54" i="4"/>
  <c r="EF39" i="4"/>
  <c r="EF44" i="4" s="1"/>
  <c r="EF126" i="4"/>
  <c r="EF41" i="4"/>
  <c r="EF45" i="4" s="1"/>
  <c r="EF50" i="4"/>
  <c r="EF82" i="4"/>
  <c r="EF134" i="4"/>
  <c r="EF40" i="4"/>
  <c r="EF68" i="4" s="1"/>
  <c r="EF56" i="4"/>
  <c r="EF80" i="4"/>
  <c r="EF149" i="4"/>
  <c r="EF167" i="4" s="1"/>
  <c r="EF10" i="4"/>
  <c r="EF42" i="4"/>
  <c r="EF46" i="4" s="1"/>
  <c r="EF55" i="4"/>
  <c r="EF94" i="4"/>
  <c r="EF155" i="4"/>
  <c r="EE83" i="4"/>
  <c r="EE160" i="4" s="1"/>
  <c r="EE158" i="4"/>
  <c r="CN47" i="4"/>
  <c r="CO31" i="4"/>
  <c r="EE115" i="4"/>
  <c r="EE117" i="4"/>
  <c r="EF113" i="4" s="1"/>
  <c r="ED84" i="4"/>
  <c r="EE69" i="4"/>
  <c r="EE70" i="4" s="1"/>
  <c r="EE81" i="4"/>
  <c r="EE159" i="4" s="1"/>
  <c r="EE157" i="4"/>
  <c r="BF147" i="4"/>
  <c r="BF148" i="4"/>
  <c r="BF150" i="4" s="1"/>
  <c r="BG144" i="4" s="1"/>
  <c r="BE166" i="4"/>
  <c r="EG60" i="4" l="1"/>
  <c r="EG72" i="4"/>
  <c r="EG61" i="4"/>
  <c r="EE73" i="4"/>
  <c r="EG65" i="4"/>
  <c r="EG66" i="4"/>
  <c r="EI4" i="4"/>
  <c r="EJ3" i="4"/>
  <c r="EI12" i="4"/>
  <c r="EI13" i="4"/>
  <c r="EI11" i="4"/>
  <c r="CN49" i="4"/>
  <c r="EE84" i="4"/>
  <c r="EG39" i="4"/>
  <c r="EG44" i="4" s="1"/>
  <c r="EG52" i="4"/>
  <c r="EG71" i="4"/>
  <c r="EG126" i="4"/>
  <c r="EG40" i="4"/>
  <c r="EG68" i="4" s="1"/>
  <c r="EG53" i="4"/>
  <c r="EG82" i="4"/>
  <c r="EG156" i="4"/>
  <c r="EG41" i="4"/>
  <c r="EG45" i="4" s="1"/>
  <c r="EG54" i="4"/>
  <c r="EG80" i="4"/>
  <c r="EG149" i="4"/>
  <c r="EG167" i="4" s="1"/>
  <c r="EH6" i="4"/>
  <c r="EG42" i="4"/>
  <c r="EG46" i="4" s="1"/>
  <c r="EG55" i="4"/>
  <c r="EG161" i="4"/>
  <c r="EG5" i="4"/>
  <c r="EG32" i="4"/>
  <c r="EG56" i="4"/>
  <c r="EG94" i="4"/>
  <c r="EG134" i="4"/>
  <c r="EG10" i="4"/>
  <c r="EG48" i="4"/>
  <c r="EG106" i="4"/>
  <c r="EG155" i="4"/>
  <c r="EG9" i="4"/>
  <c r="EG50" i="4"/>
  <c r="EG114" i="4"/>
  <c r="EG36" i="4"/>
  <c r="EG35" i="4" s="1"/>
  <c r="EG51" i="4"/>
  <c r="EG116" i="4"/>
  <c r="EF81" i="4"/>
  <c r="EF159" i="4" s="1"/>
  <c r="EF157" i="4"/>
  <c r="EF69" i="4"/>
  <c r="EF70" i="4" s="1"/>
  <c r="EF115" i="4"/>
  <c r="EF117" i="4"/>
  <c r="EG113" i="4" s="1"/>
  <c r="EF83" i="4"/>
  <c r="EF160" i="4" s="1"/>
  <c r="EF158" i="4"/>
  <c r="EF121" i="4"/>
  <c r="EF107" i="4"/>
  <c r="CO47" i="4"/>
  <c r="CO49" i="4" s="1"/>
  <c r="CP31" i="4"/>
  <c r="BG147" i="4"/>
  <c r="BG148" i="4"/>
  <c r="BG150" i="4" s="1"/>
  <c r="BH144" i="4" s="1"/>
  <c r="BF166" i="4"/>
  <c r="CO57" i="4" l="1"/>
  <c r="CO58" i="4" s="1"/>
  <c r="CN57" i="4"/>
  <c r="CN58" i="4" s="1"/>
  <c r="EF73" i="4"/>
  <c r="EH72" i="4"/>
  <c r="EH61" i="4"/>
  <c r="EH60" i="4"/>
  <c r="EJ4" i="4"/>
  <c r="EJ11" i="4"/>
  <c r="EJ12" i="4"/>
  <c r="EJ13" i="4"/>
  <c r="EK3" i="4"/>
  <c r="EH65" i="4"/>
  <c r="EH66" i="4"/>
  <c r="EF84" i="4"/>
  <c r="EH39" i="4"/>
  <c r="EH44" i="4" s="1"/>
  <c r="EH54" i="4"/>
  <c r="EH134" i="4"/>
  <c r="EH40" i="4"/>
  <c r="EH68" i="4" s="1"/>
  <c r="EH55" i="4"/>
  <c r="EH80" i="4"/>
  <c r="EH156" i="4"/>
  <c r="EH5" i="4"/>
  <c r="EH42" i="4"/>
  <c r="EH46" i="4" s="1"/>
  <c r="EH56" i="4"/>
  <c r="EH82" i="4"/>
  <c r="EH149" i="4"/>
  <c r="EH167" i="4" s="1"/>
  <c r="EH9" i="4"/>
  <c r="EH48" i="4"/>
  <c r="EH94" i="4"/>
  <c r="EH161" i="4"/>
  <c r="EH10" i="4"/>
  <c r="EH41" i="4"/>
  <c r="EH45" i="4" s="1"/>
  <c r="EH50" i="4"/>
  <c r="EH106" i="4"/>
  <c r="EH155" i="4"/>
  <c r="EI6" i="4"/>
  <c r="EH51" i="4"/>
  <c r="EH114" i="4"/>
  <c r="EH32" i="4"/>
  <c r="EH52" i="4"/>
  <c r="EH116" i="4"/>
  <c r="EH36" i="4"/>
  <c r="EH35" i="4" s="1"/>
  <c r="EH53" i="4"/>
  <c r="EH71" i="4"/>
  <c r="EH126" i="4"/>
  <c r="EG69" i="4"/>
  <c r="EG70" i="4" s="1"/>
  <c r="CP47" i="4"/>
  <c r="CQ31" i="4"/>
  <c r="EG115" i="4"/>
  <c r="EG117" i="4"/>
  <c r="EH113" i="4" s="1"/>
  <c r="EG107" i="4"/>
  <c r="EG121" i="4"/>
  <c r="EG81" i="4"/>
  <c r="EG159" i="4" s="1"/>
  <c r="EG157" i="4"/>
  <c r="EG83" i="4"/>
  <c r="EG160" i="4" s="1"/>
  <c r="EG158" i="4"/>
  <c r="BH147" i="4"/>
  <c r="BH148" i="4"/>
  <c r="BH150" i="4" s="1"/>
  <c r="BI144" i="4" s="1"/>
  <c r="BG166" i="4"/>
  <c r="EG73" i="4" l="1"/>
  <c r="EI60" i="4"/>
  <c r="EI72" i="4"/>
  <c r="EI61" i="4"/>
  <c r="EI65" i="4"/>
  <c r="EI66" i="4"/>
  <c r="EL3" i="4"/>
  <c r="EK4" i="4"/>
  <c r="EK11" i="4"/>
  <c r="EK12" i="4"/>
  <c r="EK13" i="4"/>
  <c r="CP49" i="4"/>
  <c r="EI40" i="4"/>
  <c r="EI68" i="4" s="1"/>
  <c r="EI53" i="4"/>
  <c r="EI149" i="4"/>
  <c r="EI167" i="4" s="1"/>
  <c r="EI5" i="4"/>
  <c r="EI41" i="4"/>
  <c r="EI45" i="4" s="1"/>
  <c r="EI55" i="4"/>
  <c r="EI80" i="4"/>
  <c r="EI155" i="4"/>
  <c r="EJ6" i="4"/>
  <c r="EI42" i="4"/>
  <c r="EI46" i="4" s="1"/>
  <c r="EI94" i="4"/>
  <c r="EI156" i="4"/>
  <c r="EI9" i="4"/>
  <c r="EI50" i="4"/>
  <c r="EI71" i="4"/>
  <c r="EI106" i="4"/>
  <c r="EI161" i="4"/>
  <c r="EI10" i="4"/>
  <c r="EI48" i="4"/>
  <c r="EI114" i="4"/>
  <c r="EI32" i="4"/>
  <c r="EI54" i="4"/>
  <c r="EI82" i="4"/>
  <c r="EI116" i="4"/>
  <c r="EI36" i="4"/>
  <c r="EI35" i="4" s="1"/>
  <c r="EI52" i="4"/>
  <c r="EI51" i="4"/>
  <c r="EI126" i="4"/>
  <c r="EI39" i="4"/>
  <c r="EI44" i="4" s="1"/>
  <c r="EI56" i="4"/>
  <c r="EI134" i="4"/>
  <c r="EH107" i="4"/>
  <c r="EH121" i="4"/>
  <c r="EH81" i="4"/>
  <c r="EH159" i="4" s="1"/>
  <c r="EH157" i="4"/>
  <c r="EH115" i="4"/>
  <c r="EH117" i="4"/>
  <c r="EI113" i="4" s="1"/>
  <c r="EG84" i="4"/>
  <c r="CQ47" i="4"/>
  <c r="CQ49" i="4" s="1"/>
  <c r="CR31" i="4"/>
  <c r="EH69" i="4"/>
  <c r="EH70" i="4" s="1"/>
  <c r="EH83" i="4"/>
  <c r="EH160" i="4" s="1"/>
  <c r="EH158" i="4"/>
  <c r="BH166" i="4"/>
  <c r="BI147" i="4"/>
  <c r="BI148" i="4"/>
  <c r="BI150" i="4" s="1"/>
  <c r="BJ144" i="4" s="1"/>
  <c r="CP57" i="4" l="1"/>
  <c r="CP58" i="4" s="1"/>
  <c r="CQ57" i="4"/>
  <c r="CQ58" i="4" s="1"/>
  <c r="EJ61" i="4"/>
  <c r="EJ72" i="4"/>
  <c r="EJ60" i="4"/>
  <c r="EH73" i="4"/>
  <c r="EJ65" i="4"/>
  <c r="EJ66" i="4"/>
  <c r="EM3" i="4"/>
  <c r="EL4" i="4"/>
  <c r="EL13" i="4"/>
  <c r="EL11" i="4"/>
  <c r="EL12" i="4"/>
  <c r="EH84" i="4"/>
  <c r="EI81" i="4"/>
  <c r="EI159" i="4" s="1"/>
  <c r="EI157" i="4"/>
  <c r="CR47" i="4"/>
  <c r="CS31" i="4"/>
  <c r="EI107" i="4"/>
  <c r="EI121" i="4"/>
  <c r="EI115" i="4"/>
  <c r="EI117" i="4"/>
  <c r="EJ113" i="4" s="1"/>
  <c r="EI83" i="4"/>
  <c r="EI160" i="4" s="1"/>
  <c r="EI158" i="4"/>
  <c r="EJ40" i="4"/>
  <c r="EJ68" i="4" s="1"/>
  <c r="EJ54" i="4"/>
  <c r="EJ82" i="4"/>
  <c r="EJ149" i="4"/>
  <c r="EJ167" i="4" s="1"/>
  <c r="EJ5" i="4"/>
  <c r="EJ41" i="4"/>
  <c r="EJ45" i="4" s="1"/>
  <c r="EJ55" i="4"/>
  <c r="EJ80" i="4"/>
  <c r="EJ155" i="4"/>
  <c r="EJ9" i="4"/>
  <c r="EJ48" i="4"/>
  <c r="EJ56" i="4"/>
  <c r="EJ94" i="4"/>
  <c r="EJ156" i="4"/>
  <c r="EJ10" i="4"/>
  <c r="EJ50" i="4"/>
  <c r="EJ106" i="4"/>
  <c r="EJ161" i="4"/>
  <c r="EK6" i="4"/>
  <c r="EJ39" i="4"/>
  <c r="EJ44" i="4" s="1"/>
  <c r="EJ114" i="4"/>
  <c r="EJ32" i="4"/>
  <c r="EJ51" i="4"/>
  <c r="EJ116" i="4"/>
  <c r="EJ42" i="4"/>
  <c r="EJ46" i="4" s="1"/>
  <c r="EJ52" i="4"/>
  <c r="EJ126" i="4"/>
  <c r="EJ36" i="4"/>
  <c r="EJ35" i="4" s="1"/>
  <c r="EJ53" i="4"/>
  <c r="EJ71" i="4"/>
  <c r="EJ134" i="4"/>
  <c r="EI69" i="4"/>
  <c r="EI70" i="4" s="1"/>
  <c r="BI166" i="4"/>
  <c r="BJ147" i="4"/>
  <c r="BJ148" i="4"/>
  <c r="BJ150" i="4" s="1"/>
  <c r="BK144" i="4" s="1"/>
  <c r="EI73" i="4" l="1"/>
  <c r="EK61" i="4"/>
  <c r="EK60" i="4"/>
  <c r="EK72" i="4"/>
  <c r="EN3" i="4"/>
  <c r="EM13" i="4"/>
  <c r="EM11" i="4"/>
  <c r="EM4" i="4"/>
  <c r="EM12" i="4"/>
  <c r="EK65" i="4"/>
  <c r="EK66" i="4"/>
  <c r="CR49" i="4"/>
  <c r="EJ69" i="4"/>
  <c r="EJ70" i="4" s="1"/>
  <c r="CS47" i="4"/>
  <c r="CS49" i="4" s="1"/>
  <c r="CT31" i="4"/>
  <c r="EJ107" i="4"/>
  <c r="EJ121" i="4"/>
  <c r="EJ81" i="4"/>
  <c r="EJ159" i="4" s="1"/>
  <c r="EJ157" i="4"/>
  <c r="EJ115" i="4"/>
  <c r="EJ117" i="4"/>
  <c r="EK113" i="4" s="1"/>
  <c r="EI84" i="4"/>
  <c r="EJ83" i="4"/>
  <c r="EJ160" i="4" s="1"/>
  <c r="EJ158" i="4"/>
  <c r="EL6" i="4"/>
  <c r="EK52" i="4"/>
  <c r="EK126" i="4"/>
  <c r="EK36" i="4"/>
  <c r="EK35" i="4" s="1"/>
  <c r="EK53" i="4"/>
  <c r="EK94" i="4"/>
  <c r="EK39" i="4"/>
  <c r="EK44" i="4" s="1"/>
  <c r="EK54" i="4"/>
  <c r="EK71" i="4"/>
  <c r="EK134" i="4"/>
  <c r="EK40" i="4"/>
  <c r="EK68" i="4" s="1"/>
  <c r="EK48" i="4"/>
  <c r="EK155" i="4"/>
  <c r="EK32" i="4"/>
  <c r="EK56" i="4"/>
  <c r="EK80" i="4"/>
  <c r="EK114" i="4"/>
  <c r="EK5" i="4"/>
  <c r="EK42" i="4"/>
  <c r="EK46" i="4" s="1"/>
  <c r="EK41" i="4"/>
  <c r="EK45" i="4" s="1"/>
  <c r="EK82" i="4"/>
  <c r="EK149" i="4"/>
  <c r="EK167" i="4" s="1"/>
  <c r="EK9" i="4"/>
  <c r="EK50" i="4"/>
  <c r="EK55" i="4"/>
  <c r="EK106" i="4"/>
  <c r="EK156" i="4"/>
  <c r="EK10" i="4"/>
  <c r="EK51" i="4"/>
  <c r="EK116" i="4"/>
  <c r="EK161" i="4"/>
  <c r="BK147" i="4"/>
  <c r="BK148" i="4"/>
  <c r="BK150" i="4" s="1"/>
  <c r="BL144" i="4" s="1"/>
  <c r="BJ166" i="4"/>
  <c r="CS57" i="4" l="1"/>
  <c r="CS58" i="4" s="1"/>
  <c r="CR57" i="4"/>
  <c r="CR58" i="4" s="1"/>
  <c r="EL61" i="4"/>
  <c r="EL60" i="4"/>
  <c r="EL72" i="4"/>
  <c r="EJ73" i="4"/>
  <c r="EO3" i="4"/>
  <c r="EN4" i="4"/>
  <c r="EN13" i="4"/>
  <c r="EN12" i="4"/>
  <c r="EN11" i="4"/>
  <c r="EL65" i="4"/>
  <c r="EL66" i="4"/>
  <c r="EK69" i="4"/>
  <c r="EK70" i="4" s="1"/>
  <c r="EK115" i="4"/>
  <c r="EK117" i="4"/>
  <c r="EL113" i="4" s="1"/>
  <c r="EK157" i="4"/>
  <c r="EK81" i="4"/>
  <c r="EK159" i="4" s="1"/>
  <c r="CT47" i="4"/>
  <c r="CU31" i="4"/>
  <c r="EK107" i="4"/>
  <c r="EK121" i="4"/>
  <c r="EL48" i="4"/>
  <c r="EL53" i="4"/>
  <c r="EL126" i="4"/>
  <c r="EL39" i="4"/>
  <c r="EL44" i="4" s="1"/>
  <c r="EL40" i="4"/>
  <c r="EL68" i="4" s="1"/>
  <c r="EL55" i="4"/>
  <c r="EL134" i="4"/>
  <c r="EL32" i="4"/>
  <c r="EL71" i="4"/>
  <c r="EL149" i="4"/>
  <c r="EL167" i="4" s="1"/>
  <c r="EM6" i="4"/>
  <c r="EL36" i="4"/>
  <c r="EL35" i="4" s="1"/>
  <c r="EL54" i="4"/>
  <c r="EL82" i="4"/>
  <c r="EL155" i="4"/>
  <c r="EL10" i="4"/>
  <c r="EL42" i="4"/>
  <c r="EL46" i="4" s="1"/>
  <c r="EL94" i="4"/>
  <c r="EL156" i="4"/>
  <c r="EL5" i="4"/>
  <c r="EL50" i="4"/>
  <c r="EL106" i="4"/>
  <c r="EL161" i="4"/>
  <c r="EL9" i="4"/>
  <c r="EL51" i="4"/>
  <c r="EL56" i="4"/>
  <c r="EL114" i="4"/>
  <c r="EL41" i="4"/>
  <c r="EL45" i="4" s="1"/>
  <c r="EL52" i="4"/>
  <c r="EL80" i="4"/>
  <c r="EL116" i="4"/>
  <c r="EK83" i="4"/>
  <c r="EK160" i="4" s="1"/>
  <c r="EK158" i="4"/>
  <c r="EJ84" i="4"/>
  <c r="BL147" i="4"/>
  <c r="BL148" i="4"/>
  <c r="BL150" i="4" s="1"/>
  <c r="BM144" i="4" s="1"/>
  <c r="BK166" i="4"/>
  <c r="EM61" i="4" l="1"/>
  <c r="EM60" i="4"/>
  <c r="EM72" i="4"/>
  <c r="EK73" i="4"/>
  <c r="EM65" i="4"/>
  <c r="EM66" i="4"/>
  <c r="EO4" i="4"/>
  <c r="EP3" i="4"/>
  <c r="EO11" i="4"/>
  <c r="EO13" i="4"/>
  <c r="EO12" i="4"/>
  <c r="CT49" i="4"/>
  <c r="EK84" i="4"/>
  <c r="EL157" i="4"/>
  <c r="EL81" i="4"/>
  <c r="EL159" i="4" s="1"/>
  <c r="EL83" i="4"/>
  <c r="EL160" i="4" s="1"/>
  <c r="EL158" i="4"/>
  <c r="EL107" i="4"/>
  <c r="EL121" i="4"/>
  <c r="EL115" i="4"/>
  <c r="EL117" i="4"/>
  <c r="EM113" i="4" s="1"/>
  <c r="EL69" i="4"/>
  <c r="EL70" i="4" s="1"/>
  <c r="EM9" i="4"/>
  <c r="EM54" i="4"/>
  <c r="EM126" i="4"/>
  <c r="EM40" i="4"/>
  <c r="EM68" i="4" s="1"/>
  <c r="EM55" i="4"/>
  <c r="EM48" i="4"/>
  <c r="EM134" i="4"/>
  <c r="EM39" i="4"/>
  <c r="EM44" i="4" s="1"/>
  <c r="EM56" i="4"/>
  <c r="EM82" i="4"/>
  <c r="EM149" i="4"/>
  <c r="EM167" i="4" s="1"/>
  <c r="EM5" i="4"/>
  <c r="EM41" i="4"/>
  <c r="EM45" i="4" s="1"/>
  <c r="EM42" i="4"/>
  <c r="EM46" i="4" s="1"/>
  <c r="EM71" i="4"/>
  <c r="EM155" i="4"/>
  <c r="EN6" i="4"/>
  <c r="EM50" i="4"/>
  <c r="EM94" i="4"/>
  <c r="EM156" i="4"/>
  <c r="EM32" i="4"/>
  <c r="EM51" i="4"/>
  <c r="EM106" i="4"/>
  <c r="EM161" i="4"/>
  <c r="EM10" i="4"/>
  <c r="EM52" i="4"/>
  <c r="EM114" i="4"/>
  <c r="EM36" i="4"/>
  <c r="EM35" i="4" s="1"/>
  <c r="EM53" i="4"/>
  <c r="EM80" i="4"/>
  <c r="EM116" i="4"/>
  <c r="CU47" i="4"/>
  <c r="CU49" i="4" s="1"/>
  <c r="CV31" i="4"/>
  <c r="BM147" i="4"/>
  <c r="BM148" i="4"/>
  <c r="BL166" i="4"/>
  <c r="BM149" i="4" l="1"/>
  <c r="BM167" i="4" s="1"/>
  <c r="CU57" i="4"/>
  <c r="CU58" i="4" s="1"/>
  <c r="CT57" i="4"/>
  <c r="CT58" i="4" s="1"/>
  <c r="EL73" i="4"/>
  <c r="EN60" i="4"/>
  <c r="EN61" i="4"/>
  <c r="EN72" i="4"/>
  <c r="EN65" i="4"/>
  <c r="EN66" i="4"/>
  <c r="EP4" i="4"/>
  <c r="EP11" i="4"/>
  <c r="EQ3" i="4"/>
  <c r="EP12" i="4"/>
  <c r="EP13" i="4"/>
  <c r="EM107" i="4"/>
  <c r="EM121" i="4"/>
  <c r="EM83" i="4"/>
  <c r="EM160" i="4" s="1"/>
  <c r="EM158" i="4"/>
  <c r="EM157" i="4"/>
  <c r="EM81" i="4"/>
  <c r="EM159" i="4" s="1"/>
  <c r="EN48" i="4"/>
  <c r="EN55" i="4"/>
  <c r="EN80" i="4"/>
  <c r="EN149" i="4"/>
  <c r="EN167" i="4" s="1"/>
  <c r="EN10" i="4"/>
  <c r="EN36" i="4"/>
  <c r="EN35" i="4" s="1"/>
  <c r="EN40" i="4"/>
  <c r="EN68" i="4" s="1"/>
  <c r="EN155" i="4"/>
  <c r="EN5" i="4"/>
  <c r="EN41" i="4"/>
  <c r="EN45" i="4" s="1"/>
  <c r="EN94" i="4"/>
  <c r="EN156" i="4"/>
  <c r="EN9" i="4"/>
  <c r="EN50" i="4"/>
  <c r="EN116" i="4"/>
  <c r="EN161" i="4"/>
  <c r="EO6" i="4"/>
  <c r="EN51" i="4"/>
  <c r="EN114" i="4"/>
  <c r="EN32" i="4"/>
  <c r="EN52" i="4"/>
  <c r="EN71" i="4"/>
  <c r="EN106" i="4"/>
  <c r="EN42" i="4"/>
  <c r="EN46" i="4" s="1"/>
  <c r="EN53" i="4"/>
  <c r="EN56" i="4"/>
  <c r="EN126" i="4"/>
  <c r="EN39" i="4"/>
  <c r="EN44" i="4" s="1"/>
  <c r="EN54" i="4"/>
  <c r="EN82" i="4"/>
  <c r="EN134" i="4"/>
  <c r="CV47" i="4"/>
  <c r="CV49" i="4" s="1"/>
  <c r="CW31" i="4"/>
  <c r="EM115" i="4"/>
  <c r="EM117" i="4"/>
  <c r="EN113" i="4" s="1"/>
  <c r="EL84" i="4"/>
  <c r="EM69" i="4"/>
  <c r="EM70" i="4" s="1"/>
  <c r="BM166" i="4"/>
  <c r="BM150" i="4" l="1"/>
  <c r="BN144" i="4" s="1"/>
  <c r="CV57" i="4"/>
  <c r="CV58" i="4" s="1"/>
  <c r="EO61" i="4"/>
  <c r="EO72" i="4"/>
  <c r="EO60" i="4"/>
  <c r="EM73" i="4"/>
  <c r="EQ4" i="4"/>
  <c r="ER3" i="4"/>
  <c r="EQ13" i="4"/>
  <c r="EQ12" i="4"/>
  <c r="EQ11" i="4"/>
  <c r="EO65" i="4"/>
  <c r="EO66" i="4"/>
  <c r="CW47" i="4"/>
  <c r="CW49" i="4" s="1"/>
  <c r="CX31" i="4"/>
  <c r="EN69" i="4"/>
  <c r="EN70" i="4" s="1"/>
  <c r="EM84" i="4"/>
  <c r="EO39" i="4"/>
  <c r="EO44" i="4" s="1"/>
  <c r="EO52" i="4"/>
  <c r="EO71" i="4"/>
  <c r="EO40" i="4"/>
  <c r="EO68" i="4" s="1"/>
  <c r="EO53" i="4"/>
  <c r="EO82" i="4"/>
  <c r="EO155" i="4"/>
  <c r="EO41" i="4"/>
  <c r="EO45" i="4" s="1"/>
  <c r="EO54" i="4"/>
  <c r="EO80" i="4"/>
  <c r="EO161" i="4"/>
  <c r="EP6" i="4"/>
  <c r="EO42" i="4"/>
  <c r="EO46" i="4" s="1"/>
  <c r="EO55" i="4"/>
  <c r="EO94" i="4"/>
  <c r="EO156" i="4"/>
  <c r="EO5" i="4"/>
  <c r="EO48" i="4"/>
  <c r="EO56" i="4"/>
  <c r="EO106" i="4"/>
  <c r="EO134" i="4"/>
  <c r="EO9" i="4"/>
  <c r="EO32" i="4"/>
  <c r="EO114" i="4"/>
  <c r="EO149" i="4"/>
  <c r="EO167" i="4" s="1"/>
  <c r="EO10" i="4"/>
  <c r="EO50" i="4"/>
  <c r="EO116" i="4"/>
  <c r="EO36" i="4"/>
  <c r="EO35" i="4" s="1"/>
  <c r="EO51" i="4"/>
  <c r="EO126" i="4"/>
  <c r="EN81" i="4"/>
  <c r="EN159" i="4" s="1"/>
  <c r="EN157" i="4"/>
  <c r="EN121" i="4"/>
  <c r="EN107" i="4"/>
  <c r="EN83" i="4"/>
  <c r="EN160" i="4" s="1"/>
  <c r="EN158" i="4"/>
  <c r="EN115" i="4"/>
  <c r="EN117" i="4"/>
  <c r="EO113" i="4" s="1"/>
  <c r="BN148" i="4" l="1"/>
  <c r="BN147" i="4"/>
  <c r="CW57" i="4"/>
  <c r="CW58" i="4" s="1"/>
  <c r="EP72" i="4"/>
  <c r="EP61" i="4"/>
  <c r="EP60" i="4"/>
  <c r="EN73" i="4"/>
  <c r="EP65" i="4"/>
  <c r="EP66" i="4"/>
  <c r="ER4" i="4"/>
  <c r="ER11" i="4"/>
  <c r="ER13" i="4"/>
  <c r="ER12" i="4"/>
  <c r="ES3" i="4"/>
  <c r="EN84" i="4"/>
  <c r="EO107" i="4"/>
  <c r="EO121" i="4"/>
  <c r="EO83" i="4"/>
  <c r="EO160" i="4" s="1"/>
  <c r="EO158" i="4"/>
  <c r="EQ6" i="4"/>
  <c r="EP50" i="4"/>
  <c r="EP116" i="4"/>
  <c r="EP32" i="4"/>
  <c r="EP51" i="4"/>
  <c r="EP126" i="4"/>
  <c r="EP36" i="4"/>
  <c r="EP35" i="4" s="1"/>
  <c r="EP52" i="4"/>
  <c r="EP71" i="4"/>
  <c r="EP114" i="4"/>
  <c r="EP39" i="4"/>
  <c r="EP44" i="4" s="1"/>
  <c r="EP53" i="4"/>
  <c r="EP134" i="4"/>
  <c r="EP40" i="4"/>
  <c r="EP68" i="4" s="1"/>
  <c r="EP54" i="4"/>
  <c r="EP80" i="4"/>
  <c r="EP155" i="4"/>
  <c r="EP5" i="4"/>
  <c r="EP41" i="4"/>
  <c r="EP45" i="4" s="1"/>
  <c r="EP55" i="4"/>
  <c r="EP82" i="4"/>
  <c r="EP161" i="4"/>
  <c r="EP9" i="4"/>
  <c r="EP48" i="4"/>
  <c r="EP56" i="4"/>
  <c r="EP94" i="4"/>
  <c r="EP149" i="4"/>
  <c r="EP167" i="4" s="1"/>
  <c r="EP10" i="4"/>
  <c r="EP42" i="4"/>
  <c r="EP46" i="4" s="1"/>
  <c r="EP106" i="4"/>
  <c r="EP156" i="4"/>
  <c r="EO69" i="4"/>
  <c r="EO70" i="4" s="1"/>
  <c r="EO115" i="4"/>
  <c r="EO117" i="4"/>
  <c r="EP113" i="4" s="1"/>
  <c r="CX47" i="4"/>
  <c r="CY31" i="4"/>
  <c r="EO81" i="4"/>
  <c r="EO159" i="4" s="1"/>
  <c r="EO157" i="4"/>
  <c r="BN166" i="4" l="1"/>
  <c r="BN149" i="4"/>
  <c r="BN167" i="4" s="1"/>
  <c r="BO149" i="4"/>
  <c r="BO167" i="4" s="1"/>
  <c r="EO73" i="4"/>
  <c r="EQ61" i="4"/>
  <c r="EQ60" i="4"/>
  <c r="EQ72" i="4"/>
  <c r="EQ65" i="4"/>
  <c r="EQ66" i="4"/>
  <c r="ES4" i="4"/>
  <c r="ES11" i="4"/>
  <c r="ES12" i="4"/>
  <c r="ES13" i="4"/>
  <c r="ET3" i="4"/>
  <c r="CX49" i="4"/>
  <c r="EO84" i="4"/>
  <c r="CZ31" i="4"/>
  <c r="CY47" i="4"/>
  <c r="CY49" i="4" s="1"/>
  <c r="EP69" i="4"/>
  <c r="EP70" i="4" s="1"/>
  <c r="EQ39" i="4"/>
  <c r="EQ44" i="4" s="1"/>
  <c r="EQ52" i="4"/>
  <c r="EQ80" i="4"/>
  <c r="EQ134" i="4"/>
  <c r="EQ40" i="4"/>
  <c r="EQ68" i="4" s="1"/>
  <c r="EQ54" i="4"/>
  <c r="EQ71" i="4"/>
  <c r="EQ149" i="4"/>
  <c r="EQ167" i="4" s="1"/>
  <c r="EQ41" i="4"/>
  <c r="EQ45" i="4" s="1"/>
  <c r="EQ155" i="4"/>
  <c r="EQ5" i="4"/>
  <c r="EQ42" i="4"/>
  <c r="EQ46" i="4" s="1"/>
  <c r="EQ50" i="4"/>
  <c r="EQ156" i="4"/>
  <c r="ER6" i="4"/>
  <c r="EQ32" i="4"/>
  <c r="EQ53" i="4"/>
  <c r="EQ94" i="4"/>
  <c r="EQ126" i="4"/>
  <c r="EQ9" i="4"/>
  <c r="EQ48" i="4"/>
  <c r="EQ56" i="4"/>
  <c r="EQ106" i="4"/>
  <c r="EQ161" i="4"/>
  <c r="EQ10" i="4"/>
  <c r="EQ51" i="4"/>
  <c r="EQ116" i="4"/>
  <c r="EQ36" i="4"/>
  <c r="EQ35" i="4" s="1"/>
  <c r="EQ55" i="4"/>
  <c r="EQ82" i="4"/>
  <c r="EQ114" i="4"/>
  <c r="EP83" i="4"/>
  <c r="EP160" i="4" s="1"/>
  <c r="EP158" i="4"/>
  <c r="EP107" i="4"/>
  <c r="EP121" i="4"/>
  <c r="EP115" i="4"/>
  <c r="EP117" i="4"/>
  <c r="EQ113" i="4" s="1"/>
  <c r="EP81" i="4"/>
  <c r="EP159" i="4" s="1"/>
  <c r="EP157" i="4"/>
  <c r="BN150" i="4" l="1"/>
  <c r="BO144" i="4" s="1"/>
  <c r="BO148" i="4" s="1"/>
  <c r="BO150" i="4" s="1"/>
  <c r="BP144" i="4" s="1"/>
  <c r="CX57" i="4"/>
  <c r="CX58" i="4" s="1"/>
  <c r="CY57" i="4"/>
  <c r="CY58" i="4" s="1"/>
  <c r="ER61" i="4"/>
  <c r="ER72" i="4"/>
  <c r="ER60" i="4"/>
  <c r="EP73" i="4"/>
  <c r="ET11" i="4"/>
  <c r="ET4" i="4"/>
  <c r="ET13" i="4"/>
  <c r="D13" i="4" s="1"/>
  <c r="ET12" i="4"/>
  <c r="ER65" i="4"/>
  <c r="ER66" i="4"/>
  <c r="EP84" i="4"/>
  <c r="EQ83" i="4"/>
  <c r="EQ160" i="4" s="1"/>
  <c r="EQ158" i="4"/>
  <c r="ER32" i="4"/>
  <c r="ER52" i="4"/>
  <c r="ER42" i="4"/>
  <c r="ER46" i="4" s="1"/>
  <c r="ER116" i="4"/>
  <c r="ER36" i="4"/>
  <c r="ER35" i="4" s="1"/>
  <c r="ER53" i="4"/>
  <c r="ER71" i="4"/>
  <c r="ER126" i="4"/>
  <c r="ER41" i="4"/>
  <c r="ER45" i="4" s="1"/>
  <c r="ER54" i="4"/>
  <c r="ER134" i="4"/>
  <c r="ER39" i="4"/>
  <c r="ER44" i="4" s="1"/>
  <c r="ER55" i="4"/>
  <c r="ER80" i="4"/>
  <c r="ER149" i="4"/>
  <c r="ER167" i="4" s="1"/>
  <c r="ER5" i="4"/>
  <c r="ER48" i="4"/>
  <c r="ER56" i="4"/>
  <c r="ER82" i="4"/>
  <c r="ER155" i="4"/>
  <c r="ER9" i="4"/>
  <c r="ER40" i="4"/>
  <c r="ER68" i="4" s="1"/>
  <c r="ER94" i="4"/>
  <c r="ER156" i="4"/>
  <c r="ER10" i="4"/>
  <c r="ER50" i="4"/>
  <c r="ER106" i="4"/>
  <c r="ER161" i="4"/>
  <c r="ES6" i="4"/>
  <c r="ER51" i="4"/>
  <c r="ER114" i="4"/>
  <c r="EQ107" i="4"/>
  <c r="EQ121" i="4"/>
  <c r="EQ69" i="4"/>
  <c r="EQ70" i="4" s="1"/>
  <c r="CZ47" i="4"/>
  <c r="DA31" i="4"/>
  <c r="EQ115" i="4"/>
  <c r="EQ117" i="4"/>
  <c r="ER113" i="4" s="1"/>
  <c r="EQ81" i="4"/>
  <c r="EQ159" i="4" s="1"/>
  <c r="EQ157" i="4"/>
  <c r="BO147" i="4" l="1"/>
  <c r="BO166" i="4" s="1"/>
  <c r="BP147" i="4"/>
  <c r="BP148" i="4"/>
  <c r="BP150" i="4" s="1"/>
  <c r="BQ144" i="4" s="1"/>
  <c r="BQ149" i="4"/>
  <c r="BQ167" i="4" s="1"/>
  <c r="EQ73" i="4"/>
  <c r="ES72" i="4"/>
  <c r="ES61" i="4"/>
  <c r="ES60" i="4"/>
  <c r="ES65" i="4"/>
  <c r="ES66" i="4"/>
  <c r="L31" i="10"/>
  <c r="K31" i="10"/>
  <c r="J31" i="10"/>
  <c r="G31" i="10"/>
  <c r="F31" i="10"/>
  <c r="M31" i="10"/>
  <c r="I31" i="10"/>
  <c r="E31" i="10"/>
  <c r="K6" i="10"/>
  <c r="L6" i="10"/>
  <c r="D6" i="10"/>
  <c r="G6" i="10"/>
  <c r="H6" i="10"/>
  <c r="M6" i="10"/>
  <c r="J6" i="10"/>
  <c r="I6" i="10"/>
  <c r="E6" i="10"/>
  <c r="F6" i="10"/>
  <c r="D31" i="10"/>
  <c r="H31" i="10"/>
  <c r="CZ49" i="4"/>
  <c r="EQ84" i="4"/>
  <c r="ER117" i="4"/>
  <c r="ES113" i="4" s="1"/>
  <c r="ER115" i="4"/>
  <c r="ER83" i="4"/>
  <c r="ER160" i="4" s="1"/>
  <c r="ER158" i="4"/>
  <c r="ER107" i="4"/>
  <c r="ER121" i="4"/>
  <c r="DB31" i="4"/>
  <c r="DA47" i="4"/>
  <c r="DA49" i="4" s="1"/>
  <c r="ES32" i="4"/>
  <c r="ES48" i="4"/>
  <c r="ES80" i="4"/>
  <c r="ES156" i="4"/>
  <c r="ES5" i="4"/>
  <c r="ES42" i="4"/>
  <c r="ES46" i="4" s="1"/>
  <c r="ES55" i="4"/>
  <c r="ES82" i="4"/>
  <c r="ES155" i="4"/>
  <c r="ES9" i="4"/>
  <c r="ES41" i="4"/>
  <c r="ES45" i="4" s="1"/>
  <c r="ES106" i="4"/>
  <c r="ES161" i="4"/>
  <c r="ES10" i="4"/>
  <c r="ES50" i="4"/>
  <c r="ES71" i="4"/>
  <c r="ES114" i="4"/>
  <c r="ES149" i="4"/>
  <c r="ES167" i="4" s="1"/>
  <c r="ES36" i="4"/>
  <c r="ES35" i="4" s="1"/>
  <c r="ES51" i="4"/>
  <c r="ES116" i="4"/>
  <c r="ES39" i="4"/>
  <c r="ES44" i="4" s="1"/>
  <c r="ES52" i="4"/>
  <c r="ES56" i="4"/>
  <c r="ES126" i="4"/>
  <c r="ES40" i="4"/>
  <c r="ES68" i="4" s="1"/>
  <c r="ES53" i="4"/>
  <c r="ES94" i="4"/>
  <c r="ET6" i="4"/>
  <c r="ES54" i="4"/>
  <c r="ES134" i="4"/>
  <c r="ER69" i="4"/>
  <c r="ER70" i="4" s="1"/>
  <c r="ER81" i="4"/>
  <c r="ER159" i="4" s="1"/>
  <c r="ER157" i="4"/>
  <c r="DA57" i="4" l="1"/>
  <c r="DA58" i="4" s="1"/>
  <c r="CZ57" i="4"/>
  <c r="CZ58" i="4" s="1"/>
  <c r="BQ147" i="4"/>
  <c r="BQ148" i="4"/>
  <c r="BQ150" i="4" s="1"/>
  <c r="BR144" i="4" s="1"/>
  <c r="BP166" i="4"/>
  <c r="ET60" i="4"/>
  <c r="ET72" i="4"/>
  <c r="D72" i="4" s="1"/>
  <c r="ET61" i="4"/>
  <c r="ER73" i="4"/>
  <c r="C6" i="10"/>
  <c r="ET65" i="4"/>
  <c r="ET66" i="4"/>
  <c r="C31" i="10"/>
  <c r="ER84" i="4"/>
  <c r="ES81" i="4"/>
  <c r="ES159" i="4" s="1"/>
  <c r="ES157" i="4"/>
  <c r="ES69" i="4"/>
  <c r="ES83" i="4"/>
  <c r="ES160" i="4" s="1"/>
  <c r="ES158" i="4"/>
  <c r="ET40" i="4"/>
  <c r="ET68" i="4" s="1"/>
  <c r="ET56" i="4"/>
  <c r="ET82" i="4"/>
  <c r="ET149" i="4"/>
  <c r="ET167" i="4" s="1"/>
  <c r="ET42" i="4"/>
  <c r="ET46" i="4" s="1"/>
  <c r="ET80" i="4"/>
  <c r="ET155" i="4"/>
  <c r="ET10" i="4"/>
  <c r="ET41" i="4"/>
  <c r="ET45" i="4" s="1"/>
  <c r="ET94" i="4"/>
  <c r="ET156" i="4"/>
  <c r="ET5" i="4"/>
  <c r="ET39" i="4"/>
  <c r="ET44" i="4" s="1"/>
  <c r="ET55" i="4"/>
  <c r="ET106" i="4"/>
  <c r="ET161" i="4"/>
  <c r="ET9" i="4"/>
  <c r="ET50" i="4"/>
  <c r="ET54" i="4"/>
  <c r="ET114" i="4"/>
  <c r="ET32" i="4"/>
  <c r="ET51" i="4"/>
  <c r="ET116" i="4"/>
  <c r="ET48" i="4"/>
  <c r="ET52" i="4"/>
  <c r="ET71" i="4"/>
  <c r="ET126" i="4"/>
  <c r="ET36" i="4"/>
  <c r="ET35" i="4" s="1"/>
  <c r="ET53" i="4"/>
  <c r="ET134" i="4"/>
  <c r="ES121" i="4"/>
  <c r="ES107" i="4"/>
  <c r="DB47" i="4"/>
  <c r="DC31" i="4"/>
  <c r="ES115" i="4"/>
  <c r="ES117" i="4"/>
  <c r="ET113" i="4" s="1"/>
  <c r="BQ166" i="4" l="1"/>
  <c r="BR147" i="4"/>
  <c r="BR148" i="4"/>
  <c r="BR150" i="4" s="1"/>
  <c r="BS144" i="4" s="1"/>
  <c r="J7" i="6"/>
  <c r="J26" i="6"/>
  <c r="H26" i="6"/>
  <c r="I26" i="6"/>
  <c r="G23" i="6"/>
  <c r="D11" i="6"/>
  <c r="G4" i="6"/>
  <c r="D4" i="6"/>
  <c r="C4" i="6"/>
  <c r="C11" i="6"/>
  <c r="E11" i="6"/>
  <c r="G11" i="6"/>
  <c r="H23" i="6"/>
  <c r="F4" i="6"/>
  <c r="H4" i="6"/>
  <c r="F11" i="6"/>
  <c r="E4" i="6"/>
  <c r="I23" i="6"/>
  <c r="I11" i="6"/>
  <c r="J11" i="6"/>
  <c r="I4" i="6"/>
  <c r="J23" i="6"/>
  <c r="H11" i="6"/>
  <c r="J4" i="6"/>
  <c r="C7" i="6"/>
  <c r="E7" i="6"/>
  <c r="F7" i="6"/>
  <c r="I7" i="6"/>
  <c r="D7" i="6"/>
  <c r="G7" i="6"/>
  <c r="C8" i="6"/>
  <c r="C9" i="6"/>
  <c r="E8" i="6"/>
  <c r="H7" i="6"/>
  <c r="E18" i="6"/>
  <c r="D18" i="6"/>
  <c r="D8" i="6"/>
  <c r="D19" i="6"/>
  <c r="C18" i="6"/>
  <c r="C19" i="6"/>
  <c r="E19" i="6"/>
  <c r="D60" i="4"/>
  <c r="C25" i="6"/>
  <c r="D25" i="6"/>
  <c r="E25" i="6"/>
  <c r="F25" i="6"/>
  <c r="G25" i="6"/>
  <c r="H25" i="6"/>
  <c r="I25" i="6"/>
  <c r="J25" i="6"/>
  <c r="D55" i="4"/>
  <c r="C16" i="6"/>
  <c r="D16" i="6"/>
  <c r="E16" i="6"/>
  <c r="F16" i="6"/>
  <c r="G16" i="6"/>
  <c r="H16" i="6"/>
  <c r="I16" i="6"/>
  <c r="J16" i="6"/>
  <c r="D45" i="4"/>
  <c r="C5" i="6"/>
  <c r="D5" i="6"/>
  <c r="E5" i="6"/>
  <c r="F5" i="6"/>
  <c r="G5" i="6"/>
  <c r="H5" i="6"/>
  <c r="I5" i="6"/>
  <c r="J5" i="6"/>
  <c r="D51" i="4"/>
  <c r="C12" i="6"/>
  <c r="D12" i="6"/>
  <c r="E12" i="6"/>
  <c r="F12" i="6"/>
  <c r="G12" i="6"/>
  <c r="H12" i="6"/>
  <c r="I12" i="6"/>
  <c r="J12" i="6"/>
  <c r="D53" i="4"/>
  <c r="C14" i="6"/>
  <c r="D14" i="6"/>
  <c r="E14" i="6"/>
  <c r="F14" i="6"/>
  <c r="G14" i="6"/>
  <c r="H14" i="6"/>
  <c r="I14" i="6"/>
  <c r="J14" i="6"/>
  <c r="D54" i="4"/>
  <c r="C15" i="6"/>
  <c r="D15" i="6"/>
  <c r="E15" i="6"/>
  <c r="F15" i="6"/>
  <c r="G15" i="6"/>
  <c r="H15" i="6"/>
  <c r="I15" i="6"/>
  <c r="J15" i="6"/>
  <c r="D52" i="4"/>
  <c r="C13" i="6"/>
  <c r="D13" i="6"/>
  <c r="E13" i="6"/>
  <c r="F13" i="6"/>
  <c r="G13" i="6"/>
  <c r="H13" i="6"/>
  <c r="I13" i="6"/>
  <c r="J13" i="6"/>
  <c r="D56" i="4"/>
  <c r="C17" i="6"/>
  <c r="D17" i="6"/>
  <c r="E17" i="6"/>
  <c r="F17" i="6"/>
  <c r="G17" i="6"/>
  <c r="H17" i="6"/>
  <c r="I17" i="6"/>
  <c r="J17" i="6"/>
  <c r="D48" i="4"/>
  <c r="D9" i="6"/>
  <c r="E9" i="6"/>
  <c r="F9" i="6"/>
  <c r="G9" i="6"/>
  <c r="H9" i="6"/>
  <c r="I9" i="6"/>
  <c r="J9" i="6"/>
  <c r="D46" i="4"/>
  <c r="C6" i="6"/>
  <c r="D6" i="6"/>
  <c r="E6" i="6"/>
  <c r="F6" i="6"/>
  <c r="G6" i="6"/>
  <c r="H6" i="6"/>
  <c r="I6" i="6"/>
  <c r="J6" i="6"/>
  <c r="DB49" i="4"/>
  <c r="D9" i="4"/>
  <c r="D4" i="10"/>
  <c r="E4" i="10"/>
  <c r="F4" i="10"/>
  <c r="G4" i="10"/>
  <c r="H4" i="10"/>
  <c r="I4" i="10"/>
  <c r="J4" i="10"/>
  <c r="K4" i="10"/>
  <c r="L4" i="10"/>
  <c r="M4" i="10"/>
  <c r="H5" i="10"/>
  <c r="I5" i="10"/>
  <c r="J5" i="10"/>
  <c r="K5" i="10"/>
  <c r="L5" i="10"/>
  <c r="M5" i="10"/>
  <c r="K21" i="10"/>
  <c r="L21" i="10"/>
  <c r="M21" i="10"/>
  <c r="K27" i="10"/>
  <c r="L27" i="10"/>
  <c r="M27" i="10"/>
  <c r="K22" i="10"/>
  <c r="L22" i="10"/>
  <c r="M22" i="10"/>
  <c r="D33" i="10"/>
  <c r="E33" i="10"/>
  <c r="F33" i="10"/>
  <c r="G33" i="10"/>
  <c r="H33" i="10"/>
  <c r="K33" i="10"/>
  <c r="L33" i="10"/>
  <c r="M33" i="10"/>
  <c r="D44" i="4"/>
  <c r="ET81" i="4"/>
  <c r="ET159" i="4" s="1"/>
  <c r="ET157" i="4"/>
  <c r="DC47" i="4"/>
  <c r="DC49" i="4" s="1"/>
  <c r="DD31" i="4"/>
  <c r="D50" i="4"/>
  <c r="ET83" i="4"/>
  <c r="ET160" i="4" s="1"/>
  <c r="ET158" i="4"/>
  <c r="ES70" i="4"/>
  <c r="ES73" i="4" s="1"/>
  <c r="ET117" i="4"/>
  <c r="ET115" i="4"/>
  <c r="ET107" i="4"/>
  <c r="ET121" i="4"/>
  <c r="ES84" i="4"/>
  <c r="ET69" i="4"/>
  <c r="ET70" i="4" s="1"/>
  <c r="DC57" i="4" l="1"/>
  <c r="DC58" i="4" s="1"/>
  <c r="DB57" i="4"/>
  <c r="DB58" i="4" s="1"/>
  <c r="BS148" i="4"/>
  <c r="BS150" i="4" s="1"/>
  <c r="BT144" i="4" s="1"/>
  <c r="BS147" i="4"/>
  <c r="BR166" i="4"/>
  <c r="ET73" i="4"/>
  <c r="D73" i="4" s="1"/>
  <c r="C10" i="6"/>
  <c r="D10" i="6"/>
  <c r="E10" i="6"/>
  <c r="D24" i="10"/>
  <c r="E24" i="10"/>
  <c r="F24" i="10"/>
  <c r="K24" i="10"/>
  <c r="L24" i="10"/>
  <c r="M24" i="10"/>
  <c r="D25" i="10"/>
  <c r="E25" i="10"/>
  <c r="F25" i="10"/>
  <c r="K25" i="10"/>
  <c r="L25" i="10"/>
  <c r="M25" i="10"/>
  <c r="D26" i="10"/>
  <c r="E26" i="10"/>
  <c r="F26" i="10"/>
  <c r="K26" i="10"/>
  <c r="L26" i="10"/>
  <c r="M26" i="10"/>
  <c r="C4" i="10"/>
  <c r="D23" i="10"/>
  <c r="E23" i="10"/>
  <c r="F23" i="10"/>
  <c r="K23" i="10"/>
  <c r="L23" i="10"/>
  <c r="M23" i="10"/>
  <c r="DD47" i="4"/>
  <c r="DD49" i="4" s="1"/>
  <c r="DE31" i="4"/>
  <c r="ET84" i="4"/>
  <c r="BS166" i="4" l="1"/>
  <c r="DD57" i="4"/>
  <c r="DD58" i="4" s="1"/>
  <c r="BT147" i="4"/>
  <c r="BT148" i="4"/>
  <c r="BT150" i="4" s="1"/>
  <c r="BU144" i="4" s="1"/>
  <c r="DE47" i="4"/>
  <c r="DE49" i="4" s="1"/>
  <c r="DF31" i="4"/>
  <c r="DE57" i="4" l="1"/>
  <c r="DE58" i="4" s="1"/>
  <c r="BU147" i="4"/>
  <c r="BU148" i="4"/>
  <c r="BU150" i="4" s="1"/>
  <c r="BV144" i="4" s="1"/>
  <c r="BT166" i="4"/>
  <c r="DF47" i="4"/>
  <c r="DF49" i="4" s="1"/>
  <c r="DG31" i="4"/>
  <c r="DF57" i="4" l="1"/>
  <c r="DF58" i="4" s="1"/>
  <c r="BV148" i="4"/>
  <c r="BV150" i="4" s="1"/>
  <c r="BW144" i="4" s="1"/>
  <c r="BV147" i="4"/>
  <c r="BU166" i="4"/>
  <c r="DG47" i="4"/>
  <c r="DG49" i="4" s="1"/>
  <c r="DH31" i="4"/>
  <c r="BV166" i="4" l="1"/>
  <c r="DG57" i="4"/>
  <c r="DG58" i="4" s="1"/>
  <c r="BW147" i="4"/>
  <c r="BW148" i="4"/>
  <c r="BW150" i="4" s="1"/>
  <c r="BX144" i="4" s="1"/>
  <c r="DH47" i="4"/>
  <c r="DH49" i="4" s="1"/>
  <c r="DI31" i="4"/>
  <c r="DH57" i="4" l="1"/>
  <c r="DH58" i="4" s="1"/>
  <c r="BW166" i="4"/>
  <c r="BX148" i="4"/>
  <c r="BX150" i="4" s="1"/>
  <c r="BY144" i="4" s="1"/>
  <c r="BX147" i="4"/>
  <c r="DI47" i="4"/>
  <c r="DI49" i="4" s="1"/>
  <c r="DJ31" i="4"/>
  <c r="DI57" i="4" l="1"/>
  <c r="DI58" i="4" s="1"/>
  <c r="BX166" i="4"/>
  <c r="BY148" i="4"/>
  <c r="BY147" i="4"/>
  <c r="DK31" i="4"/>
  <c r="DJ47" i="4"/>
  <c r="F75" i="4"/>
  <c r="F139" i="4" s="1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V77" i="4" s="1"/>
  <c r="W75" i="4"/>
  <c r="X75" i="4"/>
  <c r="Y75" i="4"/>
  <c r="Z75" i="4"/>
  <c r="AA75" i="4"/>
  <c r="AA139" i="4" s="1"/>
  <c r="AB75" i="4"/>
  <c r="AC75" i="4"/>
  <c r="AD75" i="4"/>
  <c r="AD139" i="4" s="1"/>
  <c r="AE75" i="4"/>
  <c r="AF75" i="4"/>
  <c r="AG75" i="4"/>
  <c r="AG139" i="4" s="1"/>
  <c r="AH75" i="4"/>
  <c r="AI75" i="4"/>
  <c r="AJ75" i="4"/>
  <c r="AK75" i="4"/>
  <c r="AL75" i="4"/>
  <c r="AM75" i="4"/>
  <c r="AN75" i="4"/>
  <c r="AO75" i="4"/>
  <c r="AP75" i="4"/>
  <c r="AQ75" i="4"/>
  <c r="AQ139" i="4" s="1"/>
  <c r="AR75" i="4"/>
  <c r="AS75" i="4"/>
  <c r="AS139" i="4" s="1"/>
  <c r="AT75" i="4"/>
  <c r="AT139" i="4" s="1"/>
  <c r="AU75" i="4"/>
  <c r="AU139" i="4" s="1"/>
  <c r="AV75" i="4"/>
  <c r="AV139" i="4" s="1"/>
  <c r="AW75" i="4"/>
  <c r="AW139" i="4" s="1"/>
  <c r="AX75" i="4"/>
  <c r="AX139" i="4" s="1"/>
  <c r="AY75" i="4"/>
  <c r="AY139" i="4" s="1"/>
  <c r="AZ75" i="4"/>
  <c r="AZ139" i="4" s="1"/>
  <c r="BA75" i="4"/>
  <c r="BA139" i="4" s="1"/>
  <c r="BB75" i="4"/>
  <c r="BB139" i="4" s="1"/>
  <c r="BC75" i="4"/>
  <c r="BC139" i="4" s="1"/>
  <c r="BD75" i="4"/>
  <c r="BD139" i="4" s="1"/>
  <c r="BE75" i="4"/>
  <c r="BE139" i="4" s="1"/>
  <c r="BF75" i="4"/>
  <c r="BF139" i="4" s="1"/>
  <c r="BG75" i="4"/>
  <c r="BG139" i="4" s="1"/>
  <c r="BH75" i="4"/>
  <c r="BI75" i="4"/>
  <c r="BI139" i="4" s="1"/>
  <c r="BJ75" i="4"/>
  <c r="BJ139" i="4" s="1"/>
  <c r="BK75" i="4"/>
  <c r="BK139" i="4" s="1"/>
  <c r="BL75" i="4"/>
  <c r="BL139" i="4" s="1"/>
  <c r="BM75" i="4"/>
  <c r="BM139" i="4" s="1"/>
  <c r="BN75" i="4"/>
  <c r="BO75" i="4"/>
  <c r="BO139" i="4" s="1"/>
  <c r="BP75" i="4"/>
  <c r="BQ75" i="4"/>
  <c r="BQ139" i="4" s="1"/>
  <c r="BR75" i="4"/>
  <c r="BR139" i="4" s="1"/>
  <c r="BS75" i="4"/>
  <c r="BS139" i="4" s="1"/>
  <c r="BT75" i="4"/>
  <c r="BT139" i="4" s="1"/>
  <c r="BU75" i="4"/>
  <c r="BU139" i="4" s="1"/>
  <c r="BV75" i="4"/>
  <c r="BV139" i="4" s="1"/>
  <c r="BW75" i="4"/>
  <c r="BW139" i="4" s="1"/>
  <c r="BX75" i="4"/>
  <c r="BX139" i="4" s="1"/>
  <c r="BY75" i="4"/>
  <c r="BY139" i="4" s="1"/>
  <c r="BZ75" i="4"/>
  <c r="N139" i="4"/>
  <c r="F23" i="6" l="1"/>
  <c r="BY149" i="4"/>
  <c r="BY167" i="4" s="1"/>
  <c r="I33" i="10" s="1"/>
  <c r="U139" i="4"/>
  <c r="I139" i="4"/>
  <c r="BY166" i="4"/>
  <c r="V139" i="4"/>
  <c r="V141" i="4" s="1"/>
  <c r="V15" i="4" s="1"/>
  <c r="Q139" i="4"/>
  <c r="R139" i="4"/>
  <c r="AL139" i="4"/>
  <c r="D23" i="6"/>
  <c r="O139" i="4"/>
  <c r="BN139" i="4"/>
  <c r="E23" i="6"/>
  <c r="AP139" i="4"/>
  <c r="C23" i="6"/>
  <c r="AM139" i="4"/>
  <c r="DJ49" i="4"/>
  <c r="BZ139" i="4"/>
  <c r="AK139" i="4"/>
  <c r="M139" i="4"/>
  <c r="AC139" i="4"/>
  <c r="AF139" i="4"/>
  <c r="P139" i="4"/>
  <c r="X139" i="4"/>
  <c r="AN139" i="4"/>
  <c r="H139" i="4"/>
  <c r="DK47" i="4"/>
  <c r="DK49" i="4" s="1"/>
  <c r="DL31" i="4"/>
  <c r="S139" i="4"/>
  <c r="K139" i="4"/>
  <c r="AI139" i="4"/>
  <c r="J139" i="4"/>
  <c r="Z139" i="4"/>
  <c r="AH139" i="4"/>
  <c r="Y139" i="4"/>
  <c r="G139" i="4"/>
  <c r="AO139" i="4"/>
  <c r="W139" i="4"/>
  <c r="AE139" i="4"/>
  <c r="L139" i="4"/>
  <c r="AB139" i="4"/>
  <c r="T139" i="4"/>
  <c r="AJ139" i="4"/>
  <c r="BP139" i="4"/>
  <c r="AR139" i="4"/>
  <c r="BH139" i="4"/>
  <c r="BY150" i="4" l="1"/>
  <c r="BZ144" i="4" s="1"/>
  <c r="DJ57" i="4"/>
  <c r="DJ58" i="4" s="1"/>
  <c r="DK57" i="4"/>
  <c r="DK58" i="4" s="1"/>
  <c r="DM31" i="4"/>
  <c r="DL47" i="4"/>
  <c r="BZ147" i="4" l="1"/>
  <c r="BZ148" i="4"/>
  <c r="BZ150" i="4" s="1"/>
  <c r="CA144" i="4" s="1"/>
  <c r="DL49" i="4"/>
  <c r="DN31" i="4"/>
  <c r="DM47" i="4"/>
  <c r="DM49" i="4" s="1"/>
  <c r="CA147" i="4" l="1"/>
  <c r="CA148" i="4"/>
  <c r="CA150" i="4" s="1"/>
  <c r="CB144" i="4" s="1"/>
  <c r="BZ166" i="4"/>
  <c r="DM57" i="4"/>
  <c r="DM58" i="4" s="1"/>
  <c r="DL57" i="4"/>
  <c r="DL58" i="4" s="1"/>
  <c r="DN47" i="4"/>
  <c r="DO31" i="4"/>
  <c r="CB147" i="4" l="1"/>
  <c r="CB148" i="4"/>
  <c r="CB150" i="4" s="1"/>
  <c r="CC144" i="4" s="1"/>
  <c r="CA166" i="4"/>
  <c r="DN49" i="4"/>
  <c r="DO47" i="4"/>
  <c r="DO49" i="4" s="1"/>
  <c r="DP31" i="4"/>
  <c r="CC148" i="4" l="1"/>
  <c r="CC150" i="4" s="1"/>
  <c r="CD144" i="4" s="1"/>
  <c r="CC147" i="4"/>
  <c r="CB166" i="4"/>
  <c r="DO57" i="4"/>
  <c r="DO58" i="4" s="1"/>
  <c r="DN57" i="4"/>
  <c r="DN58" i="4" s="1"/>
  <c r="DP47" i="4"/>
  <c r="DQ31" i="4"/>
  <c r="CC166" i="4" l="1"/>
  <c r="CD147" i="4"/>
  <c r="CD148" i="4"/>
  <c r="CD150" i="4" s="1"/>
  <c r="CE144" i="4" s="1"/>
  <c r="DP49" i="4"/>
  <c r="DQ47" i="4"/>
  <c r="DQ49" i="4" s="1"/>
  <c r="DR31" i="4"/>
  <c r="CE147" i="4" l="1"/>
  <c r="CE148" i="4"/>
  <c r="CE150" i="4" s="1"/>
  <c r="CF144" i="4" s="1"/>
  <c r="CD166" i="4"/>
  <c r="DQ57" i="4"/>
  <c r="DQ58" i="4" s="1"/>
  <c r="DP57" i="4"/>
  <c r="DP58" i="4" s="1"/>
  <c r="DR47" i="4"/>
  <c r="DS31" i="4"/>
  <c r="CF148" i="4" l="1"/>
  <c r="CF150" i="4" s="1"/>
  <c r="CG144" i="4" s="1"/>
  <c r="CF147" i="4"/>
  <c r="CE166" i="4"/>
  <c r="DR49" i="4"/>
  <c r="DS47" i="4"/>
  <c r="DS49" i="4" s="1"/>
  <c r="DT31" i="4"/>
  <c r="CF166" i="4" l="1"/>
  <c r="CG148" i="4"/>
  <c r="CG150" i="4" s="1"/>
  <c r="CH144" i="4" s="1"/>
  <c r="CG147" i="4"/>
  <c r="DR57" i="4"/>
  <c r="DR58" i="4" s="1"/>
  <c r="DS57" i="4"/>
  <c r="DS58" i="4" s="1"/>
  <c r="DT47" i="4"/>
  <c r="DT49" i="4" s="1"/>
  <c r="DU31" i="4"/>
  <c r="CG166" i="4" l="1"/>
  <c r="CH148" i="4"/>
  <c r="CH150" i="4" s="1"/>
  <c r="CI144" i="4" s="1"/>
  <c r="CH147" i="4"/>
  <c r="CH166" i="4" s="1"/>
  <c r="DT57" i="4"/>
  <c r="DT58" i="4" s="1"/>
  <c r="DU47" i="4"/>
  <c r="DU49" i="4" s="1"/>
  <c r="DV31" i="4"/>
  <c r="CI148" i="4" l="1"/>
  <c r="CI150" i="4" s="1"/>
  <c r="CJ144" i="4" s="1"/>
  <c r="CI147" i="4"/>
  <c r="DU57" i="4"/>
  <c r="DU58" i="4" s="1"/>
  <c r="DV47" i="4"/>
  <c r="DW31" i="4"/>
  <c r="CI166" i="4" l="1"/>
  <c r="CJ147" i="4"/>
  <c r="CJ148" i="4"/>
  <c r="CJ150" i="4" s="1"/>
  <c r="CK144" i="4" s="1"/>
  <c r="DV49" i="4"/>
  <c r="DW47" i="4"/>
  <c r="DW49" i="4" s="1"/>
  <c r="DX31" i="4"/>
  <c r="CK147" i="4" l="1"/>
  <c r="CK148" i="4"/>
  <c r="CJ166" i="4"/>
  <c r="DW57" i="4"/>
  <c r="DW58" i="4" s="1"/>
  <c r="DV57" i="4"/>
  <c r="DV58" i="4" s="1"/>
  <c r="DX47" i="4"/>
  <c r="DY31" i="4"/>
  <c r="CK149" i="4" l="1"/>
  <c r="CK167" i="4" s="1"/>
  <c r="J33" i="10" s="1"/>
  <c r="C33" i="10" s="1"/>
  <c r="CK166" i="4"/>
  <c r="DX49" i="4"/>
  <c r="DY47" i="4"/>
  <c r="DY49" i="4" s="1"/>
  <c r="DZ31" i="4"/>
  <c r="CK150" i="4" l="1"/>
  <c r="CL144" i="4" s="1"/>
  <c r="DY57" i="4"/>
  <c r="DY58" i="4" s="1"/>
  <c r="DX57" i="4"/>
  <c r="DX58" i="4" s="1"/>
  <c r="DZ47" i="4"/>
  <c r="EA31" i="4"/>
  <c r="CL147" i="4" l="1"/>
  <c r="CL148" i="4"/>
  <c r="CL150" i="4" s="1"/>
  <c r="CM144" i="4" s="1"/>
  <c r="DZ49" i="4"/>
  <c r="EA47" i="4"/>
  <c r="EA49" i="4" s="1"/>
  <c r="EB31" i="4"/>
  <c r="CM148" i="4" l="1"/>
  <c r="CM150" i="4" s="1"/>
  <c r="CN144" i="4" s="1"/>
  <c r="CM147" i="4"/>
  <c r="CM166" i="4" s="1"/>
  <c r="CL166" i="4"/>
  <c r="EA57" i="4"/>
  <c r="EA58" i="4" s="1"/>
  <c r="DZ57" i="4"/>
  <c r="DZ58" i="4" s="1"/>
  <c r="EB47" i="4"/>
  <c r="EC31" i="4"/>
  <c r="CN147" i="4" l="1"/>
  <c r="CN148" i="4"/>
  <c r="CN150" i="4" s="1"/>
  <c r="CO144" i="4" s="1"/>
  <c r="EB49" i="4"/>
  <c r="EC47" i="4"/>
  <c r="EC49" i="4" s="1"/>
  <c r="ED31" i="4"/>
  <c r="CO148" i="4" l="1"/>
  <c r="CO150" i="4" s="1"/>
  <c r="CP144" i="4" s="1"/>
  <c r="CO147" i="4"/>
  <c r="CN166" i="4"/>
  <c r="EC57" i="4"/>
  <c r="EC58" i="4" s="1"/>
  <c r="EB57" i="4"/>
  <c r="EB58" i="4" s="1"/>
  <c r="ED47" i="4"/>
  <c r="EE31" i="4"/>
  <c r="CO166" i="4" l="1"/>
  <c r="CP147" i="4"/>
  <c r="CP148" i="4"/>
  <c r="CP150" i="4" s="1"/>
  <c r="CQ144" i="4" s="1"/>
  <c r="ED49" i="4"/>
  <c r="EE47" i="4"/>
  <c r="EE49" i="4" s="1"/>
  <c r="EF31" i="4"/>
  <c r="CQ148" i="4" l="1"/>
  <c r="CQ150" i="4" s="1"/>
  <c r="CR144" i="4" s="1"/>
  <c r="CQ147" i="4"/>
  <c r="CQ166" i="4" s="1"/>
  <c r="CP166" i="4"/>
  <c r="ED57" i="4"/>
  <c r="ED58" i="4" s="1"/>
  <c r="EE57" i="4"/>
  <c r="EE58" i="4" s="1"/>
  <c r="EF47" i="4"/>
  <c r="EF49" i="4" s="1"/>
  <c r="EG31" i="4"/>
  <c r="CR148" i="4" l="1"/>
  <c r="CR150" i="4" s="1"/>
  <c r="CS144" i="4" s="1"/>
  <c r="CR147" i="4"/>
  <c r="CR166" i="4" s="1"/>
  <c r="EF57" i="4"/>
  <c r="EF58" i="4" s="1"/>
  <c r="EG47" i="4"/>
  <c r="EG49" i="4" s="1"/>
  <c r="EH31" i="4"/>
  <c r="CS147" i="4" l="1"/>
  <c r="CS148" i="4"/>
  <c r="CS150" i="4" s="1"/>
  <c r="CT144" i="4" s="1"/>
  <c r="EG57" i="4"/>
  <c r="EG58" i="4" s="1"/>
  <c r="EH47" i="4"/>
  <c r="EH49" i="4" s="1"/>
  <c r="EI31" i="4"/>
  <c r="CT148" i="4" l="1"/>
  <c r="CT150" i="4" s="1"/>
  <c r="CU144" i="4" s="1"/>
  <c r="CT147" i="4"/>
  <c r="CT166" i="4" s="1"/>
  <c r="CS166" i="4"/>
  <c r="EH57" i="4"/>
  <c r="EH58" i="4" s="1"/>
  <c r="EI47" i="4"/>
  <c r="EI49" i="4" s="1"/>
  <c r="EJ31" i="4"/>
  <c r="CU147" i="4" l="1"/>
  <c r="CU148" i="4"/>
  <c r="CU150" i="4" s="1"/>
  <c r="CV144" i="4" s="1"/>
  <c r="EI57" i="4"/>
  <c r="EI58" i="4" s="1"/>
  <c r="EJ47" i="4"/>
  <c r="EJ49" i="4" s="1"/>
  <c r="EK31" i="4"/>
  <c r="CV148" i="4" l="1"/>
  <c r="CV150" i="4" s="1"/>
  <c r="CW144" i="4" s="1"/>
  <c r="CV147" i="4"/>
  <c r="CV166" i="4" s="1"/>
  <c r="CU166" i="4"/>
  <c r="EJ57" i="4"/>
  <c r="EJ58" i="4" s="1"/>
  <c r="EK47" i="4"/>
  <c r="EK49" i="4" s="1"/>
  <c r="EL31" i="4"/>
  <c r="CW147" i="4" l="1"/>
  <c r="CW148" i="4"/>
  <c r="CW150" i="4" s="1"/>
  <c r="CX144" i="4" s="1"/>
  <c r="EK57" i="4"/>
  <c r="EK58" i="4" s="1"/>
  <c r="EL47" i="4"/>
  <c r="EL49" i="4" s="1"/>
  <c r="EM31" i="4"/>
  <c r="CX147" i="4" l="1"/>
  <c r="CX148" i="4"/>
  <c r="CX150" i="4" s="1"/>
  <c r="CY144" i="4" s="1"/>
  <c r="CW166" i="4"/>
  <c r="EL57" i="4"/>
  <c r="EL58" i="4" s="1"/>
  <c r="EM47" i="4"/>
  <c r="EM49" i="4" s="1"/>
  <c r="EN31" i="4"/>
  <c r="CY148" i="4" l="1"/>
  <c r="CY150" i="4" s="1"/>
  <c r="CZ144" i="4" s="1"/>
  <c r="CY147" i="4"/>
  <c r="CY166" i="4" s="1"/>
  <c r="CX166" i="4"/>
  <c r="EM57" i="4"/>
  <c r="EM58" i="4" s="1"/>
  <c r="EN47" i="4"/>
  <c r="EN49" i="4" s="1"/>
  <c r="EO31" i="4"/>
  <c r="CZ147" i="4" l="1"/>
  <c r="CZ148" i="4"/>
  <c r="CZ150" i="4" s="1"/>
  <c r="DA144" i="4" s="1"/>
  <c r="EN57" i="4"/>
  <c r="EN58" i="4" s="1"/>
  <c r="EO47" i="4"/>
  <c r="EO49" i="4" s="1"/>
  <c r="EP31" i="4"/>
  <c r="DA148" i="4" l="1"/>
  <c r="DA150" i="4" s="1"/>
  <c r="DB144" i="4" s="1"/>
  <c r="DA147" i="4"/>
  <c r="DA166" i="4" s="1"/>
  <c r="CZ166" i="4"/>
  <c r="EO57" i="4"/>
  <c r="EO58" i="4" s="1"/>
  <c r="EP47" i="4"/>
  <c r="EP49" i="4" s="1"/>
  <c r="EQ31" i="4"/>
  <c r="DB147" i="4" l="1"/>
  <c r="DB148" i="4"/>
  <c r="DB150" i="4" s="1"/>
  <c r="DC144" i="4" s="1"/>
  <c r="EP57" i="4"/>
  <c r="EP58" i="4" s="1"/>
  <c r="EQ47" i="4"/>
  <c r="EQ49" i="4" s="1"/>
  <c r="ER31" i="4"/>
  <c r="DC147" i="4" l="1"/>
  <c r="DC148" i="4"/>
  <c r="DC150" i="4" s="1"/>
  <c r="DD144" i="4" s="1"/>
  <c r="DB166" i="4"/>
  <c r="EQ57" i="4"/>
  <c r="EQ58" i="4" s="1"/>
  <c r="ER47" i="4"/>
  <c r="ER49" i="4" s="1"/>
  <c r="ES31" i="4"/>
  <c r="DD148" i="4" l="1"/>
  <c r="DD150" i="4" s="1"/>
  <c r="DE144" i="4" s="1"/>
  <c r="DD147" i="4"/>
  <c r="DC166" i="4"/>
  <c r="ER57" i="4"/>
  <c r="ER58" i="4" s="1"/>
  <c r="ES47" i="4"/>
  <c r="ES49" i="4" s="1"/>
  <c r="ET31" i="4"/>
  <c r="ET47" i="4" s="1"/>
  <c r="DD166" i="4" l="1"/>
  <c r="DE148" i="4"/>
  <c r="DE150" i="4" s="1"/>
  <c r="DF144" i="4" s="1"/>
  <c r="DE147" i="4"/>
  <c r="ES57" i="4"/>
  <c r="ES58" i="4" s="1"/>
  <c r="F8" i="6"/>
  <c r="F10" i="6" s="1"/>
  <c r="G8" i="6"/>
  <c r="G10" i="6" s="1"/>
  <c r="H8" i="6"/>
  <c r="H10" i="6" s="1"/>
  <c r="I8" i="6"/>
  <c r="I10" i="6" s="1"/>
  <c r="J8" i="6"/>
  <c r="J10" i="6" s="1"/>
  <c r="D47" i="4"/>
  <c r="ET49" i="4"/>
  <c r="DE166" i="4" l="1"/>
  <c r="DF148" i="4"/>
  <c r="DF150" i="4" s="1"/>
  <c r="DG144" i="4" s="1"/>
  <c r="DF147" i="4"/>
  <c r="ET57" i="4"/>
  <c r="ET58" i="4" s="1"/>
  <c r="D49" i="4"/>
  <c r="DF166" i="4" l="1"/>
  <c r="DG148" i="4"/>
  <c r="DG150" i="4" s="1"/>
  <c r="DH144" i="4" s="1"/>
  <c r="DG147" i="4"/>
  <c r="F18" i="6"/>
  <c r="G18" i="6"/>
  <c r="H18" i="6"/>
  <c r="I18" i="6"/>
  <c r="J18" i="6"/>
  <c r="D57" i="4"/>
  <c r="DG166" i="4" l="1"/>
  <c r="DH147" i="4"/>
  <c r="DH148" i="4"/>
  <c r="DH150" i="4" s="1"/>
  <c r="DI144" i="4" s="1"/>
  <c r="D58" i="4"/>
  <c r="F19" i="6"/>
  <c r="G19" i="6"/>
  <c r="H19" i="6"/>
  <c r="I19" i="6"/>
  <c r="J19" i="6"/>
  <c r="DI147" i="4" l="1"/>
  <c r="DI148" i="4"/>
  <c r="DI150" i="4" s="1"/>
  <c r="DJ144" i="4" s="1"/>
  <c r="DH166" i="4"/>
  <c r="DJ147" i="4" l="1"/>
  <c r="DJ148" i="4"/>
  <c r="DJ150" i="4" s="1"/>
  <c r="DK144" i="4" s="1"/>
  <c r="DI166" i="4"/>
  <c r="DK147" i="4" l="1"/>
  <c r="DK148" i="4"/>
  <c r="DK150" i="4" s="1"/>
  <c r="DL144" i="4" s="1"/>
  <c r="DJ166" i="4"/>
  <c r="DL148" i="4" l="1"/>
  <c r="DL150" i="4" s="1"/>
  <c r="DM144" i="4" s="1"/>
  <c r="DL147" i="4"/>
  <c r="DL166" i="4" s="1"/>
  <c r="DK166" i="4"/>
  <c r="DM147" i="4" l="1"/>
  <c r="DM148" i="4"/>
  <c r="DM150" i="4" s="1"/>
  <c r="DN144" i="4" s="1"/>
  <c r="DN147" i="4" l="1"/>
  <c r="DN148" i="4"/>
  <c r="DN150" i="4" s="1"/>
  <c r="DO144" i="4" s="1"/>
  <c r="DM166" i="4"/>
  <c r="DN166" i="4" l="1"/>
  <c r="DO148" i="4"/>
  <c r="DO150" i="4" s="1"/>
  <c r="DP144" i="4" s="1"/>
  <c r="DO147" i="4"/>
  <c r="DO166" i="4" s="1"/>
  <c r="DP148" i="4" l="1"/>
  <c r="DP150" i="4" s="1"/>
  <c r="DQ144" i="4" s="1"/>
  <c r="DP147" i="4"/>
  <c r="DP166" i="4" s="1"/>
  <c r="DQ148" i="4" l="1"/>
  <c r="DQ150" i="4" s="1"/>
  <c r="DR144" i="4" s="1"/>
  <c r="DQ147" i="4"/>
  <c r="DQ166" i="4" s="1"/>
  <c r="DR148" i="4" l="1"/>
  <c r="DR150" i="4" s="1"/>
  <c r="DS144" i="4" s="1"/>
  <c r="DR147" i="4"/>
  <c r="DR166" i="4" l="1"/>
  <c r="DS147" i="4"/>
  <c r="DS148" i="4"/>
  <c r="DS150" i="4" s="1"/>
  <c r="DT144" i="4" s="1"/>
  <c r="DS166" i="4" l="1"/>
  <c r="DT148" i="4"/>
  <c r="DT150" i="4" s="1"/>
  <c r="DU144" i="4" s="1"/>
  <c r="DT147" i="4"/>
  <c r="DT166" i="4" s="1"/>
  <c r="DU147" i="4" l="1"/>
  <c r="DU148" i="4"/>
  <c r="DU150" i="4" s="1"/>
  <c r="DV144" i="4" s="1"/>
  <c r="DV148" i="4" l="1"/>
  <c r="DV150" i="4" s="1"/>
  <c r="DW144" i="4" s="1"/>
  <c r="DV147" i="4"/>
  <c r="DV166" i="4" s="1"/>
  <c r="DU166" i="4"/>
  <c r="DW147" i="4" l="1"/>
  <c r="DW148" i="4"/>
  <c r="DW150" i="4" s="1"/>
  <c r="DX144" i="4" s="1"/>
  <c r="DX147" i="4" l="1"/>
  <c r="DX148" i="4"/>
  <c r="DX150" i="4" s="1"/>
  <c r="DY144" i="4" s="1"/>
  <c r="DW166" i="4"/>
  <c r="DY147" i="4" l="1"/>
  <c r="DY148" i="4"/>
  <c r="DY150" i="4" s="1"/>
  <c r="DZ144" i="4" s="1"/>
  <c r="DX166" i="4"/>
  <c r="DZ148" i="4" l="1"/>
  <c r="DZ150" i="4" s="1"/>
  <c r="EA144" i="4" s="1"/>
  <c r="DZ147" i="4"/>
  <c r="DZ166" i="4" s="1"/>
  <c r="DY166" i="4"/>
  <c r="EA147" i="4" l="1"/>
  <c r="EA148" i="4"/>
  <c r="EA150" i="4" s="1"/>
  <c r="EB144" i="4" s="1"/>
  <c r="EB147" i="4" l="1"/>
  <c r="EB148" i="4"/>
  <c r="EB150" i="4" s="1"/>
  <c r="EC144" i="4" s="1"/>
  <c r="EA166" i="4"/>
  <c r="EC148" i="4" l="1"/>
  <c r="EC150" i="4" s="1"/>
  <c r="ED144" i="4" s="1"/>
  <c r="EC147" i="4"/>
  <c r="EB166" i="4"/>
  <c r="EC166" i="4" l="1"/>
  <c r="ED148" i="4"/>
  <c r="ED150" i="4" s="1"/>
  <c r="EE144" i="4" s="1"/>
  <c r="ED147" i="4"/>
  <c r="ED166" i="4" s="1"/>
  <c r="EE147" i="4" l="1"/>
  <c r="EE148" i="4"/>
  <c r="EE150" i="4" s="1"/>
  <c r="EF144" i="4" s="1"/>
  <c r="EE166" i="4" l="1"/>
  <c r="EF147" i="4"/>
  <c r="EF148" i="4"/>
  <c r="EF150" i="4" s="1"/>
  <c r="EG144" i="4" s="1"/>
  <c r="EG148" i="4" l="1"/>
  <c r="EG150" i="4" s="1"/>
  <c r="EH144" i="4" s="1"/>
  <c r="EG147" i="4"/>
  <c r="EF166" i="4"/>
  <c r="EG166" i="4" l="1"/>
  <c r="EH148" i="4"/>
  <c r="EH150" i="4" s="1"/>
  <c r="EI144" i="4" s="1"/>
  <c r="EH147" i="4"/>
  <c r="EH166" i="4" s="1"/>
  <c r="EI147" i="4" l="1"/>
  <c r="EI148" i="4"/>
  <c r="EI150" i="4" s="1"/>
  <c r="EJ144" i="4" s="1"/>
  <c r="EJ148" i="4" l="1"/>
  <c r="EJ150" i="4" s="1"/>
  <c r="EK144" i="4" s="1"/>
  <c r="EJ147" i="4"/>
  <c r="EI166" i="4"/>
  <c r="EJ166" i="4" l="1"/>
  <c r="EK148" i="4"/>
  <c r="EK150" i="4" s="1"/>
  <c r="EL144" i="4" s="1"/>
  <c r="EK147" i="4"/>
  <c r="EK166" i="4" l="1"/>
  <c r="EL147" i="4"/>
  <c r="EL148" i="4"/>
  <c r="EL150" i="4" s="1"/>
  <c r="EM144" i="4" s="1"/>
  <c r="EM147" i="4" l="1"/>
  <c r="EM148" i="4"/>
  <c r="EM150" i="4" s="1"/>
  <c r="EN144" i="4" s="1"/>
  <c r="EL166" i="4"/>
  <c r="EN147" i="4" l="1"/>
  <c r="EN148" i="4"/>
  <c r="EN150" i="4" s="1"/>
  <c r="EO144" i="4" s="1"/>
  <c r="EM166" i="4"/>
  <c r="EO148" i="4" l="1"/>
  <c r="EO150" i="4" s="1"/>
  <c r="EP144" i="4" s="1"/>
  <c r="EO147" i="4"/>
  <c r="EO166" i="4" s="1"/>
  <c r="EN166" i="4"/>
  <c r="EP148" i="4" l="1"/>
  <c r="EP150" i="4" s="1"/>
  <c r="EQ144" i="4" s="1"/>
  <c r="EP147" i="4"/>
  <c r="EP166" i="4" s="1"/>
  <c r="D32" i="10"/>
  <c r="E32" i="10"/>
  <c r="F32" i="10"/>
  <c r="G32" i="10"/>
  <c r="H32" i="10"/>
  <c r="I32" i="10"/>
  <c r="J32" i="10"/>
  <c r="K32" i="10"/>
  <c r="L32" i="10"/>
  <c r="M32" i="10"/>
  <c r="EQ148" i="4" l="1"/>
  <c r="EQ150" i="4" s="1"/>
  <c r="ER144" i="4" s="1"/>
  <c r="EQ147" i="4"/>
  <c r="EQ166" i="4" s="1"/>
  <c r="C32" i="10"/>
  <c r="ER148" i="4" l="1"/>
  <c r="ER150" i="4" s="1"/>
  <c r="ES144" i="4" s="1"/>
  <c r="ER147" i="4"/>
  <c r="D14" i="10"/>
  <c r="ER166" i="4" l="1"/>
  <c r="ES147" i="4"/>
  <c r="ES148" i="4"/>
  <c r="ES150" i="4" s="1"/>
  <c r="ET144" i="4" s="1"/>
  <c r="R106" i="4"/>
  <c r="ES166" i="4" l="1"/>
  <c r="ET147" i="4"/>
  <c r="ET148" i="4"/>
  <c r="ET150" i="4" s="1"/>
  <c r="AQ11" i="4"/>
  <c r="AR11" i="4"/>
  <c r="AQ12" i="4"/>
  <c r="AR12" i="4"/>
  <c r="BQ65" i="4"/>
  <c r="BQ66" i="4"/>
  <c r="BQ80" i="4"/>
  <c r="BQ81" i="4" s="1"/>
  <c r="BQ159" i="4" s="1"/>
  <c r="BQ82" i="4"/>
  <c r="BQ158" i="4" s="1"/>
  <c r="ET166" i="4" l="1"/>
  <c r="BQ157" i="4"/>
  <c r="BQ83" i="4"/>
  <c r="BQ160" i="4" s="1"/>
  <c r="W61" i="4"/>
  <c r="Y61" i="4"/>
  <c r="Y62" i="4" s="1"/>
  <c r="Y63" i="4" s="1"/>
  <c r="Z61" i="4"/>
  <c r="Z62" i="4" s="1"/>
  <c r="Z63" i="4" s="1"/>
  <c r="AA61" i="4"/>
  <c r="AA62" i="4" s="1"/>
  <c r="AA63" i="4" s="1"/>
  <c r="AE61" i="4"/>
  <c r="AG61" i="4"/>
  <c r="AG62" i="4" s="1"/>
  <c r="AG63" i="4" s="1"/>
  <c r="AI61" i="4"/>
  <c r="AI62" i="4" s="1"/>
  <c r="AI63" i="4" s="1"/>
  <c r="AK61" i="4"/>
  <c r="AK62" i="4" s="1"/>
  <c r="AK63" i="4" s="1"/>
  <c r="AK156" i="4" s="1"/>
  <c r="AM61" i="4"/>
  <c r="AN61" i="4"/>
  <c r="AN62" i="4" s="1"/>
  <c r="AN63" i="4" s="1"/>
  <c r="AN14" i="4" s="1"/>
  <c r="X61" i="4"/>
  <c r="X62" i="4" s="1"/>
  <c r="X63" i="4" s="1"/>
  <c r="AC61" i="4"/>
  <c r="AC62" i="4" s="1"/>
  <c r="AC63" i="4" s="1"/>
  <c r="AC156" i="4" s="1"/>
  <c r="AU65" i="4"/>
  <c r="AU66" i="4"/>
  <c r="AU80" i="4"/>
  <c r="AU157" i="4" s="1"/>
  <c r="G23" i="10" s="1"/>
  <c r="AU82" i="4"/>
  <c r="AU83" i="4" s="1"/>
  <c r="AU160" i="4" s="1"/>
  <c r="G26" i="10" s="1"/>
  <c r="BQ84" i="4" l="1"/>
  <c r="AU158" i="4"/>
  <c r="G24" i="10" s="1"/>
  <c r="AF61" i="4"/>
  <c r="AF62" i="4" s="1"/>
  <c r="AF63" i="4" s="1"/>
  <c r="AA156" i="4"/>
  <c r="AA155" i="4"/>
  <c r="AH61" i="4"/>
  <c r="AH62" i="4" s="1"/>
  <c r="AH63" i="4" s="1"/>
  <c r="AG140" i="4"/>
  <c r="AG141" i="4" s="1"/>
  <c r="AG15" i="4" s="1"/>
  <c r="AG156" i="4"/>
  <c r="AC155" i="4"/>
  <c r="AC140" i="4"/>
  <c r="AI77" i="4"/>
  <c r="AI156" i="4"/>
  <c r="Y156" i="4"/>
  <c r="Y140" i="4"/>
  <c r="Y155" i="4"/>
  <c r="X14" i="4"/>
  <c r="X140" i="4"/>
  <c r="X155" i="4"/>
  <c r="X156" i="4"/>
  <c r="Z156" i="4"/>
  <c r="Z140" i="4"/>
  <c r="Z141" i="4" s="1"/>
  <c r="Z15" i="4" s="1"/>
  <c r="Z155" i="4"/>
  <c r="AN155" i="4"/>
  <c r="AN77" i="4"/>
  <c r="AK155" i="4"/>
  <c r="AA140" i="4"/>
  <c r="AI155" i="4"/>
  <c r="AN140" i="4"/>
  <c r="AN156" i="4"/>
  <c r="AK140" i="4"/>
  <c r="AG155" i="4"/>
  <c r="AI140" i="4"/>
  <c r="AA77" i="4"/>
  <c r="AA14" i="4"/>
  <c r="Z77" i="4"/>
  <c r="Z14" i="4"/>
  <c r="AJ61" i="4"/>
  <c r="AJ62" i="4" s="1"/>
  <c r="AJ63" i="4" s="1"/>
  <c r="AB61" i="4"/>
  <c r="AB62" i="4" s="1"/>
  <c r="AB63" i="4" s="1"/>
  <c r="AG77" i="4"/>
  <c r="AG14" i="4"/>
  <c r="AC14" i="4"/>
  <c r="AC77" i="4"/>
  <c r="AK14" i="4"/>
  <c r="AK77" i="4"/>
  <c r="Y77" i="4"/>
  <c r="Y14" i="4"/>
  <c r="AI14" i="4"/>
  <c r="AU81" i="4"/>
  <c r="X77" i="4"/>
  <c r="AL61" i="4"/>
  <c r="AL62" i="4" s="1"/>
  <c r="AL63" i="4" s="1"/>
  <c r="AD61" i="4"/>
  <c r="AD62" i="4" s="1"/>
  <c r="AD63" i="4" s="1"/>
  <c r="AM62" i="4"/>
  <c r="AM63" i="4" s="1"/>
  <c r="AE62" i="4"/>
  <c r="AE63" i="4" s="1"/>
  <c r="W62" i="4"/>
  <c r="AG161" i="4" l="1"/>
  <c r="AF155" i="4"/>
  <c r="AF140" i="4"/>
  <c r="AF141" i="4" s="1"/>
  <c r="AF15" i="4" s="1"/>
  <c r="AF14" i="4"/>
  <c r="AF77" i="4"/>
  <c r="AF156" i="4"/>
  <c r="AH77" i="4"/>
  <c r="AH14" i="4"/>
  <c r="AH156" i="4"/>
  <c r="AH140" i="4"/>
  <c r="AH141" i="4" s="1"/>
  <c r="AH15" i="4" s="1"/>
  <c r="AH155" i="4"/>
  <c r="Z161" i="4"/>
  <c r="AC141" i="4"/>
  <c r="AC15" i="4" s="1"/>
  <c r="AC161" i="4"/>
  <c r="AK141" i="4"/>
  <c r="AK15" i="4" s="1"/>
  <c r="AK161" i="4"/>
  <c r="AN141" i="4"/>
  <c r="AN15" i="4" s="1"/>
  <c r="AN161" i="4"/>
  <c r="X141" i="4"/>
  <c r="X15" i="4" s="1"/>
  <c r="X161" i="4"/>
  <c r="AA141" i="4"/>
  <c r="AA15" i="4" s="1"/>
  <c r="AA161" i="4"/>
  <c r="AI141" i="4"/>
  <c r="AI15" i="4" s="1"/>
  <c r="AI161" i="4"/>
  <c r="Y141" i="4"/>
  <c r="Y15" i="4" s="1"/>
  <c r="Y161" i="4"/>
  <c r="AL14" i="4"/>
  <c r="AL77" i="4"/>
  <c r="AL140" i="4"/>
  <c r="AL155" i="4"/>
  <c r="AL156" i="4"/>
  <c r="AJ14" i="4"/>
  <c r="AJ77" i="4"/>
  <c r="AJ140" i="4"/>
  <c r="AJ155" i="4"/>
  <c r="AJ156" i="4"/>
  <c r="AU84" i="4"/>
  <c r="AU159" i="4"/>
  <c r="G25" i="10" s="1"/>
  <c r="W63" i="4"/>
  <c r="AE14" i="4"/>
  <c r="AE77" i="4"/>
  <c r="AE140" i="4"/>
  <c r="AE155" i="4"/>
  <c r="AE156" i="4"/>
  <c r="AD14" i="4"/>
  <c r="AD77" i="4"/>
  <c r="AD140" i="4"/>
  <c r="AD155" i="4"/>
  <c r="AD156" i="4"/>
  <c r="AM14" i="4"/>
  <c r="AM77" i="4"/>
  <c r="AM140" i="4"/>
  <c r="AM155" i="4"/>
  <c r="AM156" i="4"/>
  <c r="AB14" i="4"/>
  <c r="AB77" i="4"/>
  <c r="AB140" i="4"/>
  <c r="AB155" i="4"/>
  <c r="AB156" i="4"/>
  <c r="AH161" i="4" l="1"/>
  <c r="AF161" i="4"/>
  <c r="AL161" i="4"/>
  <c r="AL141" i="4"/>
  <c r="AL15" i="4" s="1"/>
  <c r="AE161" i="4"/>
  <c r="AE141" i="4"/>
  <c r="AE15" i="4" s="1"/>
  <c r="AD161" i="4"/>
  <c r="AD141" i="4"/>
  <c r="AD15" i="4" s="1"/>
  <c r="AM161" i="4"/>
  <c r="AM141" i="4"/>
  <c r="AM15" i="4" s="1"/>
  <c r="W14" i="4"/>
  <c r="W77" i="4"/>
  <c r="W140" i="4"/>
  <c r="W155" i="4"/>
  <c r="W156" i="4"/>
  <c r="AB141" i="4"/>
  <c r="AB15" i="4" s="1"/>
  <c r="AB161" i="4"/>
  <c r="AJ141" i="4"/>
  <c r="AJ15" i="4" s="1"/>
  <c r="AJ161" i="4"/>
  <c r="W161" i="4" l="1"/>
  <c r="W141" i="4"/>
  <c r="W15" i="4" s="1"/>
  <c r="F20" i="1" l="1"/>
  <c r="AP11" i="4"/>
  <c r="AP12" i="4"/>
  <c r="BO65" i="4"/>
  <c r="BO66" i="4"/>
  <c r="BO80" i="4"/>
  <c r="BO157" i="4" s="1"/>
  <c r="BO82" i="4"/>
  <c r="BO83" i="4" s="1"/>
  <c r="BO160" i="4" s="1"/>
  <c r="W16" i="1" l="1"/>
  <c r="F31" i="3" s="1"/>
  <c r="G11" i="2"/>
  <c r="G5" i="10"/>
  <c r="G24" i="2"/>
  <c r="G23" i="2"/>
  <c r="G22" i="2"/>
  <c r="G16" i="2"/>
  <c r="G15" i="2"/>
  <c r="G28" i="2"/>
  <c r="G20" i="2"/>
  <c r="E20" i="1"/>
  <c r="G27" i="2"/>
  <c r="G19" i="2"/>
  <c r="W13" i="1"/>
  <c r="F28" i="3" s="1"/>
  <c r="G26" i="2"/>
  <c r="G18" i="2"/>
  <c r="W5" i="1"/>
  <c r="F21" i="3" s="1"/>
  <c r="G21" i="2"/>
  <c r="G25" i="2"/>
  <c r="G17" i="2"/>
  <c r="W4" i="1"/>
  <c r="F20" i="3" s="1"/>
  <c r="BO158" i="4"/>
  <c r="BO81" i="4"/>
  <c r="BO159" i="4" s="1"/>
  <c r="BO84" i="4" l="1"/>
  <c r="BN65" i="4" l="1"/>
  <c r="BN66" i="4" l="1"/>
  <c r="BN80" i="4" s="1"/>
  <c r="BN82" i="4"/>
  <c r="BN81" i="4" l="1"/>
  <c r="BN157" i="4"/>
  <c r="BN83" i="4"/>
  <c r="BN158" i="4"/>
  <c r="BN84" i="4" l="1"/>
  <c r="BN159" i="4"/>
  <c r="BN160" i="4"/>
  <c r="AO11" i="4" l="1"/>
  <c r="AO12" i="4"/>
  <c r="F61" i="4"/>
  <c r="F62" i="4" s="1"/>
  <c r="F63" i="4" s="1"/>
  <c r="G61" i="4"/>
  <c r="G62" i="4" s="1"/>
  <c r="G63" i="4" s="1"/>
  <c r="H61" i="4"/>
  <c r="H62" i="4" s="1"/>
  <c r="H63" i="4" s="1"/>
  <c r="H14" i="4" s="1"/>
  <c r="I61" i="4"/>
  <c r="I62" i="4" s="1"/>
  <c r="I63" i="4" s="1"/>
  <c r="I155" i="4" s="1"/>
  <c r="J61" i="4"/>
  <c r="J62" i="4" s="1"/>
  <c r="J63" i="4" s="1"/>
  <c r="K61" i="4"/>
  <c r="K62" i="4" s="1"/>
  <c r="K63" i="4" s="1"/>
  <c r="K155" i="4" s="1"/>
  <c r="L61" i="4"/>
  <c r="L62" i="4" s="1"/>
  <c r="L63" i="4" s="1"/>
  <c r="L14" i="4" s="1"/>
  <c r="M61" i="4"/>
  <c r="M62" i="4" s="1"/>
  <c r="M63" i="4" s="1"/>
  <c r="M14" i="4" s="1"/>
  <c r="N61" i="4"/>
  <c r="N62" i="4" s="1"/>
  <c r="N63" i="4" s="1"/>
  <c r="O61" i="4"/>
  <c r="O62" i="4" s="1"/>
  <c r="O63" i="4" s="1"/>
  <c r="P61" i="4"/>
  <c r="P62" i="4" s="1"/>
  <c r="P63" i="4" s="1"/>
  <c r="Q61" i="4"/>
  <c r="Q62" i="4" s="1"/>
  <c r="Q63" i="4" s="1"/>
  <c r="R61" i="4"/>
  <c r="R62" i="4" s="1"/>
  <c r="R63" i="4" s="1"/>
  <c r="R155" i="4" s="1"/>
  <c r="S61" i="4"/>
  <c r="S62" i="4" s="1"/>
  <c r="S63" i="4" s="1"/>
  <c r="T61" i="4"/>
  <c r="T62" i="4" s="1"/>
  <c r="T63" i="4" s="1"/>
  <c r="U61" i="4"/>
  <c r="U62" i="4" s="1"/>
  <c r="U63" i="4" s="1"/>
  <c r="U156" i="4" s="1"/>
  <c r="R140" i="4" l="1"/>
  <c r="R161" i="4" s="1"/>
  <c r="U140" i="4"/>
  <c r="U161" i="4" s="1"/>
  <c r="H77" i="4"/>
  <c r="R156" i="4"/>
  <c r="U155" i="4"/>
  <c r="P156" i="4"/>
  <c r="P155" i="4"/>
  <c r="P140" i="4"/>
  <c r="P141" i="4" s="1"/>
  <c r="P15" i="4" s="1"/>
  <c r="T77" i="4"/>
  <c r="T156" i="4"/>
  <c r="E22" i="10" s="1"/>
  <c r="T140" i="4"/>
  <c r="T155" i="4"/>
  <c r="Q14" i="4"/>
  <c r="Q155" i="4"/>
  <c r="Q77" i="4"/>
  <c r="Q156" i="4"/>
  <c r="Q140" i="4"/>
  <c r="F156" i="4"/>
  <c r="F155" i="4"/>
  <c r="F140" i="4"/>
  <c r="O156" i="4"/>
  <c r="O140" i="4"/>
  <c r="O141" i="4" s="1"/>
  <c r="O15" i="4" s="1"/>
  <c r="O155" i="4"/>
  <c r="J156" i="4"/>
  <c r="J140" i="4"/>
  <c r="J141" i="4" s="1"/>
  <c r="J15" i="4" s="1"/>
  <c r="J155" i="4"/>
  <c r="N14" i="4"/>
  <c r="N140" i="4"/>
  <c r="N156" i="4"/>
  <c r="N155" i="4"/>
  <c r="S14" i="4"/>
  <c r="S155" i="4"/>
  <c r="S77" i="4"/>
  <c r="S140" i="4"/>
  <c r="S161" i="4" s="1"/>
  <c r="S156" i="4"/>
  <c r="G156" i="4"/>
  <c r="G140" i="4"/>
  <c r="G155" i="4"/>
  <c r="L77" i="4"/>
  <c r="U141" i="4"/>
  <c r="U15" i="4" s="1"/>
  <c r="K140" i="4"/>
  <c r="K161" i="4" s="1"/>
  <c r="M156" i="4"/>
  <c r="K156" i="4"/>
  <c r="M155" i="4"/>
  <c r="M140" i="4"/>
  <c r="H156" i="4"/>
  <c r="I156" i="4"/>
  <c r="I140" i="4"/>
  <c r="M77" i="4"/>
  <c r="L156" i="4"/>
  <c r="L155" i="4"/>
  <c r="L140" i="4"/>
  <c r="H155" i="4"/>
  <c r="H140" i="4"/>
  <c r="P161" i="4"/>
  <c r="R141" i="4"/>
  <c r="R15" i="4" s="1"/>
  <c r="I14" i="4"/>
  <c r="I77" i="4"/>
  <c r="R14" i="4"/>
  <c r="R77" i="4"/>
  <c r="F14" i="4"/>
  <c r="F77" i="4"/>
  <c r="U77" i="4"/>
  <c r="U14" i="4"/>
  <c r="J14" i="4"/>
  <c r="J77" i="4"/>
  <c r="G14" i="4"/>
  <c r="G77" i="4"/>
  <c r="O14" i="4"/>
  <c r="O77" i="4"/>
  <c r="P14" i="4"/>
  <c r="P77" i="4"/>
  <c r="K14" i="4"/>
  <c r="K77" i="4"/>
  <c r="T14" i="4"/>
  <c r="N77" i="4"/>
  <c r="E21" i="10" l="1"/>
  <c r="O161" i="4"/>
  <c r="K141" i="4"/>
  <c r="K15" i="4" s="1"/>
  <c r="S141" i="4"/>
  <c r="S15" i="4" s="1"/>
  <c r="D22" i="10"/>
  <c r="D21" i="10"/>
  <c r="Q141" i="4"/>
  <c r="Q15" i="4" s="1"/>
  <c r="Q161" i="4"/>
  <c r="I141" i="4"/>
  <c r="I15" i="4" s="1"/>
  <c r="I161" i="4"/>
  <c r="L141" i="4"/>
  <c r="L15" i="4" s="1"/>
  <c r="L161" i="4"/>
  <c r="G141" i="4"/>
  <c r="G15" i="4" s="1"/>
  <c r="G161" i="4"/>
  <c r="E7" i="10"/>
  <c r="J161" i="4"/>
  <c r="N161" i="4"/>
  <c r="N141" i="4"/>
  <c r="N15" i="4" s="1"/>
  <c r="H141" i="4"/>
  <c r="H15" i="4" s="1"/>
  <c r="H161" i="4"/>
  <c r="T141" i="4"/>
  <c r="T15" i="4" s="1"/>
  <c r="T161" i="4"/>
  <c r="E27" i="10" s="1"/>
  <c r="M141" i="4"/>
  <c r="M15" i="4" s="1"/>
  <c r="M161" i="4"/>
  <c r="F124" i="4"/>
  <c r="F141" i="4"/>
  <c r="F15" i="4" s="1"/>
  <c r="F161" i="4"/>
  <c r="D7" i="10"/>
  <c r="E8" i="10" l="1"/>
  <c r="D8" i="10"/>
  <c r="D27" i="10"/>
  <c r="F125" i="4"/>
  <c r="F16" i="4" s="1"/>
  <c r="F162" i="4"/>
  <c r="BM65" i="4"/>
  <c r="BM66" i="4"/>
  <c r="BM80" i="4"/>
  <c r="BM81" i="4" s="1"/>
  <c r="BM159" i="4" s="1"/>
  <c r="H25" i="10" s="1"/>
  <c r="BM82" i="4"/>
  <c r="BM158" i="4" s="1"/>
  <c r="H24" i="10" s="1"/>
  <c r="BM157" i="4" l="1"/>
  <c r="H23" i="10" s="1"/>
  <c r="BM83" i="4"/>
  <c r="BM84" i="4" s="1"/>
  <c r="BM160" i="4" l="1"/>
  <c r="H26" i="10" s="1"/>
  <c r="Z10" i="4"/>
  <c r="Z106" i="4"/>
  <c r="AD10" i="4"/>
  <c r="AD106" i="4"/>
  <c r="BY65" i="4"/>
  <c r="BY66" i="4"/>
  <c r="BY80" i="4"/>
  <c r="BY82" i="4"/>
  <c r="BY83" i="4" s="1"/>
  <c r="BY160" i="4" s="1"/>
  <c r="I26" i="10" s="1"/>
  <c r="BY157" i="4"/>
  <c r="I23" i="10" s="1"/>
  <c r="BY158" i="4"/>
  <c r="I24" i="10"/>
  <c r="BY81" i="4" l="1"/>
  <c r="BY84" i="4" s="1"/>
  <c r="BY159" i="4" l="1"/>
  <c r="I25" i="10" s="1"/>
  <c r="U4" i="1"/>
  <c r="U5" i="1"/>
  <c r="T6" i="1"/>
  <c r="U6" i="1"/>
  <c r="V6" i="1"/>
  <c r="W6" i="1"/>
  <c r="X6" i="1"/>
  <c r="T7" i="1"/>
  <c r="U7" i="1"/>
  <c r="V7" i="1"/>
  <c r="W7" i="1"/>
  <c r="X7" i="1"/>
  <c r="T8" i="1"/>
  <c r="U8" i="1"/>
  <c r="V8" i="1"/>
  <c r="W8" i="1"/>
  <c r="X8" i="1"/>
  <c r="T9" i="1"/>
  <c r="U9" i="1"/>
  <c r="V9" i="1"/>
  <c r="W9" i="1"/>
  <c r="X9" i="1"/>
  <c r="Q11" i="1"/>
  <c r="U13" i="1"/>
  <c r="T14" i="1"/>
  <c r="U14" i="1"/>
  <c r="V14" i="1"/>
  <c r="W14" i="1"/>
  <c r="X14" i="1"/>
  <c r="T15" i="1"/>
  <c r="U15" i="1"/>
  <c r="V15" i="1"/>
  <c r="W15" i="1"/>
  <c r="X15" i="1"/>
  <c r="U16" i="1"/>
  <c r="Q17" i="1"/>
  <c r="T17" i="1"/>
  <c r="U17" i="1"/>
  <c r="V17" i="1"/>
  <c r="W17" i="1"/>
  <c r="X17" i="1"/>
  <c r="T18" i="1"/>
  <c r="U18" i="1"/>
  <c r="V18" i="1"/>
  <c r="W18" i="1"/>
  <c r="X18" i="1"/>
  <c r="T19" i="1"/>
  <c r="Q28" i="1"/>
  <c r="L38" i="1"/>
  <c r="Q44" i="1"/>
  <c r="E21" i="5"/>
  <c r="E22" i="5"/>
  <c r="E23" i="5"/>
  <c r="E24" i="5"/>
  <c r="E28" i="5"/>
  <c r="E31" i="5"/>
  <c r="E32" i="5"/>
  <c r="E33" i="5"/>
  <c r="E36" i="5"/>
  <c r="E46" i="5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8" i="2"/>
  <c r="F38" i="2"/>
  <c r="G38" i="2"/>
  <c r="D10" i="4"/>
  <c r="R10" i="4"/>
  <c r="X10" i="4"/>
  <c r="D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D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D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EN14" i="4"/>
  <c r="EO14" i="4"/>
  <c r="EP14" i="4"/>
  <c r="EQ14" i="4"/>
  <c r="ER14" i="4"/>
  <c r="ES14" i="4"/>
  <c r="ET14" i="4"/>
  <c r="D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EJ15" i="4"/>
  <c r="EK15" i="4"/>
  <c r="EL15" i="4"/>
  <c r="EM15" i="4"/>
  <c r="EN15" i="4"/>
  <c r="EO15" i="4"/>
  <c r="EP15" i="4"/>
  <c r="EQ15" i="4"/>
  <c r="ER15" i="4"/>
  <c r="ES15" i="4"/>
  <c r="ET15" i="4"/>
  <c r="D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EN16" i="4"/>
  <c r="EO16" i="4"/>
  <c r="EP16" i="4"/>
  <c r="EQ16" i="4"/>
  <c r="ER16" i="4"/>
  <c r="ES16" i="4"/>
  <c r="ET16" i="4"/>
  <c r="D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EJ17" i="4"/>
  <c r="EK17" i="4"/>
  <c r="EL17" i="4"/>
  <c r="EM17" i="4"/>
  <c r="EN17" i="4"/>
  <c r="EO17" i="4"/>
  <c r="EP17" i="4"/>
  <c r="EQ17" i="4"/>
  <c r="ER17" i="4"/>
  <c r="ES17" i="4"/>
  <c r="ET17" i="4"/>
  <c r="D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ES20" i="4"/>
  <c r="ET20" i="4"/>
  <c r="D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ES21" i="4"/>
  <c r="ET21" i="4"/>
  <c r="D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ES22" i="4"/>
  <c r="ET22" i="4"/>
  <c r="D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D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ES24" i="4"/>
  <c r="ET24" i="4"/>
  <c r="D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ES26" i="4"/>
  <c r="ET26" i="4"/>
  <c r="D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EQ59" i="4"/>
  <c r="ER59" i="4"/>
  <c r="ES59" i="4"/>
  <c r="ET59" i="4"/>
  <c r="D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D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EP62" i="4"/>
  <c r="EQ62" i="4"/>
  <c r="ER62" i="4"/>
  <c r="ES62" i="4"/>
  <c r="ET62" i="4"/>
  <c r="D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EQ63" i="4"/>
  <c r="ER63" i="4"/>
  <c r="ES63" i="4"/>
  <c r="ET63" i="4"/>
  <c r="BB64" i="4"/>
  <c r="BC64" i="4"/>
  <c r="CK65" i="4"/>
  <c r="CK66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EQ77" i="4"/>
  <c r="ER77" i="4"/>
  <c r="ES77" i="4"/>
  <c r="ET77" i="4"/>
  <c r="D80" i="4"/>
  <c r="CK80" i="4"/>
  <c r="D81" i="4"/>
  <c r="CK81" i="4"/>
  <c r="D82" i="4"/>
  <c r="CK82" i="4"/>
  <c r="D83" i="4"/>
  <c r="CK83" i="4"/>
  <c r="D84" i="4"/>
  <c r="CK84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EQ88" i="4"/>
  <c r="ER88" i="4"/>
  <c r="ES88" i="4"/>
  <c r="ET88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EQ89" i="4"/>
  <c r="ER89" i="4"/>
  <c r="ES89" i="4"/>
  <c r="ET89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EP90" i="4"/>
  <c r="EQ90" i="4"/>
  <c r="ER90" i="4"/>
  <c r="ES90" i="4"/>
  <c r="ET90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EQ93" i="4"/>
  <c r="ER93" i="4"/>
  <c r="ES93" i="4"/>
  <c r="ET93" i="4"/>
  <c r="R94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EQ95" i="4"/>
  <c r="ER95" i="4"/>
  <c r="ES95" i="4"/>
  <c r="ET95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EQ96" i="4"/>
  <c r="ER96" i="4"/>
  <c r="ES96" i="4"/>
  <c r="ET96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EQ99" i="4"/>
  <c r="ER99" i="4"/>
  <c r="ES99" i="4"/>
  <c r="ET99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EQ101" i="4"/>
  <c r="ER101" i="4"/>
  <c r="ES101" i="4"/>
  <c r="ET101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EQ102" i="4"/>
  <c r="ER102" i="4"/>
  <c r="ES102" i="4"/>
  <c r="ET102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EQ105" i="4"/>
  <c r="ER105" i="4"/>
  <c r="ES105" i="4"/>
  <c r="ET105" i="4"/>
  <c r="X106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EQ108" i="4"/>
  <c r="ER108" i="4"/>
  <c r="ES108" i="4"/>
  <c r="ET108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EQ109" i="4"/>
  <c r="ER109" i="4"/>
  <c r="ES109" i="4"/>
  <c r="ET109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EQ120" i="4"/>
  <c r="ER120" i="4"/>
  <c r="ES120" i="4"/>
  <c r="ET120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EQ122" i="4"/>
  <c r="ER122" i="4"/>
  <c r="ES122" i="4"/>
  <c r="ET122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EQ123" i="4"/>
  <c r="ER123" i="4"/>
  <c r="ES123" i="4"/>
  <c r="ET123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EQ124" i="4"/>
  <c r="ER124" i="4"/>
  <c r="ES124" i="4"/>
  <c r="ET124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EQ125" i="4"/>
  <c r="ER125" i="4"/>
  <c r="ES125" i="4"/>
  <c r="ET125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EQ127" i="4"/>
  <c r="ER127" i="4"/>
  <c r="ES127" i="4"/>
  <c r="ET127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EP128" i="4"/>
  <c r="EQ128" i="4"/>
  <c r="ER128" i="4"/>
  <c r="ES128" i="4"/>
  <c r="ET128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EQ131" i="4"/>
  <c r="ER131" i="4"/>
  <c r="ES131" i="4"/>
  <c r="ET131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EQ132" i="4"/>
  <c r="ER132" i="4"/>
  <c r="ES132" i="4"/>
  <c r="ET132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EQ133" i="4"/>
  <c r="ER133" i="4"/>
  <c r="ES133" i="4"/>
  <c r="ET133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EQ135" i="4"/>
  <c r="ER135" i="4"/>
  <c r="ES135" i="4"/>
  <c r="ET135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EQ136" i="4"/>
  <c r="ER136" i="4"/>
  <c r="ES136" i="4"/>
  <c r="ET136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EQ140" i="4"/>
  <c r="ER140" i="4"/>
  <c r="ES140" i="4"/>
  <c r="ET140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EP141" i="4"/>
  <c r="EQ141" i="4"/>
  <c r="ER141" i="4"/>
  <c r="ES141" i="4"/>
  <c r="ET141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CY154" i="4"/>
  <c r="CZ154" i="4"/>
  <c r="DA154" i="4"/>
  <c r="DB154" i="4"/>
  <c r="DC154" i="4"/>
  <c r="DD154" i="4"/>
  <c r="DE154" i="4"/>
  <c r="DF154" i="4"/>
  <c r="DG154" i="4"/>
  <c r="DH154" i="4"/>
  <c r="DI154" i="4"/>
  <c r="DJ154" i="4"/>
  <c r="DK154" i="4"/>
  <c r="DL154" i="4"/>
  <c r="DM154" i="4"/>
  <c r="DN154" i="4"/>
  <c r="DO154" i="4"/>
  <c r="DP154" i="4"/>
  <c r="DQ154" i="4"/>
  <c r="DR154" i="4"/>
  <c r="DS154" i="4"/>
  <c r="DT154" i="4"/>
  <c r="DU154" i="4"/>
  <c r="DV154" i="4"/>
  <c r="DW154" i="4"/>
  <c r="DX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EQ154" i="4"/>
  <c r="ER154" i="4"/>
  <c r="ES154" i="4"/>
  <c r="ET154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E155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BT156" i="4"/>
  <c r="BU156" i="4"/>
  <c r="BV156" i="4"/>
  <c r="BW156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K157" i="4"/>
  <c r="CK158" i="4"/>
  <c r="CK159" i="4"/>
  <c r="CK160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BE161" i="4"/>
  <c r="BF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BT161" i="4"/>
  <c r="BU161" i="4"/>
  <c r="BV161" i="4"/>
  <c r="BW161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BJ162" i="4"/>
  <c r="BK162" i="4"/>
  <c r="BL162" i="4"/>
  <c r="BM162" i="4"/>
  <c r="BN162" i="4"/>
  <c r="BO162" i="4"/>
  <c r="BP162" i="4"/>
  <c r="BQ162" i="4"/>
  <c r="BR162" i="4"/>
  <c r="BS162" i="4"/>
  <c r="BT162" i="4"/>
  <c r="BU162" i="4"/>
  <c r="BV162" i="4"/>
  <c r="BW162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CY162" i="4"/>
  <c r="CZ162" i="4"/>
  <c r="DA162" i="4"/>
  <c r="DB162" i="4"/>
  <c r="DC162" i="4"/>
  <c r="DD162" i="4"/>
  <c r="DE162" i="4"/>
  <c r="DF162" i="4"/>
  <c r="DG162" i="4"/>
  <c r="DH162" i="4"/>
  <c r="DI162" i="4"/>
  <c r="DJ162" i="4"/>
  <c r="DK162" i="4"/>
  <c r="DL162" i="4"/>
  <c r="DM162" i="4"/>
  <c r="DN162" i="4"/>
  <c r="DO162" i="4"/>
  <c r="DP162" i="4"/>
  <c r="DQ162" i="4"/>
  <c r="DR162" i="4"/>
  <c r="DS162" i="4"/>
  <c r="DT162" i="4"/>
  <c r="DU162" i="4"/>
  <c r="DV162" i="4"/>
  <c r="DW162" i="4"/>
  <c r="DX162" i="4"/>
  <c r="DY162" i="4"/>
  <c r="DZ162" i="4"/>
  <c r="EA162" i="4"/>
  <c r="EB162" i="4"/>
  <c r="EC162" i="4"/>
  <c r="ED162" i="4"/>
  <c r="EE162" i="4"/>
  <c r="EF162" i="4"/>
  <c r="EG162" i="4"/>
  <c r="EH162" i="4"/>
  <c r="EI162" i="4"/>
  <c r="EJ162" i="4"/>
  <c r="EK162" i="4"/>
  <c r="EL162" i="4"/>
  <c r="EM162" i="4"/>
  <c r="EN162" i="4"/>
  <c r="EO162" i="4"/>
  <c r="EP162" i="4"/>
  <c r="EQ162" i="4"/>
  <c r="ER162" i="4"/>
  <c r="ES162" i="4"/>
  <c r="ET162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BE163" i="4"/>
  <c r="BF163" i="4"/>
  <c r="BG163" i="4"/>
  <c r="BH163" i="4"/>
  <c r="BI163" i="4"/>
  <c r="BJ163" i="4"/>
  <c r="BK163" i="4"/>
  <c r="BL163" i="4"/>
  <c r="BM163" i="4"/>
  <c r="BN163" i="4"/>
  <c r="BO163" i="4"/>
  <c r="BP163" i="4"/>
  <c r="BQ163" i="4"/>
  <c r="BR163" i="4"/>
  <c r="BS163" i="4"/>
  <c r="BT163" i="4"/>
  <c r="BU163" i="4"/>
  <c r="BV163" i="4"/>
  <c r="BW163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CY163" i="4"/>
  <c r="CZ163" i="4"/>
  <c r="DA163" i="4"/>
  <c r="DB163" i="4"/>
  <c r="DC163" i="4"/>
  <c r="DD163" i="4"/>
  <c r="DE163" i="4"/>
  <c r="DF163" i="4"/>
  <c r="DG163" i="4"/>
  <c r="DH163" i="4"/>
  <c r="DI163" i="4"/>
  <c r="DJ163" i="4"/>
  <c r="DK163" i="4"/>
  <c r="DL163" i="4"/>
  <c r="DM163" i="4"/>
  <c r="DN163" i="4"/>
  <c r="DO163" i="4"/>
  <c r="DP163" i="4"/>
  <c r="DQ163" i="4"/>
  <c r="DR163" i="4"/>
  <c r="DS163" i="4"/>
  <c r="DT163" i="4"/>
  <c r="DU163" i="4"/>
  <c r="DV163" i="4"/>
  <c r="DW163" i="4"/>
  <c r="DX163" i="4"/>
  <c r="DY163" i="4"/>
  <c r="DZ163" i="4"/>
  <c r="EA163" i="4"/>
  <c r="EB163" i="4"/>
  <c r="EC163" i="4"/>
  <c r="ED163" i="4"/>
  <c r="EE163" i="4"/>
  <c r="EF163" i="4"/>
  <c r="EG163" i="4"/>
  <c r="EH163" i="4"/>
  <c r="EI163" i="4"/>
  <c r="EJ163" i="4"/>
  <c r="EK163" i="4"/>
  <c r="EL163" i="4"/>
  <c r="EM163" i="4"/>
  <c r="EN163" i="4"/>
  <c r="EO163" i="4"/>
  <c r="EP163" i="4"/>
  <c r="EQ163" i="4"/>
  <c r="ER163" i="4"/>
  <c r="ES163" i="4"/>
  <c r="ET163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BE164" i="4"/>
  <c r="BF164" i="4"/>
  <c r="BG164" i="4"/>
  <c r="BH164" i="4"/>
  <c r="BI164" i="4"/>
  <c r="BJ164" i="4"/>
  <c r="BK164" i="4"/>
  <c r="BL164" i="4"/>
  <c r="BM164" i="4"/>
  <c r="BN164" i="4"/>
  <c r="BO164" i="4"/>
  <c r="BP164" i="4"/>
  <c r="BQ164" i="4"/>
  <c r="BR164" i="4"/>
  <c r="BS164" i="4"/>
  <c r="BT164" i="4"/>
  <c r="BU164" i="4"/>
  <c r="BV164" i="4"/>
  <c r="BW164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CY164" i="4"/>
  <c r="CZ164" i="4"/>
  <c r="DA164" i="4"/>
  <c r="DB164" i="4"/>
  <c r="DC164" i="4"/>
  <c r="DD164" i="4"/>
  <c r="DE164" i="4"/>
  <c r="DF164" i="4"/>
  <c r="DG164" i="4"/>
  <c r="DH164" i="4"/>
  <c r="DI164" i="4"/>
  <c r="DJ164" i="4"/>
  <c r="DK164" i="4"/>
  <c r="DL164" i="4"/>
  <c r="DM164" i="4"/>
  <c r="DN164" i="4"/>
  <c r="DO164" i="4"/>
  <c r="DP164" i="4"/>
  <c r="DQ164" i="4"/>
  <c r="DR164" i="4"/>
  <c r="DS164" i="4"/>
  <c r="DT164" i="4"/>
  <c r="DU164" i="4"/>
  <c r="DV164" i="4"/>
  <c r="DW164" i="4"/>
  <c r="DX164" i="4"/>
  <c r="DY164" i="4"/>
  <c r="DZ164" i="4"/>
  <c r="EA164" i="4"/>
  <c r="EB164" i="4"/>
  <c r="EC164" i="4"/>
  <c r="ED164" i="4"/>
  <c r="EE164" i="4"/>
  <c r="EF164" i="4"/>
  <c r="EG164" i="4"/>
  <c r="EH164" i="4"/>
  <c r="EI164" i="4"/>
  <c r="EJ164" i="4"/>
  <c r="EK164" i="4"/>
  <c r="EL164" i="4"/>
  <c r="EM164" i="4"/>
  <c r="EN164" i="4"/>
  <c r="EO164" i="4"/>
  <c r="EP164" i="4"/>
  <c r="EQ164" i="4"/>
  <c r="ER164" i="4"/>
  <c r="ES164" i="4"/>
  <c r="ET164" i="4"/>
  <c r="D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BJ168" i="4"/>
  <c r="BK168" i="4"/>
  <c r="BL168" i="4"/>
  <c r="BM168" i="4"/>
  <c r="BN168" i="4"/>
  <c r="BO168" i="4"/>
  <c r="BP168" i="4"/>
  <c r="BQ168" i="4"/>
  <c r="BR168" i="4"/>
  <c r="BS168" i="4"/>
  <c r="BT168" i="4"/>
  <c r="BU168" i="4"/>
  <c r="BV168" i="4"/>
  <c r="BW168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CY168" i="4"/>
  <c r="CZ168" i="4"/>
  <c r="DA168" i="4"/>
  <c r="DB168" i="4"/>
  <c r="DC168" i="4"/>
  <c r="DD168" i="4"/>
  <c r="DE168" i="4"/>
  <c r="DF168" i="4"/>
  <c r="DG168" i="4"/>
  <c r="DH168" i="4"/>
  <c r="DI168" i="4"/>
  <c r="DJ168" i="4"/>
  <c r="DK168" i="4"/>
  <c r="DL168" i="4"/>
  <c r="DM168" i="4"/>
  <c r="DN168" i="4"/>
  <c r="DO168" i="4"/>
  <c r="DP168" i="4"/>
  <c r="DQ168" i="4"/>
  <c r="DR168" i="4"/>
  <c r="DS168" i="4"/>
  <c r="DT168" i="4"/>
  <c r="DU168" i="4"/>
  <c r="DV168" i="4"/>
  <c r="DW168" i="4"/>
  <c r="DX168" i="4"/>
  <c r="DY168" i="4"/>
  <c r="DZ168" i="4"/>
  <c r="EA168" i="4"/>
  <c r="EB168" i="4"/>
  <c r="EC168" i="4"/>
  <c r="ED168" i="4"/>
  <c r="EE168" i="4"/>
  <c r="EF168" i="4"/>
  <c r="EG168" i="4"/>
  <c r="EH168" i="4"/>
  <c r="EI168" i="4"/>
  <c r="EJ168" i="4"/>
  <c r="EK168" i="4"/>
  <c r="EL168" i="4"/>
  <c r="EM168" i="4"/>
  <c r="EN168" i="4"/>
  <c r="EO168" i="4"/>
  <c r="EP168" i="4"/>
  <c r="EQ168" i="4"/>
  <c r="ER168" i="4"/>
  <c r="ES168" i="4"/>
  <c r="ET168" i="4"/>
  <c r="D171" i="4"/>
  <c r="D172" i="4"/>
  <c r="D173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BE178" i="4"/>
  <c r="BF178" i="4"/>
  <c r="BG178" i="4"/>
  <c r="BH178" i="4"/>
  <c r="BI178" i="4"/>
  <c r="BJ178" i="4"/>
  <c r="BK178" i="4"/>
  <c r="BL178" i="4"/>
  <c r="BM178" i="4"/>
  <c r="BN178" i="4"/>
  <c r="BO178" i="4"/>
  <c r="BP178" i="4"/>
  <c r="BQ178" i="4"/>
  <c r="BR178" i="4"/>
  <c r="BS178" i="4"/>
  <c r="BT178" i="4"/>
  <c r="BU178" i="4"/>
  <c r="BV178" i="4"/>
  <c r="BW178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CY178" i="4"/>
  <c r="CZ178" i="4"/>
  <c r="DA178" i="4"/>
  <c r="DB178" i="4"/>
  <c r="DC178" i="4"/>
  <c r="DD178" i="4"/>
  <c r="DE178" i="4"/>
  <c r="DF178" i="4"/>
  <c r="DG178" i="4"/>
  <c r="DH178" i="4"/>
  <c r="DI178" i="4"/>
  <c r="DJ178" i="4"/>
  <c r="DK178" i="4"/>
  <c r="DL178" i="4"/>
  <c r="DM178" i="4"/>
  <c r="DN178" i="4"/>
  <c r="DO178" i="4"/>
  <c r="DP178" i="4"/>
  <c r="DQ178" i="4"/>
  <c r="DR178" i="4"/>
  <c r="DS178" i="4"/>
  <c r="DT178" i="4"/>
  <c r="DU178" i="4"/>
  <c r="DV178" i="4"/>
  <c r="DW178" i="4"/>
  <c r="DX178" i="4"/>
  <c r="DY178" i="4"/>
  <c r="DZ178" i="4"/>
  <c r="EA178" i="4"/>
  <c r="EB178" i="4"/>
  <c r="EC178" i="4"/>
  <c r="ED178" i="4"/>
  <c r="EE178" i="4"/>
  <c r="EF178" i="4"/>
  <c r="EG178" i="4"/>
  <c r="EH178" i="4"/>
  <c r="EI178" i="4"/>
  <c r="EJ178" i="4"/>
  <c r="EK178" i="4"/>
  <c r="EL178" i="4"/>
  <c r="EM178" i="4"/>
  <c r="EN178" i="4"/>
  <c r="EO178" i="4"/>
  <c r="EP178" i="4"/>
  <c r="EQ178" i="4"/>
  <c r="ER178" i="4"/>
  <c r="ES178" i="4"/>
  <c r="ET178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BE179" i="4"/>
  <c r="BF179" i="4"/>
  <c r="BG179" i="4"/>
  <c r="BH179" i="4"/>
  <c r="BI179" i="4"/>
  <c r="BJ179" i="4"/>
  <c r="BK179" i="4"/>
  <c r="BL179" i="4"/>
  <c r="BM179" i="4"/>
  <c r="BN179" i="4"/>
  <c r="BO179" i="4"/>
  <c r="BP179" i="4"/>
  <c r="BQ179" i="4"/>
  <c r="BR179" i="4"/>
  <c r="BS179" i="4"/>
  <c r="BT179" i="4"/>
  <c r="BU179" i="4"/>
  <c r="BV179" i="4"/>
  <c r="BW179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CY179" i="4"/>
  <c r="CZ179" i="4"/>
  <c r="DA179" i="4"/>
  <c r="DB179" i="4"/>
  <c r="DC179" i="4"/>
  <c r="DD179" i="4"/>
  <c r="DE179" i="4"/>
  <c r="DF179" i="4"/>
  <c r="DG179" i="4"/>
  <c r="DH179" i="4"/>
  <c r="DI179" i="4"/>
  <c r="DJ179" i="4"/>
  <c r="DK179" i="4"/>
  <c r="DL179" i="4"/>
  <c r="DM179" i="4"/>
  <c r="DN179" i="4"/>
  <c r="DO179" i="4"/>
  <c r="DP179" i="4"/>
  <c r="DQ179" i="4"/>
  <c r="DR179" i="4"/>
  <c r="DS179" i="4"/>
  <c r="DT179" i="4"/>
  <c r="DU179" i="4"/>
  <c r="DV179" i="4"/>
  <c r="DW179" i="4"/>
  <c r="DX179" i="4"/>
  <c r="DY179" i="4"/>
  <c r="DZ179" i="4"/>
  <c r="EA179" i="4"/>
  <c r="EB179" i="4"/>
  <c r="EC179" i="4"/>
  <c r="ED179" i="4"/>
  <c r="EE179" i="4"/>
  <c r="EF179" i="4"/>
  <c r="EG179" i="4"/>
  <c r="EH179" i="4"/>
  <c r="EI179" i="4"/>
  <c r="EJ179" i="4"/>
  <c r="EK179" i="4"/>
  <c r="EL179" i="4"/>
  <c r="EM179" i="4"/>
  <c r="EN179" i="4"/>
  <c r="EO179" i="4"/>
  <c r="EP179" i="4"/>
  <c r="EQ179" i="4"/>
  <c r="ER179" i="4"/>
  <c r="ES179" i="4"/>
  <c r="ET179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BJ180" i="4"/>
  <c r="BK180" i="4"/>
  <c r="BL180" i="4"/>
  <c r="BM180" i="4"/>
  <c r="BN180" i="4"/>
  <c r="BO180" i="4"/>
  <c r="BP180" i="4"/>
  <c r="BQ180" i="4"/>
  <c r="BR180" i="4"/>
  <c r="BS180" i="4"/>
  <c r="BT180" i="4"/>
  <c r="BU180" i="4"/>
  <c r="BV180" i="4"/>
  <c r="BW180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CY180" i="4"/>
  <c r="CZ180" i="4"/>
  <c r="DA180" i="4"/>
  <c r="DB180" i="4"/>
  <c r="DC180" i="4"/>
  <c r="DD180" i="4"/>
  <c r="DE180" i="4"/>
  <c r="DF180" i="4"/>
  <c r="DG180" i="4"/>
  <c r="DH180" i="4"/>
  <c r="DI180" i="4"/>
  <c r="DJ180" i="4"/>
  <c r="DK180" i="4"/>
  <c r="DL180" i="4"/>
  <c r="DM180" i="4"/>
  <c r="DN180" i="4"/>
  <c r="DO180" i="4"/>
  <c r="DP180" i="4"/>
  <c r="DQ180" i="4"/>
  <c r="DR180" i="4"/>
  <c r="DS180" i="4"/>
  <c r="DT180" i="4"/>
  <c r="DU180" i="4"/>
  <c r="DV180" i="4"/>
  <c r="DW180" i="4"/>
  <c r="DX180" i="4"/>
  <c r="DY180" i="4"/>
  <c r="DZ180" i="4"/>
  <c r="EA180" i="4"/>
  <c r="EB180" i="4"/>
  <c r="EC180" i="4"/>
  <c r="ED180" i="4"/>
  <c r="EE180" i="4"/>
  <c r="EF180" i="4"/>
  <c r="EG180" i="4"/>
  <c r="EH180" i="4"/>
  <c r="EI180" i="4"/>
  <c r="EJ180" i="4"/>
  <c r="EK180" i="4"/>
  <c r="EL180" i="4"/>
  <c r="EM180" i="4"/>
  <c r="EN180" i="4"/>
  <c r="EO180" i="4"/>
  <c r="EP180" i="4"/>
  <c r="EQ180" i="4"/>
  <c r="ER180" i="4"/>
  <c r="ES180" i="4"/>
  <c r="ET180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BE181" i="4"/>
  <c r="BF181" i="4"/>
  <c r="BG181" i="4"/>
  <c r="BH181" i="4"/>
  <c r="BI181" i="4"/>
  <c r="BJ181" i="4"/>
  <c r="BK181" i="4"/>
  <c r="BL181" i="4"/>
  <c r="BM181" i="4"/>
  <c r="BN181" i="4"/>
  <c r="BO181" i="4"/>
  <c r="BP181" i="4"/>
  <c r="BQ181" i="4"/>
  <c r="BR181" i="4"/>
  <c r="BS181" i="4"/>
  <c r="BT181" i="4"/>
  <c r="BU181" i="4"/>
  <c r="BV181" i="4"/>
  <c r="BW181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CY181" i="4"/>
  <c r="CZ181" i="4"/>
  <c r="DA181" i="4"/>
  <c r="DB181" i="4"/>
  <c r="DC181" i="4"/>
  <c r="DD181" i="4"/>
  <c r="DE181" i="4"/>
  <c r="DF181" i="4"/>
  <c r="DG181" i="4"/>
  <c r="DH181" i="4"/>
  <c r="DI181" i="4"/>
  <c r="DJ181" i="4"/>
  <c r="DK181" i="4"/>
  <c r="DL181" i="4"/>
  <c r="DM181" i="4"/>
  <c r="DN181" i="4"/>
  <c r="DO181" i="4"/>
  <c r="DP181" i="4"/>
  <c r="DQ181" i="4"/>
  <c r="DR181" i="4"/>
  <c r="DS181" i="4"/>
  <c r="DT181" i="4"/>
  <c r="DU181" i="4"/>
  <c r="DV181" i="4"/>
  <c r="DW181" i="4"/>
  <c r="DX181" i="4"/>
  <c r="DY181" i="4"/>
  <c r="DZ181" i="4"/>
  <c r="EA181" i="4"/>
  <c r="EB181" i="4"/>
  <c r="EC181" i="4"/>
  <c r="ED181" i="4"/>
  <c r="EE181" i="4"/>
  <c r="EF181" i="4"/>
  <c r="EG181" i="4"/>
  <c r="EH181" i="4"/>
  <c r="EI181" i="4"/>
  <c r="EJ181" i="4"/>
  <c r="EK181" i="4"/>
  <c r="EL181" i="4"/>
  <c r="EM181" i="4"/>
  <c r="EN181" i="4"/>
  <c r="EO181" i="4"/>
  <c r="EP181" i="4"/>
  <c r="EQ181" i="4"/>
  <c r="ER181" i="4"/>
  <c r="ES181" i="4"/>
  <c r="ET181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BE182" i="4"/>
  <c r="BF182" i="4"/>
  <c r="BG182" i="4"/>
  <c r="BH182" i="4"/>
  <c r="BI182" i="4"/>
  <c r="BJ182" i="4"/>
  <c r="BK182" i="4"/>
  <c r="BL182" i="4"/>
  <c r="BM182" i="4"/>
  <c r="BN182" i="4"/>
  <c r="BO182" i="4"/>
  <c r="BP182" i="4"/>
  <c r="BQ182" i="4"/>
  <c r="BR182" i="4"/>
  <c r="BS182" i="4"/>
  <c r="BT182" i="4"/>
  <c r="BU182" i="4"/>
  <c r="BV182" i="4"/>
  <c r="BW182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CY182" i="4"/>
  <c r="CZ182" i="4"/>
  <c r="DA182" i="4"/>
  <c r="DB182" i="4"/>
  <c r="DC182" i="4"/>
  <c r="DD182" i="4"/>
  <c r="DE182" i="4"/>
  <c r="DF182" i="4"/>
  <c r="DG182" i="4"/>
  <c r="DH182" i="4"/>
  <c r="DI182" i="4"/>
  <c r="DJ182" i="4"/>
  <c r="DK182" i="4"/>
  <c r="DL182" i="4"/>
  <c r="DM182" i="4"/>
  <c r="DN182" i="4"/>
  <c r="DO182" i="4"/>
  <c r="DP182" i="4"/>
  <c r="DQ182" i="4"/>
  <c r="DR182" i="4"/>
  <c r="DS182" i="4"/>
  <c r="DT182" i="4"/>
  <c r="DU182" i="4"/>
  <c r="DV182" i="4"/>
  <c r="DW182" i="4"/>
  <c r="DX182" i="4"/>
  <c r="DY182" i="4"/>
  <c r="DZ182" i="4"/>
  <c r="EA182" i="4"/>
  <c r="EB182" i="4"/>
  <c r="EC182" i="4"/>
  <c r="ED182" i="4"/>
  <c r="EE182" i="4"/>
  <c r="EF182" i="4"/>
  <c r="EG182" i="4"/>
  <c r="EH182" i="4"/>
  <c r="EI182" i="4"/>
  <c r="EJ182" i="4"/>
  <c r="EK182" i="4"/>
  <c r="EL182" i="4"/>
  <c r="EM182" i="4"/>
  <c r="EN182" i="4"/>
  <c r="EO182" i="4"/>
  <c r="EP182" i="4"/>
  <c r="EQ182" i="4"/>
  <c r="ER182" i="4"/>
  <c r="ES182" i="4"/>
  <c r="ET182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BE184" i="4"/>
  <c r="BF184" i="4"/>
  <c r="BG184" i="4"/>
  <c r="BH184" i="4"/>
  <c r="BI184" i="4"/>
  <c r="BJ184" i="4"/>
  <c r="BK184" i="4"/>
  <c r="BL184" i="4"/>
  <c r="BM184" i="4"/>
  <c r="BN184" i="4"/>
  <c r="BO184" i="4"/>
  <c r="BP184" i="4"/>
  <c r="BQ184" i="4"/>
  <c r="BR184" i="4"/>
  <c r="BS184" i="4"/>
  <c r="BT184" i="4"/>
  <c r="BU184" i="4"/>
  <c r="BV184" i="4"/>
  <c r="BW184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CY184" i="4"/>
  <c r="CZ184" i="4"/>
  <c r="DA184" i="4"/>
  <c r="DB184" i="4"/>
  <c r="DC184" i="4"/>
  <c r="DD184" i="4"/>
  <c r="DE184" i="4"/>
  <c r="DF184" i="4"/>
  <c r="DG184" i="4"/>
  <c r="DH184" i="4"/>
  <c r="DI184" i="4"/>
  <c r="DJ184" i="4"/>
  <c r="DK184" i="4"/>
  <c r="DL184" i="4"/>
  <c r="DM184" i="4"/>
  <c r="DN184" i="4"/>
  <c r="DO184" i="4"/>
  <c r="DP184" i="4"/>
  <c r="DQ184" i="4"/>
  <c r="DR184" i="4"/>
  <c r="DS184" i="4"/>
  <c r="DT184" i="4"/>
  <c r="DU184" i="4"/>
  <c r="DV184" i="4"/>
  <c r="DW184" i="4"/>
  <c r="DX184" i="4"/>
  <c r="DY184" i="4"/>
  <c r="DZ184" i="4"/>
  <c r="EA184" i="4"/>
  <c r="EB184" i="4"/>
  <c r="EC184" i="4"/>
  <c r="ED184" i="4"/>
  <c r="EE184" i="4"/>
  <c r="EF184" i="4"/>
  <c r="EG184" i="4"/>
  <c r="EH184" i="4"/>
  <c r="EI184" i="4"/>
  <c r="EJ184" i="4"/>
  <c r="EK184" i="4"/>
  <c r="EL184" i="4"/>
  <c r="EM184" i="4"/>
  <c r="EN184" i="4"/>
  <c r="EO184" i="4"/>
  <c r="EP184" i="4"/>
  <c r="EQ184" i="4"/>
  <c r="ER184" i="4"/>
  <c r="ES184" i="4"/>
  <c r="ET184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BE185" i="4"/>
  <c r="BF185" i="4"/>
  <c r="BG185" i="4"/>
  <c r="BH185" i="4"/>
  <c r="BI185" i="4"/>
  <c r="BJ185" i="4"/>
  <c r="BK185" i="4"/>
  <c r="BL185" i="4"/>
  <c r="BM185" i="4"/>
  <c r="BN185" i="4"/>
  <c r="BO185" i="4"/>
  <c r="BP185" i="4"/>
  <c r="BQ185" i="4"/>
  <c r="BR185" i="4"/>
  <c r="BS185" i="4"/>
  <c r="BT185" i="4"/>
  <c r="BU185" i="4"/>
  <c r="BV185" i="4"/>
  <c r="BW185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CY185" i="4"/>
  <c r="CZ185" i="4"/>
  <c r="DA185" i="4"/>
  <c r="DB185" i="4"/>
  <c r="DC185" i="4"/>
  <c r="DD185" i="4"/>
  <c r="DE185" i="4"/>
  <c r="DF185" i="4"/>
  <c r="DG185" i="4"/>
  <c r="DH185" i="4"/>
  <c r="DI185" i="4"/>
  <c r="DJ185" i="4"/>
  <c r="DK185" i="4"/>
  <c r="DL185" i="4"/>
  <c r="DM185" i="4"/>
  <c r="DN185" i="4"/>
  <c r="DO185" i="4"/>
  <c r="DP185" i="4"/>
  <c r="DQ185" i="4"/>
  <c r="DR185" i="4"/>
  <c r="DS185" i="4"/>
  <c r="DT185" i="4"/>
  <c r="DU185" i="4"/>
  <c r="DV185" i="4"/>
  <c r="DW185" i="4"/>
  <c r="DX185" i="4"/>
  <c r="DY185" i="4"/>
  <c r="DZ185" i="4"/>
  <c r="EA185" i="4"/>
  <c r="EB185" i="4"/>
  <c r="EC185" i="4"/>
  <c r="ED185" i="4"/>
  <c r="EE185" i="4"/>
  <c r="EF185" i="4"/>
  <c r="EG185" i="4"/>
  <c r="EH185" i="4"/>
  <c r="EI185" i="4"/>
  <c r="EJ185" i="4"/>
  <c r="EK185" i="4"/>
  <c r="EL185" i="4"/>
  <c r="EM185" i="4"/>
  <c r="EN185" i="4"/>
  <c r="EO185" i="4"/>
  <c r="EP185" i="4"/>
  <c r="EQ185" i="4"/>
  <c r="ER185" i="4"/>
  <c r="ES185" i="4"/>
  <c r="ET185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BJ186" i="4"/>
  <c r="BK186" i="4"/>
  <c r="BL186" i="4"/>
  <c r="BM186" i="4"/>
  <c r="BN186" i="4"/>
  <c r="BO186" i="4"/>
  <c r="BP186" i="4"/>
  <c r="BQ186" i="4"/>
  <c r="BR186" i="4"/>
  <c r="BS186" i="4"/>
  <c r="BT186" i="4"/>
  <c r="BU186" i="4"/>
  <c r="BV186" i="4"/>
  <c r="BW186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CY186" i="4"/>
  <c r="CZ186" i="4"/>
  <c r="DA186" i="4"/>
  <c r="DB186" i="4"/>
  <c r="DC186" i="4"/>
  <c r="DD186" i="4"/>
  <c r="DE186" i="4"/>
  <c r="DF186" i="4"/>
  <c r="DG186" i="4"/>
  <c r="DH186" i="4"/>
  <c r="DI186" i="4"/>
  <c r="DJ186" i="4"/>
  <c r="DK186" i="4"/>
  <c r="DL186" i="4"/>
  <c r="DM186" i="4"/>
  <c r="DN186" i="4"/>
  <c r="DO186" i="4"/>
  <c r="DP186" i="4"/>
  <c r="DQ186" i="4"/>
  <c r="DR186" i="4"/>
  <c r="DS186" i="4"/>
  <c r="DT186" i="4"/>
  <c r="DU186" i="4"/>
  <c r="DV186" i="4"/>
  <c r="DW186" i="4"/>
  <c r="DX186" i="4"/>
  <c r="DY186" i="4"/>
  <c r="DZ186" i="4"/>
  <c r="EA186" i="4"/>
  <c r="EB186" i="4"/>
  <c r="EC186" i="4"/>
  <c r="ED186" i="4"/>
  <c r="EE186" i="4"/>
  <c r="EF186" i="4"/>
  <c r="EG186" i="4"/>
  <c r="EH186" i="4"/>
  <c r="EI186" i="4"/>
  <c r="EJ186" i="4"/>
  <c r="EK186" i="4"/>
  <c r="EL186" i="4"/>
  <c r="EM186" i="4"/>
  <c r="EN186" i="4"/>
  <c r="EO186" i="4"/>
  <c r="EP186" i="4"/>
  <c r="EQ186" i="4"/>
  <c r="ER186" i="4"/>
  <c r="ES186" i="4"/>
  <c r="ET186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BE187" i="4"/>
  <c r="BF187" i="4"/>
  <c r="BG187" i="4"/>
  <c r="BH187" i="4"/>
  <c r="BI187" i="4"/>
  <c r="BJ187" i="4"/>
  <c r="BK187" i="4"/>
  <c r="BL187" i="4"/>
  <c r="BM187" i="4"/>
  <c r="BN187" i="4"/>
  <c r="BO187" i="4"/>
  <c r="BP187" i="4"/>
  <c r="BQ187" i="4"/>
  <c r="BR187" i="4"/>
  <c r="BS187" i="4"/>
  <c r="BT187" i="4"/>
  <c r="BU187" i="4"/>
  <c r="BV187" i="4"/>
  <c r="BW187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CY187" i="4"/>
  <c r="CZ187" i="4"/>
  <c r="DA187" i="4"/>
  <c r="DB187" i="4"/>
  <c r="DC187" i="4"/>
  <c r="DD187" i="4"/>
  <c r="DE187" i="4"/>
  <c r="DF187" i="4"/>
  <c r="DG187" i="4"/>
  <c r="DH187" i="4"/>
  <c r="DI187" i="4"/>
  <c r="DJ187" i="4"/>
  <c r="DK187" i="4"/>
  <c r="DL187" i="4"/>
  <c r="DM187" i="4"/>
  <c r="DN187" i="4"/>
  <c r="DO187" i="4"/>
  <c r="DP187" i="4"/>
  <c r="DQ187" i="4"/>
  <c r="DR187" i="4"/>
  <c r="DS187" i="4"/>
  <c r="DT187" i="4"/>
  <c r="DU187" i="4"/>
  <c r="DV187" i="4"/>
  <c r="DW187" i="4"/>
  <c r="DX187" i="4"/>
  <c r="DY187" i="4"/>
  <c r="DZ187" i="4"/>
  <c r="EA187" i="4"/>
  <c r="EB187" i="4"/>
  <c r="EC187" i="4"/>
  <c r="ED187" i="4"/>
  <c r="EE187" i="4"/>
  <c r="EF187" i="4"/>
  <c r="EG187" i="4"/>
  <c r="EH187" i="4"/>
  <c r="EI187" i="4"/>
  <c r="EJ187" i="4"/>
  <c r="EK187" i="4"/>
  <c r="EL187" i="4"/>
  <c r="EM187" i="4"/>
  <c r="EN187" i="4"/>
  <c r="EO187" i="4"/>
  <c r="EP187" i="4"/>
  <c r="EQ187" i="4"/>
  <c r="ER187" i="4"/>
  <c r="ES187" i="4"/>
  <c r="ET187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BJ189" i="4"/>
  <c r="BK189" i="4"/>
  <c r="BL189" i="4"/>
  <c r="BM189" i="4"/>
  <c r="BN189" i="4"/>
  <c r="BO189" i="4"/>
  <c r="BP189" i="4"/>
  <c r="BQ189" i="4"/>
  <c r="BR189" i="4"/>
  <c r="BS189" i="4"/>
  <c r="BT189" i="4"/>
  <c r="BU189" i="4"/>
  <c r="BV189" i="4"/>
  <c r="BW189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CY189" i="4"/>
  <c r="CZ189" i="4"/>
  <c r="DA189" i="4"/>
  <c r="DB189" i="4"/>
  <c r="DC189" i="4"/>
  <c r="DD189" i="4"/>
  <c r="DE189" i="4"/>
  <c r="DF189" i="4"/>
  <c r="DG189" i="4"/>
  <c r="DH189" i="4"/>
  <c r="DI189" i="4"/>
  <c r="DJ189" i="4"/>
  <c r="DK189" i="4"/>
  <c r="DL189" i="4"/>
  <c r="DM189" i="4"/>
  <c r="DN189" i="4"/>
  <c r="DO189" i="4"/>
  <c r="DP189" i="4"/>
  <c r="DQ189" i="4"/>
  <c r="DR189" i="4"/>
  <c r="DS189" i="4"/>
  <c r="DT189" i="4"/>
  <c r="DU189" i="4"/>
  <c r="DV189" i="4"/>
  <c r="DW189" i="4"/>
  <c r="DX189" i="4"/>
  <c r="DY189" i="4"/>
  <c r="DZ189" i="4"/>
  <c r="EA189" i="4"/>
  <c r="EB189" i="4"/>
  <c r="EC189" i="4"/>
  <c r="ED189" i="4"/>
  <c r="EE189" i="4"/>
  <c r="EF189" i="4"/>
  <c r="EG189" i="4"/>
  <c r="EH189" i="4"/>
  <c r="EI189" i="4"/>
  <c r="EJ189" i="4"/>
  <c r="EK189" i="4"/>
  <c r="EL189" i="4"/>
  <c r="EM189" i="4"/>
  <c r="EN189" i="4"/>
  <c r="EO189" i="4"/>
  <c r="EP189" i="4"/>
  <c r="EQ189" i="4"/>
  <c r="ER189" i="4"/>
  <c r="ES189" i="4"/>
  <c r="ET189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BE191" i="4"/>
  <c r="BF191" i="4"/>
  <c r="BG191" i="4"/>
  <c r="BH191" i="4"/>
  <c r="BI191" i="4"/>
  <c r="BJ191" i="4"/>
  <c r="BK191" i="4"/>
  <c r="BL191" i="4"/>
  <c r="BM191" i="4"/>
  <c r="BN191" i="4"/>
  <c r="BO191" i="4"/>
  <c r="BP191" i="4"/>
  <c r="BQ191" i="4"/>
  <c r="BR191" i="4"/>
  <c r="BS191" i="4"/>
  <c r="BT191" i="4"/>
  <c r="BU191" i="4"/>
  <c r="BV191" i="4"/>
  <c r="BW191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CY191" i="4"/>
  <c r="CZ191" i="4"/>
  <c r="DA191" i="4"/>
  <c r="DB191" i="4"/>
  <c r="DC191" i="4"/>
  <c r="DD191" i="4"/>
  <c r="DE191" i="4"/>
  <c r="DF191" i="4"/>
  <c r="DG191" i="4"/>
  <c r="DH191" i="4"/>
  <c r="DI191" i="4"/>
  <c r="DJ191" i="4"/>
  <c r="DK191" i="4"/>
  <c r="DL191" i="4"/>
  <c r="DM191" i="4"/>
  <c r="DN191" i="4"/>
  <c r="DO191" i="4"/>
  <c r="DP191" i="4"/>
  <c r="DQ191" i="4"/>
  <c r="DR191" i="4"/>
  <c r="DS191" i="4"/>
  <c r="DT191" i="4"/>
  <c r="DU191" i="4"/>
  <c r="DV191" i="4"/>
  <c r="DW191" i="4"/>
  <c r="DX191" i="4"/>
  <c r="DY191" i="4"/>
  <c r="DZ191" i="4"/>
  <c r="EA191" i="4"/>
  <c r="EB191" i="4"/>
  <c r="EC191" i="4"/>
  <c r="ED191" i="4"/>
  <c r="EE191" i="4"/>
  <c r="EF191" i="4"/>
  <c r="EG191" i="4"/>
  <c r="EH191" i="4"/>
  <c r="EI191" i="4"/>
  <c r="EJ191" i="4"/>
  <c r="EK191" i="4"/>
  <c r="EL191" i="4"/>
  <c r="EM191" i="4"/>
  <c r="EN191" i="4"/>
  <c r="EO191" i="4"/>
  <c r="EP191" i="4"/>
  <c r="EQ191" i="4"/>
  <c r="ER191" i="4"/>
  <c r="ES191" i="4"/>
  <c r="ET191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BJ192" i="4"/>
  <c r="BK192" i="4"/>
  <c r="BL192" i="4"/>
  <c r="BM192" i="4"/>
  <c r="BN192" i="4"/>
  <c r="BO192" i="4"/>
  <c r="BP192" i="4"/>
  <c r="BQ192" i="4"/>
  <c r="BR192" i="4"/>
  <c r="BS192" i="4"/>
  <c r="BT192" i="4"/>
  <c r="BU192" i="4"/>
  <c r="BV192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CY192" i="4"/>
  <c r="CZ192" i="4"/>
  <c r="DA192" i="4"/>
  <c r="DB192" i="4"/>
  <c r="DC192" i="4"/>
  <c r="DD192" i="4"/>
  <c r="DE192" i="4"/>
  <c r="DF192" i="4"/>
  <c r="DG192" i="4"/>
  <c r="DH192" i="4"/>
  <c r="DI192" i="4"/>
  <c r="DJ192" i="4"/>
  <c r="DK192" i="4"/>
  <c r="DL192" i="4"/>
  <c r="DM192" i="4"/>
  <c r="DN192" i="4"/>
  <c r="DO192" i="4"/>
  <c r="DP192" i="4"/>
  <c r="DQ192" i="4"/>
  <c r="DR192" i="4"/>
  <c r="DS192" i="4"/>
  <c r="DT192" i="4"/>
  <c r="DU192" i="4"/>
  <c r="DV192" i="4"/>
  <c r="DW192" i="4"/>
  <c r="DX192" i="4"/>
  <c r="DY192" i="4"/>
  <c r="DZ192" i="4"/>
  <c r="EA192" i="4"/>
  <c r="EB192" i="4"/>
  <c r="EC192" i="4"/>
  <c r="ED192" i="4"/>
  <c r="EE192" i="4"/>
  <c r="EF192" i="4"/>
  <c r="EG192" i="4"/>
  <c r="EH192" i="4"/>
  <c r="EI192" i="4"/>
  <c r="EJ192" i="4"/>
  <c r="EK192" i="4"/>
  <c r="EL192" i="4"/>
  <c r="EM192" i="4"/>
  <c r="EN192" i="4"/>
  <c r="EO192" i="4"/>
  <c r="EP192" i="4"/>
  <c r="EQ192" i="4"/>
  <c r="ER192" i="4"/>
  <c r="ES192" i="4"/>
  <c r="ET192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BE193" i="4"/>
  <c r="BF193" i="4"/>
  <c r="BG193" i="4"/>
  <c r="BH193" i="4"/>
  <c r="BI193" i="4"/>
  <c r="BJ193" i="4"/>
  <c r="BK193" i="4"/>
  <c r="BL193" i="4"/>
  <c r="BM193" i="4"/>
  <c r="BN193" i="4"/>
  <c r="BO193" i="4"/>
  <c r="BP193" i="4"/>
  <c r="BQ193" i="4"/>
  <c r="BR193" i="4"/>
  <c r="BS193" i="4"/>
  <c r="BT193" i="4"/>
  <c r="BU193" i="4"/>
  <c r="BV193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CY193" i="4"/>
  <c r="CZ193" i="4"/>
  <c r="DA193" i="4"/>
  <c r="DB193" i="4"/>
  <c r="DC193" i="4"/>
  <c r="DD193" i="4"/>
  <c r="DE193" i="4"/>
  <c r="DF193" i="4"/>
  <c r="DG193" i="4"/>
  <c r="DH193" i="4"/>
  <c r="DI193" i="4"/>
  <c r="DJ193" i="4"/>
  <c r="DK193" i="4"/>
  <c r="DL193" i="4"/>
  <c r="DM193" i="4"/>
  <c r="DN193" i="4"/>
  <c r="DO193" i="4"/>
  <c r="DP193" i="4"/>
  <c r="DQ193" i="4"/>
  <c r="DR193" i="4"/>
  <c r="DS193" i="4"/>
  <c r="DT193" i="4"/>
  <c r="DU193" i="4"/>
  <c r="DV193" i="4"/>
  <c r="DW193" i="4"/>
  <c r="DX193" i="4"/>
  <c r="DY193" i="4"/>
  <c r="DZ193" i="4"/>
  <c r="EA193" i="4"/>
  <c r="EB193" i="4"/>
  <c r="EC193" i="4"/>
  <c r="ED193" i="4"/>
  <c r="EE193" i="4"/>
  <c r="EF193" i="4"/>
  <c r="EG193" i="4"/>
  <c r="EH193" i="4"/>
  <c r="EI193" i="4"/>
  <c r="EJ193" i="4"/>
  <c r="EK193" i="4"/>
  <c r="EL193" i="4"/>
  <c r="EM193" i="4"/>
  <c r="EN193" i="4"/>
  <c r="EO193" i="4"/>
  <c r="EP193" i="4"/>
  <c r="EQ193" i="4"/>
  <c r="ER193" i="4"/>
  <c r="ES193" i="4"/>
  <c r="ET193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BE194" i="4"/>
  <c r="BF194" i="4"/>
  <c r="BG194" i="4"/>
  <c r="BH194" i="4"/>
  <c r="BI194" i="4"/>
  <c r="BJ194" i="4"/>
  <c r="BK194" i="4"/>
  <c r="BL194" i="4"/>
  <c r="BM194" i="4"/>
  <c r="BN194" i="4"/>
  <c r="BO194" i="4"/>
  <c r="BP194" i="4"/>
  <c r="BQ194" i="4"/>
  <c r="BR194" i="4"/>
  <c r="BS194" i="4"/>
  <c r="BT194" i="4"/>
  <c r="BU194" i="4"/>
  <c r="BV194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CY194" i="4"/>
  <c r="CZ194" i="4"/>
  <c r="DA194" i="4"/>
  <c r="DB194" i="4"/>
  <c r="DC194" i="4"/>
  <c r="DD194" i="4"/>
  <c r="DE194" i="4"/>
  <c r="DF194" i="4"/>
  <c r="DG194" i="4"/>
  <c r="DH194" i="4"/>
  <c r="DI194" i="4"/>
  <c r="DJ194" i="4"/>
  <c r="DK194" i="4"/>
  <c r="DL194" i="4"/>
  <c r="DM194" i="4"/>
  <c r="DN194" i="4"/>
  <c r="DO194" i="4"/>
  <c r="DP194" i="4"/>
  <c r="DQ194" i="4"/>
  <c r="DR194" i="4"/>
  <c r="DS194" i="4"/>
  <c r="DT194" i="4"/>
  <c r="DU194" i="4"/>
  <c r="DV194" i="4"/>
  <c r="DW194" i="4"/>
  <c r="DX194" i="4"/>
  <c r="DY194" i="4"/>
  <c r="DZ194" i="4"/>
  <c r="EA194" i="4"/>
  <c r="EB194" i="4"/>
  <c r="EC194" i="4"/>
  <c r="ED194" i="4"/>
  <c r="EE194" i="4"/>
  <c r="EF194" i="4"/>
  <c r="EG194" i="4"/>
  <c r="EH194" i="4"/>
  <c r="EI194" i="4"/>
  <c r="EJ194" i="4"/>
  <c r="EK194" i="4"/>
  <c r="EL194" i="4"/>
  <c r="EM194" i="4"/>
  <c r="EN194" i="4"/>
  <c r="EO194" i="4"/>
  <c r="EP194" i="4"/>
  <c r="EQ194" i="4"/>
  <c r="ER194" i="4"/>
  <c r="ES194" i="4"/>
  <c r="ET194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BE196" i="4"/>
  <c r="BF196" i="4"/>
  <c r="BG196" i="4"/>
  <c r="BH196" i="4"/>
  <c r="BI196" i="4"/>
  <c r="BJ196" i="4"/>
  <c r="BK196" i="4"/>
  <c r="BL196" i="4"/>
  <c r="BM196" i="4"/>
  <c r="BN196" i="4"/>
  <c r="BO196" i="4"/>
  <c r="BP196" i="4"/>
  <c r="BQ196" i="4"/>
  <c r="BR196" i="4"/>
  <c r="BS196" i="4"/>
  <c r="BT196" i="4"/>
  <c r="BU196" i="4"/>
  <c r="BV196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CY196" i="4"/>
  <c r="CZ196" i="4"/>
  <c r="DA196" i="4"/>
  <c r="DB196" i="4"/>
  <c r="DC196" i="4"/>
  <c r="DD196" i="4"/>
  <c r="DE196" i="4"/>
  <c r="DF196" i="4"/>
  <c r="DG196" i="4"/>
  <c r="DH196" i="4"/>
  <c r="DI196" i="4"/>
  <c r="DJ196" i="4"/>
  <c r="DK196" i="4"/>
  <c r="DL196" i="4"/>
  <c r="DM196" i="4"/>
  <c r="DN196" i="4"/>
  <c r="DO196" i="4"/>
  <c r="DP196" i="4"/>
  <c r="DQ196" i="4"/>
  <c r="DR196" i="4"/>
  <c r="DS196" i="4"/>
  <c r="DT196" i="4"/>
  <c r="DU196" i="4"/>
  <c r="DV196" i="4"/>
  <c r="DW196" i="4"/>
  <c r="DX196" i="4"/>
  <c r="DY196" i="4"/>
  <c r="DZ196" i="4"/>
  <c r="EA196" i="4"/>
  <c r="EB196" i="4"/>
  <c r="EC196" i="4"/>
  <c r="ED196" i="4"/>
  <c r="EE196" i="4"/>
  <c r="EF196" i="4"/>
  <c r="EG196" i="4"/>
  <c r="EH196" i="4"/>
  <c r="EI196" i="4"/>
  <c r="EJ196" i="4"/>
  <c r="EK196" i="4"/>
  <c r="EL196" i="4"/>
  <c r="EM196" i="4"/>
  <c r="EN196" i="4"/>
  <c r="EO196" i="4"/>
  <c r="EP196" i="4"/>
  <c r="EQ196" i="4"/>
  <c r="ER196" i="4"/>
  <c r="ES196" i="4"/>
  <c r="ET196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BT198" i="4"/>
  <c r="BU198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CY198" i="4"/>
  <c r="CZ198" i="4"/>
  <c r="DA198" i="4"/>
  <c r="DB198" i="4"/>
  <c r="DC198" i="4"/>
  <c r="DD198" i="4"/>
  <c r="DE198" i="4"/>
  <c r="DF198" i="4"/>
  <c r="DG198" i="4"/>
  <c r="DH198" i="4"/>
  <c r="DI198" i="4"/>
  <c r="DJ198" i="4"/>
  <c r="DK198" i="4"/>
  <c r="DL198" i="4"/>
  <c r="DM198" i="4"/>
  <c r="DN198" i="4"/>
  <c r="DO198" i="4"/>
  <c r="DP198" i="4"/>
  <c r="DQ198" i="4"/>
  <c r="DR198" i="4"/>
  <c r="DS198" i="4"/>
  <c r="DT198" i="4"/>
  <c r="DU198" i="4"/>
  <c r="DV198" i="4"/>
  <c r="DW198" i="4"/>
  <c r="DX198" i="4"/>
  <c r="DY198" i="4"/>
  <c r="DZ198" i="4"/>
  <c r="EA198" i="4"/>
  <c r="EB198" i="4"/>
  <c r="EC198" i="4"/>
  <c r="ED198" i="4"/>
  <c r="EE198" i="4"/>
  <c r="EF198" i="4"/>
  <c r="EG198" i="4"/>
  <c r="EH198" i="4"/>
  <c r="EI198" i="4"/>
  <c r="EJ198" i="4"/>
  <c r="EK198" i="4"/>
  <c r="EL198" i="4"/>
  <c r="EM198" i="4"/>
  <c r="EN198" i="4"/>
  <c r="EO198" i="4"/>
  <c r="EP198" i="4"/>
  <c r="EQ198" i="4"/>
  <c r="ER198" i="4"/>
  <c r="ES198" i="4"/>
  <c r="ET198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BT199" i="4"/>
  <c r="BU199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CY199" i="4"/>
  <c r="CZ199" i="4"/>
  <c r="DA199" i="4"/>
  <c r="DB199" i="4"/>
  <c r="DC199" i="4"/>
  <c r="DD199" i="4"/>
  <c r="DE199" i="4"/>
  <c r="DF199" i="4"/>
  <c r="DG199" i="4"/>
  <c r="DH199" i="4"/>
  <c r="DI199" i="4"/>
  <c r="DJ199" i="4"/>
  <c r="DK199" i="4"/>
  <c r="DL199" i="4"/>
  <c r="DM199" i="4"/>
  <c r="DN199" i="4"/>
  <c r="DO199" i="4"/>
  <c r="DP199" i="4"/>
  <c r="DQ199" i="4"/>
  <c r="DR199" i="4"/>
  <c r="DS199" i="4"/>
  <c r="DT199" i="4"/>
  <c r="DU199" i="4"/>
  <c r="DV199" i="4"/>
  <c r="DW199" i="4"/>
  <c r="DX199" i="4"/>
  <c r="DY199" i="4"/>
  <c r="DZ199" i="4"/>
  <c r="EA199" i="4"/>
  <c r="EB199" i="4"/>
  <c r="EC199" i="4"/>
  <c r="ED199" i="4"/>
  <c r="EE199" i="4"/>
  <c r="EF199" i="4"/>
  <c r="EG199" i="4"/>
  <c r="EH199" i="4"/>
  <c r="EI199" i="4"/>
  <c r="EJ199" i="4"/>
  <c r="EK199" i="4"/>
  <c r="EL199" i="4"/>
  <c r="EM199" i="4"/>
  <c r="EN199" i="4"/>
  <c r="EO199" i="4"/>
  <c r="EP199" i="4"/>
  <c r="EQ199" i="4"/>
  <c r="ER199" i="4"/>
  <c r="ES199" i="4"/>
  <c r="ET199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BT200" i="4"/>
  <c r="BU200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CY200" i="4"/>
  <c r="CZ200" i="4"/>
  <c r="DA200" i="4"/>
  <c r="DB200" i="4"/>
  <c r="DC200" i="4"/>
  <c r="DD200" i="4"/>
  <c r="DE200" i="4"/>
  <c r="DF200" i="4"/>
  <c r="DG200" i="4"/>
  <c r="DH200" i="4"/>
  <c r="DI200" i="4"/>
  <c r="DJ200" i="4"/>
  <c r="DK200" i="4"/>
  <c r="DL200" i="4"/>
  <c r="DM200" i="4"/>
  <c r="DN200" i="4"/>
  <c r="DO200" i="4"/>
  <c r="DP200" i="4"/>
  <c r="DQ200" i="4"/>
  <c r="DR200" i="4"/>
  <c r="DS200" i="4"/>
  <c r="DT200" i="4"/>
  <c r="DU200" i="4"/>
  <c r="DV200" i="4"/>
  <c r="DW200" i="4"/>
  <c r="DX200" i="4"/>
  <c r="DY200" i="4"/>
  <c r="DZ200" i="4"/>
  <c r="EA200" i="4"/>
  <c r="EB200" i="4"/>
  <c r="EC200" i="4"/>
  <c r="ED200" i="4"/>
  <c r="EE200" i="4"/>
  <c r="EF200" i="4"/>
  <c r="EG200" i="4"/>
  <c r="EH200" i="4"/>
  <c r="EI200" i="4"/>
  <c r="EJ200" i="4"/>
  <c r="EK200" i="4"/>
  <c r="EL200" i="4"/>
  <c r="EM200" i="4"/>
  <c r="EN200" i="4"/>
  <c r="EO200" i="4"/>
  <c r="EP200" i="4"/>
  <c r="EQ200" i="4"/>
  <c r="ER200" i="4"/>
  <c r="ES200" i="4"/>
  <c r="ET200" i="4"/>
  <c r="D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BT202" i="4"/>
  <c r="BU202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CY202" i="4"/>
  <c r="CZ202" i="4"/>
  <c r="DA202" i="4"/>
  <c r="DB202" i="4"/>
  <c r="DC202" i="4"/>
  <c r="DD202" i="4"/>
  <c r="DE202" i="4"/>
  <c r="DF202" i="4"/>
  <c r="DG202" i="4"/>
  <c r="DH202" i="4"/>
  <c r="DI202" i="4"/>
  <c r="DJ202" i="4"/>
  <c r="DK202" i="4"/>
  <c r="DL202" i="4"/>
  <c r="DM202" i="4"/>
  <c r="DN202" i="4"/>
  <c r="DO202" i="4"/>
  <c r="DP202" i="4"/>
  <c r="DQ202" i="4"/>
  <c r="DR202" i="4"/>
  <c r="DS202" i="4"/>
  <c r="DT202" i="4"/>
  <c r="DU202" i="4"/>
  <c r="DV202" i="4"/>
  <c r="DW202" i="4"/>
  <c r="DX202" i="4"/>
  <c r="DY202" i="4"/>
  <c r="DZ202" i="4"/>
  <c r="EA202" i="4"/>
  <c r="EB202" i="4"/>
  <c r="EC202" i="4"/>
  <c r="ED202" i="4"/>
  <c r="EE202" i="4"/>
  <c r="EF202" i="4"/>
  <c r="EG202" i="4"/>
  <c r="EH202" i="4"/>
  <c r="EI202" i="4"/>
  <c r="EJ202" i="4"/>
  <c r="EK202" i="4"/>
  <c r="EL202" i="4"/>
  <c r="EM202" i="4"/>
  <c r="EN202" i="4"/>
  <c r="EO202" i="4"/>
  <c r="EP202" i="4"/>
  <c r="EQ202" i="4"/>
  <c r="ER202" i="4"/>
  <c r="ES202" i="4"/>
  <c r="ET202" i="4"/>
  <c r="D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BT203" i="4"/>
  <c r="BU203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Y203" i="4"/>
  <c r="CZ203" i="4"/>
  <c r="DA203" i="4"/>
  <c r="DB203" i="4"/>
  <c r="DC203" i="4"/>
  <c r="DD203" i="4"/>
  <c r="DE203" i="4"/>
  <c r="DF203" i="4"/>
  <c r="DG203" i="4"/>
  <c r="DH203" i="4"/>
  <c r="DI203" i="4"/>
  <c r="DJ203" i="4"/>
  <c r="DK203" i="4"/>
  <c r="DL203" i="4"/>
  <c r="DM203" i="4"/>
  <c r="DN203" i="4"/>
  <c r="DO203" i="4"/>
  <c r="DP203" i="4"/>
  <c r="DQ203" i="4"/>
  <c r="DR203" i="4"/>
  <c r="DS203" i="4"/>
  <c r="DT203" i="4"/>
  <c r="DU203" i="4"/>
  <c r="DV203" i="4"/>
  <c r="DW203" i="4"/>
  <c r="DX203" i="4"/>
  <c r="DY203" i="4"/>
  <c r="DZ203" i="4"/>
  <c r="EA203" i="4"/>
  <c r="EB203" i="4"/>
  <c r="EC203" i="4"/>
  <c r="ED203" i="4"/>
  <c r="EE203" i="4"/>
  <c r="EF203" i="4"/>
  <c r="EG203" i="4"/>
  <c r="EH203" i="4"/>
  <c r="EI203" i="4"/>
  <c r="EJ203" i="4"/>
  <c r="EK203" i="4"/>
  <c r="EL203" i="4"/>
  <c r="EM203" i="4"/>
  <c r="EN203" i="4"/>
  <c r="EO203" i="4"/>
  <c r="EP203" i="4"/>
  <c r="EQ203" i="4"/>
  <c r="ER203" i="4"/>
  <c r="ES203" i="4"/>
  <c r="ET203" i="4"/>
  <c r="D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BT205" i="4"/>
  <c r="BU205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CY205" i="4"/>
  <c r="CZ205" i="4"/>
  <c r="DA205" i="4"/>
  <c r="DB205" i="4"/>
  <c r="DC205" i="4"/>
  <c r="DD205" i="4"/>
  <c r="DE205" i="4"/>
  <c r="DF205" i="4"/>
  <c r="DG205" i="4"/>
  <c r="DH205" i="4"/>
  <c r="DI205" i="4"/>
  <c r="DJ205" i="4"/>
  <c r="DK205" i="4"/>
  <c r="DL205" i="4"/>
  <c r="DM205" i="4"/>
  <c r="DN205" i="4"/>
  <c r="DO205" i="4"/>
  <c r="DP205" i="4"/>
  <c r="DQ205" i="4"/>
  <c r="DR205" i="4"/>
  <c r="DS205" i="4"/>
  <c r="DT205" i="4"/>
  <c r="DU205" i="4"/>
  <c r="DV205" i="4"/>
  <c r="DW205" i="4"/>
  <c r="DX205" i="4"/>
  <c r="DY205" i="4"/>
  <c r="DZ205" i="4"/>
  <c r="EA205" i="4"/>
  <c r="EB205" i="4"/>
  <c r="EC205" i="4"/>
  <c r="ED205" i="4"/>
  <c r="EE205" i="4"/>
  <c r="EF205" i="4"/>
  <c r="EG205" i="4"/>
  <c r="EH205" i="4"/>
  <c r="EI205" i="4"/>
  <c r="EJ205" i="4"/>
  <c r="EK205" i="4"/>
  <c r="EL205" i="4"/>
  <c r="EM205" i="4"/>
  <c r="EN205" i="4"/>
  <c r="EO205" i="4"/>
  <c r="EP205" i="4"/>
  <c r="EQ205" i="4"/>
  <c r="ER205" i="4"/>
  <c r="ES205" i="4"/>
  <c r="ET205" i="4"/>
  <c r="D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BE206" i="4"/>
  <c r="BF206" i="4"/>
  <c r="BG206" i="4"/>
  <c r="BH206" i="4"/>
  <c r="BI206" i="4"/>
  <c r="BJ206" i="4"/>
  <c r="BK206" i="4"/>
  <c r="BL206" i="4"/>
  <c r="BM206" i="4"/>
  <c r="BN206" i="4"/>
  <c r="BO206" i="4"/>
  <c r="BP206" i="4"/>
  <c r="BQ206" i="4"/>
  <c r="BR206" i="4"/>
  <c r="BS206" i="4"/>
  <c r="BT206" i="4"/>
  <c r="BU206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CY206" i="4"/>
  <c r="CZ206" i="4"/>
  <c r="DA206" i="4"/>
  <c r="DB206" i="4"/>
  <c r="DC206" i="4"/>
  <c r="DD206" i="4"/>
  <c r="DE206" i="4"/>
  <c r="DF206" i="4"/>
  <c r="DG206" i="4"/>
  <c r="DH206" i="4"/>
  <c r="DI206" i="4"/>
  <c r="DJ206" i="4"/>
  <c r="DK206" i="4"/>
  <c r="DL206" i="4"/>
  <c r="DM206" i="4"/>
  <c r="DN206" i="4"/>
  <c r="DO206" i="4"/>
  <c r="DP206" i="4"/>
  <c r="DQ206" i="4"/>
  <c r="DR206" i="4"/>
  <c r="DS206" i="4"/>
  <c r="DT206" i="4"/>
  <c r="DU206" i="4"/>
  <c r="DV206" i="4"/>
  <c r="DW206" i="4"/>
  <c r="DX206" i="4"/>
  <c r="DY206" i="4"/>
  <c r="DZ206" i="4"/>
  <c r="EA206" i="4"/>
  <c r="EB206" i="4"/>
  <c r="EC206" i="4"/>
  <c r="ED206" i="4"/>
  <c r="EE206" i="4"/>
  <c r="EF206" i="4"/>
  <c r="EG206" i="4"/>
  <c r="EH206" i="4"/>
  <c r="EI206" i="4"/>
  <c r="EJ206" i="4"/>
  <c r="EK206" i="4"/>
  <c r="EL206" i="4"/>
  <c r="EM206" i="4"/>
  <c r="EN206" i="4"/>
  <c r="EO206" i="4"/>
  <c r="EP206" i="4"/>
  <c r="EQ206" i="4"/>
  <c r="ER206" i="4"/>
  <c r="ES206" i="4"/>
  <c r="ET206" i="4"/>
  <c r="D208" i="4"/>
  <c r="D209" i="4"/>
  <c r="D210" i="4"/>
  <c r="D211" i="4"/>
  <c r="D213" i="4"/>
  <c r="D214" i="4"/>
  <c r="D215" i="4"/>
  <c r="D216" i="4"/>
  <c r="C5" i="10"/>
  <c r="D5" i="10"/>
  <c r="E5" i="10"/>
  <c r="F5" i="10"/>
  <c r="C7" i="10"/>
  <c r="F7" i="10"/>
  <c r="G7" i="10"/>
  <c r="H7" i="10"/>
  <c r="I7" i="10"/>
  <c r="J7" i="10"/>
  <c r="K7" i="10"/>
  <c r="L7" i="10"/>
  <c r="M7" i="10"/>
  <c r="C8" i="10"/>
  <c r="F8" i="10"/>
  <c r="G8" i="10"/>
  <c r="H8" i="10"/>
  <c r="I8" i="10"/>
  <c r="J8" i="10"/>
  <c r="K8" i="10"/>
  <c r="L8" i="10"/>
  <c r="M8" i="10"/>
  <c r="C9" i="10"/>
  <c r="D9" i="10"/>
  <c r="E9" i="10"/>
  <c r="F9" i="10"/>
  <c r="G9" i="10"/>
  <c r="H9" i="10"/>
  <c r="I9" i="10"/>
  <c r="J9" i="10"/>
  <c r="K9" i="10"/>
  <c r="L9" i="10"/>
  <c r="M9" i="10"/>
  <c r="C10" i="10"/>
  <c r="D10" i="10"/>
  <c r="E10" i="10"/>
  <c r="F10" i="10"/>
  <c r="G10" i="10"/>
  <c r="H10" i="10"/>
  <c r="I10" i="10"/>
  <c r="J10" i="10"/>
  <c r="K10" i="10"/>
  <c r="L10" i="10"/>
  <c r="M10" i="10"/>
  <c r="C13" i="10"/>
  <c r="D13" i="10"/>
  <c r="E13" i="10"/>
  <c r="F13" i="10"/>
  <c r="G13" i="10"/>
  <c r="H13" i="10"/>
  <c r="I13" i="10"/>
  <c r="J13" i="10"/>
  <c r="K13" i="10"/>
  <c r="L13" i="10"/>
  <c r="M13" i="10"/>
  <c r="C14" i="10"/>
  <c r="E14" i="10"/>
  <c r="F14" i="10"/>
  <c r="G14" i="10"/>
  <c r="H14" i="10"/>
  <c r="I14" i="10"/>
  <c r="J14" i="10"/>
  <c r="K14" i="10"/>
  <c r="L14" i="10"/>
  <c r="M14" i="10"/>
  <c r="C15" i="10"/>
  <c r="D15" i="10"/>
  <c r="E15" i="10"/>
  <c r="F15" i="10"/>
  <c r="G15" i="10"/>
  <c r="H15" i="10"/>
  <c r="I15" i="10"/>
  <c r="J15" i="10"/>
  <c r="K15" i="10"/>
  <c r="L15" i="10"/>
  <c r="M15" i="10"/>
  <c r="C16" i="10"/>
  <c r="D16" i="10"/>
  <c r="E16" i="10"/>
  <c r="F16" i="10"/>
  <c r="G16" i="10"/>
  <c r="H16" i="10"/>
  <c r="I16" i="10"/>
  <c r="J16" i="10"/>
  <c r="K16" i="10"/>
  <c r="L16" i="10"/>
  <c r="M16" i="10"/>
  <c r="C17" i="10"/>
  <c r="D17" i="10"/>
  <c r="E17" i="10"/>
  <c r="F17" i="10"/>
  <c r="G17" i="10"/>
  <c r="H17" i="10"/>
  <c r="I17" i="10"/>
  <c r="J17" i="10"/>
  <c r="K17" i="10"/>
  <c r="L17" i="10"/>
  <c r="M17" i="10"/>
  <c r="C20" i="10"/>
  <c r="D20" i="10"/>
  <c r="E20" i="10"/>
  <c r="F20" i="10"/>
  <c r="G20" i="10"/>
  <c r="H20" i="10"/>
  <c r="I20" i="10"/>
  <c r="J20" i="10"/>
  <c r="K20" i="10"/>
  <c r="L20" i="10"/>
  <c r="M20" i="10"/>
  <c r="C21" i="10"/>
  <c r="F21" i="10"/>
  <c r="G21" i="10"/>
  <c r="H21" i="10"/>
  <c r="I21" i="10"/>
  <c r="J21" i="10"/>
  <c r="C22" i="10"/>
  <c r="F22" i="10"/>
  <c r="G22" i="10"/>
  <c r="H22" i="10"/>
  <c r="I22" i="10"/>
  <c r="J22" i="10"/>
  <c r="C23" i="10"/>
  <c r="J23" i="10"/>
  <c r="C24" i="10"/>
  <c r="J24" i="10"/>
  <c r="C25" i="10"/>
  <c r="J25" i="10"/>
  <c r="C26" i="10"/>
  <c r="J26" i="10"/>
  <c r="C27" i="10"/>
  <c r="F27" i="10"/>
  <c r="G27" i="10"/>
  <c r="H27" i="10"/>
  <c r="I27" i="10"/>
  <c r="J27" i="10"/>
  <c r="C28" i="10"/>
  <c r="D28" i="10"/>
  <c r="E28" i="10"/>
  <c r="F28" i="10"/>
  <c r="G28" i="10"/>
  <c r="H28" i="10"/>
  <c r="I28" i="10"/>
  <c r="J28" i="10"/>
  <c r="K28" i="10"/>
  <c r="L28" i="10"/>
  <c r="M28" i="10"/>
  <c r="C29" i="10"/>
  <c r="D29" i="10"/>
  <c r="E29" i="10"/>
  <c r="F29" i="10"/>
  <c r="G29" i="10"/>
  <c r="H29" i="10"/>
  <c r="I29" i="10"/>
  <c r="J29" i="10"/>
  <c r="K29" i="10"/>
  <c r="L29" i="10"/>
  <c r="M29" i="10"/>
  <c r="C30" i="10"/>
  <c r="D30" i="10"/>
  <c r="E30" i="10"/>
  <c r="F30" i="10"/>
  <c r="G30" i="10"/>
  <c r="H30" i="10"/>
  <c r="I30" i="10"/>
  <c r="J30" i="10"/>
  <c r="K30" i="10"/>
  <c r="L30" i="10"/>
  <c r="M30" i="10"/>
  <c r="C34" i="10"/>
  <c r="D34" i="10"/>
  <c r="E34" i="10"/>
  <c r="F34" i="10"/>
  <c r="G34" i="10"/>
  <c r="H34" i="10"/>
  <c r="I34" i="10"/>
  <c r="J34" i="10"/>
  <c r="K34" i="10"/>
  <c r="L34" i="10"/>
  <c r="M34" i="10"/>
  <c r="C20" i="6"/>
  <c r="D20" i="6"/>
  <c r="E20" i="6"/>
  <c r="F20" i="6"/>
  <c r="G20" i="6"/>
  <c r="H20" i="6"/>
  <c r="I20" i="6"/>
  <c r="J20" i="6"/>
  <c r="C21" i="6"/>
  <c r="D21" i="6"/>
  <c r="E21" i="6"/>
  <c r="F21" i="6"/>
  <c r="G21" i="6"/>
  <c r="H21" i="6"/>
  <c r="I21" i="6"/>
  <c r="J21" i="6"/>
  <c r="C22" i="6"/>
  <c r="D22" i="6"/>
  <c r="E22" i="6"/>
  <c r="F22" i="6"/>
  <c r="G22" i="6"/>
  <c r="H22" i="6"/>
  <c r="I22" i="6"/>
  <c r="J22" i="6"/>
  <c r="C24" i="6"/>
  <c r="D24" i="6"/>
  <c r="E24" i="6"/>
  <c r="F24" i="6"/>
  <c r="G24" i="6"/>
  <c r="H24" i="6"/>
  <c r="I24" i="6"/>
  <c r="J24" i="6"/>
  <c r="C26" i="6"/>
  <c r="D26" i="6"/>
  <c r="E26" i="6"/>
  <c r="F26" i="6"/>
  <c r="G26" i="6"/>
  <c r="C27" i="6"/>
  <c r="D27" i="6"/>
  <c r="E27" i="6"/>
  <c r="F27" i="6"/>
  <c r="G27" i="6"/>
  <c r="H27" i="6"/>
  <c r="I27" i="6"/>
  <c r="J27" i="6"/>
  <c r="C28" i="6"/>
  <c r="D28" i="6"/>
  <c r="E28" i="6"/>
  <c r="F28" i="6"/>
  <c r="G28" i="6"/>
  <c r="H28" i="6"/>
  <c r="I28" i="6"/>
  <c r="J28" i="6"/>
  <c r="C29" i="6"/>
  <c r="D29" i="6"/>
  <c r="E29" i="6"/>
  <c r="F29" i="6"/>
  <c r="G29" i="6"/>
  <c r="H29" i="6"/>
  <c r="I29" i="6"/>
  <c r="J29" i="6"/>
  <c r="C31" i="6"/>
  <c r="D31" i="6"/>
  <c r="E31" i="6"/>
  <c r="F31" i="6"/>
  <c r="G31" i="6"/>
  <c r="H31" i="6"/>
  <c r="I31" i="6"/>
  <c r="J31" i="6"/>
  <c r="D33" i="6"/>
  <c r="E33" i="6"/>
  <c r="F33" i="6"/>
  <c r="G33" i="6"/>
  <c r="H33" i="6"/>
  <c r="I33" i="6"/>
  <c r="J33" i="6"/>
  <c r="D36" i="6"/>
  <c r="E36" i="6"/>
  <c r="F36" i="6"/>
  <c r="G36" i="6"/>
  <c r="H36" i="6"/>
  <c r="I36" i="6"/>
  <c r="J36" i="6"/>
  <c r="D37" i="6"/>
  <c r="E37" i="6"/>
  <c r="F37" i="6"/>
  <c r="G37" i="6"/>
  <c r="H37" i="6"/>
  <c r="I37" i="6"/>
  <c r="J37" i="6"/>
  <c r="C12" i="9"/>
  <c r="I12" i="9"/>
  <c r="G3" i="3"/>
  <c r="G4" i="3"/>
  <c r="G5" i="3"/>
  <c r="G6" i="3"/>
  <c r="D20" i="3"/>
  <c r="D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7" i="3"/>
  <c r="D27" i="3"/>
  <c r="E27" i="3"/>
  <c r="F27" i="3"/>
  <c r="G27" i="3"/>
  <c r="D28" i="3"/>
  <c r="C29" i="3"/>
  <c r="D29" i="3"/>
  <c r="E29" i="3"/>
  <c r="F29" i="3"/>
  <c r="G29" i="3"/>
  <c r="C30" i="3"/>
  <c r="D30" i="3"/>
  <c r="E30" i="3"/>
  <c r="F30" i="3"/>
  <c r="G30" i="3"/>
  <c r="D31" i="3"/>
  <c r="C32" i="3"/>
  <c r="D32" i="3"/>
  <c r="E32" i="3"/>
  <c r="F32" i="3"/>
  <c r="G32" i="3"/>
  <c r="D7" i="8"/>
  <c r="E7" i="8"/>
  <c r="F7" i="8"/>
  <c r="G7" i="8"/>
  <c r="H7" i="8"/>
  <c r="I7" i="8"/>
  <c r="D8" i="8"/>
  <c r="E8" i="8"/>
  <c r="F8" i="8"/>
  <c r="G8" i="8"/>
  <c r="H8" i="8"/>
  <c r="I8" i="8"/>
  <c r="D9" i="8"/>
  <c r="E9" i="8"/>
  <c r="F9" i="8"/>
  <c r="G9" i="8"/>
  <c r="H9" i="8"/>
  <c r="I9" i="8"/>
  <c r="D10" i="8"/>
  <c r="E10" i="8"/>
  <c r="F10" i="8"/>
  <c r="G10" i="8"/>
  <c r="H10" i="8"/>
  <c r="I10" i="8"/>
  <c r="D11" i="8"/>
  <c r="E11" i="8"/>
  <c r="F11" i="8"/>
  <c r="G11" i="8"/>
  <c r="H11" i="8"/>
  <c r="I11" i="8"/>
  <c r="D13" i="8"/>
  <c r="D14" i="8"/>
  <c r="D15" i="8"/>
  <c r="D20" i="8"/>
  <c r="E20" i="8"/>
  <c r="F20" i="8"/>
  <c r="G20" i="8"/>
  <c r="H20" i="8"/>
  <c r="I20" i="8"/>
  <c r="D21" i="8"/>
  <c r="E21" i="8"/>
  <c r="F21" i="8"/>
  <c r="G21" i="8"/>
  <c r="H21" i="8"/>
  <c r="I21" i="8"/>
  <c r="D22" i="8"/>
  <c r="E22" i="8"/>
  <c r="F22" i="8"/>
  <c r="G22" i="8"/>
  <c r="H22" i="8"/>
  <c r="I22" i="8"/>
  <c r="D23" i="8"/>
  <c r="E23" i="8"/>
  <c r="F23" i="8"/>
  <c r="G23" i="8"/>
  <c r="H23" i="8"/>
  <c r="I23" i="8"/>
  <c r="D25" i="8"/>
  <c r="D26" i="8"/>
  <c r="D27" i="8"/>
  <c r="E5" i="12"/>
  <c r="E6" i="12"/>
  <c r="E7" i="12"/>
  <c r="E11" i="12"/>
  <c r="E28" i="12"/>
</calcChain>
</file>

<file path=xl/sharedStrings.xml><?xml version="1.0" encoding="utf-8"?>
<sst xmlns="http://schemas.openxmlformats.org/spreadsheetml/2006/main" count="835" uniqueCount="504">
  <si>
    <t>Deal Info</t>
  </si>
  <si>
    <t>Address</t>
  </si>
  <si>
    <t>City/State/Zip</t>
  </si>
  <si>
    <t>Size Metrics</t>
  </si>
  <si>
    <t>Retail</t>
  </si>
  <si>
    <t>Residential</t>
  </si>
  <si>
    <t>Structured Parking</t>
  </si>
  <si>
    <t>GSF</t>
  </si>
  <si>
    <t>NSF</t>
  </si>
  <si>
    <t>Acquisition</t>
  </si>
  <si>
    <t>Land Price</t>
  </si>
  <si>
    <t>Hard Costs</t>
  </si>
  <si>
    <t>Soft Costs</t>
  </si>
  <si>
    <t>Rent Assumptions</t>
  </si>
  <si>
    <t>Parking Spaces</t>
  </si>
  <si>
    <t>Misc. Income</t>
  </si>
  <si>
    <t>#</t>
  </si>
  <si>
    <t>Studio</t>
  </si>
  <si>
    <t>1 BR</t>
  </si>
  <si>
    <t>Avg. SF</t>
  </si>
  <si>
    <t>Total SF</t>
  </si>
  <si>
    <t>%</t>
  </si>
  <si>
    <t>Total / Avg.</t>
  </si>
  <si>
    <t>Rent</t>
  </si>
  <si>
    <t>Growth</t>
  </si>
  <si>
    <t>Margin</t>
  </si>
  <si>
    <t>$/NSF</t>
  </si>
  <si>
    <t>$/Space/Mo</t>
  </si>
  <si>
    <t>$/Unit/Mo</t>
  </si>
  <si>
    <t>Sale Month Post TCO</t>
  </si>
  <si>
    <t>Cap Rate</t>
  </si>
  <si>
    <t>Sale Cost</t>
  </si>
  <si>
    <t>Lease Up Schedule</t>
  </si>
  <si>
    <t>Resi</t>
  </si>
  <si>
    <t>Occupancy at TCO</t>
  </si>
  <si>
    <t>Lease Up Per Month Post TCO</t>
  </si>
  <si>
    <t>Stabilized Occupancy</t>
  </si>
  <si>
    <t>Key Timing</t>
  </si>
  <si>
    <t>Preconstruction (in Months)</t>
  </si>
  <si>
    <t>TCO Date</t>
  </si>
  <si>
    <t>Resi Sales Date</t>
  </si>
  <si>
    <t>Retail Sales Date</t>
  </si>
  <si>
    <t>*Assuming closing at model start</t>
  </si>
  <si>
    <t>Model Start Date*</t>
  </si>
  <si>
    <t>Resi Stabilization Date</t>
  </si>
  <si>
    <t>Neighborhood</t>
  </si>
  <si>
    <t>Uses</t>
  </si>
  <si>
    <t>$</t>
  </si>
  <si>
    <t>Site Acquisition</t>
  </si>
  <si>
    <t>Total</t>
  </si>
  <si>
    <t>Sources</t>
  </si>
  <si>
    <t>Acquisition Loan</t>
  </si>
  <si>
    <t>Construction Loan</t>
  </si>
  <si>
    <t>Equity</t>
  </si>
  <si>
    <t>Financing</t>
  </si>
  <si>
    <t>Proceeds</t>
  </si>
  <si>
    <t>Intro Month</t>
  </si>
  <si>
    <t>LTC (Land)</t>
  </si>
  <si>
    <t>Interest Rate</t>
  </si>
  <si>
    <t>Takeout Month</t>
  </si>
  <si>
    <t>LTC</t>
  </si>
  <si>
    <t>Operating Assumptions</t>
  </si>
  <si>
    <t>Project Summary</t>
  </si>
  <si>
    <t>Net Residential SF</t>
  </si>
  <si>
    <t>Gross Building SF</t>
  </si>
  <si>
    <t>Net Building SF</t>
  </si>
  <si>
    <t>Net Retail SF</t>
  </si>
  <si>
    <t>Efficiency</t>
  </si>
  <si>
    <t>Residentail Units</t>
  </si>
  <si>
    <t>Utilities</t>
  </si>
  <si>
    <t>Repairs and Maintenance</t>
  </si>
  <si>
    <t>Labor</t>
  </si>
  <si>
    <t>Insurance</t>
  </si>
  <si>
    <t>General &amp; Administrative</t>
  </si>
  <si>
    <t>Marketing/Leasing</t>
  </si>
  <si>
    <t>Turnover</t>
  </si>
  <si>
    <t>Capital Reserves</t>
  </si>
  <si>
    <t>Annual Expense Increase</t>
  </si>
  <si>
    <t>Opex Contingency</t>
  </si>
  <si>
    <t>Management Fee</t>
  </si>
  <si>
    <t>Real Estate Taxes</t>
  </si>
  <si>
    <t>Tax Rate</t>
  </si>
  <si>
    <t>$/Unit</t>
  </si>
  <si>
    <t>%/GI</t>
  </si>
  <si>
    <t>%/OE</t>
  </si>
  <si>
    <t>Contingency</t>
  </si>
  <si>
    <t>$/GSF</t>
  </si>
  <si>
    <t>Unit Mix / Parking Spaces</t>
  </si>
  <si>
    <t>Architects/Engineers</t>
  </si>
  <si>
    <t>Permits &amp; Expediting</t>
  </si>
  <si>
    <t>Inspections and Testing</t>
  </si>
  <si>
    <t>Professional/Legal Fees</t>
  </si>
  <si>
    <t>Owners Rep</t>
  </si>
  <si>
    <t>HC</t>
  </si>
  <si>
    <t>Audit and Reporting</t>
  </si>
  <si>
    <t>Marketing / Model Unit</t>
  </si>
  <si>
    <t>Retail Leasing Commission</t>
  </si>
  <si>
    <t>Retail Tenant Improvements</t>
  </si>
  <si>
    <t>Working Capital During Leasing Period</t>
  </si>
  <si>
    <t>SC</t>
  </si>
  <si>
    <t>Total Soft Costs</t>
  </si>
  <si>
    <t>Developer Fee</t>
  </si>
  <si>
    <t>Closing Costs</t>
  </si>
  <si>
    <t>Total Soft Costs Before Developer Fee</t>
  </si>
  <si>
    <t>HC and SC</t>
  </si>
  <si>
    <t>Impact Fees</t>
  </si>
  <si>
    <t>RE Taxes During Construction**</t>
  </si>
  <si>
    <t>Concessions</t>
  </si>
  <si>
    <t>Resi Months Free</t>
  </si>
  <si>
    <t>Retail Months Free</t>
  </si>
  <si>
    <t>Tax Reassessment at Sale</t>
  </si>
  <si>
    <t>Assessment as % of Price</t>
  </si>
  <si>
    <t>Assessment as % of Construction</t>
  </si>
  <si>
    <t>Monthly Cash Flows</t>
  </si>
  <si>
    <t>Month</t>
  </si>
  <si>
    <t>Year</t>
  </si>
  <si>
    <t>Date</t>
  </si>
  <si>
    <t>Closing Soft Costs</t>
  </si>
  <si>
    <t>Construction Soft Costs</t>
  </si>
  <si>
    <t>Land Closing</t>
  </si>
  <si>
    <t>Transaction Legal</t>
  </si>
  <si>
    <t>Title Insurance</t>
  </si>
  <si>
    <t>Due Diligence</t>
  </si>
  <si>
    <t>of PP</t>
  </si>
  <si>
    <t>Acquisition Loan Closing</t>
  </si>
  <si>
    <t>Bank Fee</t>
  </si>
  <si>
    <t>Mortgage Broker Fee</t>
  </si>
  <si>
    <t>Appraisal &amp; Environmental</t>
  </si>
  <si>
    <t>Lender Legal</t>
  </si>
  <si>
    <t>General Loan Closing Costs</t>
  </si>
  <si>
    <t>of Mtg</t>
  </si>
  <si>
    <t>Construction Loan Closing</t>
  </si>
  <si>
    <t>Total Closing Costs</t>
  </si>
  <si>
    <t>Developer Fee Soft Cost</t>
  </si>
  <si>
    <t>Capitalized Interest</t>
  </si>
  <si>
    <t>Total Uses</t>
  </si>
  <si>
    <t>Equity Contribution</t>
  </si>
  <si>
    <t>Senior Loan</t>
  </si>
  <si>
    <t>Total Sources</t>
  </si>
  <si>
    <t>Proforma Rental Cash Flow</t>
  </si>
  <si>
    <t>Residential Occupancy</t>
  </si>
  <si>
    <t>Lease Up</t>
  </si>
  <si>
    <t>Occupancy</t>
  </si>
  <si>
    <t>Retail Occupancy</t>
  </si>
  <si>
    <t>Rental Rates</t>
  </si>
  <si>
    <t>Retail/NSF</t>
  </si>
  <si>
    <t>Parking/Spot</t>
  </si>
  <si>
    <t>Misc Income/Unit</t>
  </si>
  <si>
    <t>Gross Potential Residential Income</t>
  </si>
  <si>
    <t>Gross Potential Parking Income</t>
  </si>
  <si>
    <t>Gross Potential Misc Income</t>
  </si>
  <si>
    <t>Vacancy Loss</t>
  </si>
  <si>
    <t>Residential Concessions</t>
  </si>
  <si>
    <t>Effective Net Revenue</t>
  </si>
  <si>
    <t>CapEx</t>
  </si>
  <si>
    <t>Rental NOI</t>
  </si>
  <si>
    <t>Forward 12 Months Rental NOI Post Reassessment</t>
  </si>
  <si>
    <t>Retail Income</t>
  </si>
  <si>
    <t>Retail Concessions</t>
  </si>
  <si>
    <t>Retail NOI</t>
  </si>
  <si>
    <t>Rental Sales Proceeds</t>
  </si>
  <si>
    <t>Gross Resi Sales Proceeds</t>
  </si>
  <si>
    <t>Resi Sales Costs</t>
  </si>
  <si>
    <t>Gross Retail Sales Proceeds</t>
  </si>
  <si>
    <t>Retail Sales Costs</t>
  </si>
  <si>
    <t>Total Net Sales Proceeds</t>
  </si>
  <si>
    <t>Equity Balance</t>
  </si>
  <si>
    <t>Beginning Balance</t>
  </si>
  <si>
    <t>Draw</t>
  </si>
  <si>
    <t>Ending Balance</t>
  </si>
  <si>
    <t>Closing</t>
  </si>
  <si>
    <t>Acquisition Loan Refi</t>
  </si>
  <si>
    <t>Acquisition Loan Balance</t>
  </si>
  <si>
    <t>Construction Loan Balance</t>
  </si>
  <si>
    <t>Interest</t>
  </si>
  <si>
    <t>Paydown from Sale Proceeds</t>
  </si>
  <si>
    <t>Levered Cash Flows</t>
  </si>
  <si>
    <t>Equity Deployment</t>
  </si>
  <si>
    <t>Residential Net Operating Income</t>
  </si>
  <si>
    <t>Retail Net Operating Income</t>
  </si>
  <si>
    <t>Residential Gross Sale Proceeds</t>
  </si>
  <si>
    <t>Retail Gross Sale Proceeds</t>
  </si>
  <si>
    <t>Residential Sale Costs</t>
  </si>
  <si>
    <t>Retail Sale Costs</t>
  </si>
  <si>
    <t>Total Levered Cash Flow</t>
  </si>
  <si>
    <t>Construction Loan Reserve</t>
  </si>
  <si>
    <t>Total Expenses</t>
  </si>
  <si>
    <t>Residential Market/NSF (Trended)</t>
  </si>
  <si>
    <t>Net Operating Income</t>
  </si>
  <si>
    <t>Interest Paid From NOI</t>
  </si>
  <si>
    <t>Returns</t>
  </si>
  <si>
    <t>Equity Multiple</t>
  </si>
  <si>
    <t>IRR</t>
  </si>
  <si>
    <t>Total Profit</t>
  </si>
  <si>
    <t>Net Profit</t>
  </si>
  <si>
    <t>Stabilized Yield on Cost</t>
  </si>
  <si>
    <t>Year Post TCO</t>
  </si>
  <si>
    <t>Net Effective Revenue</t>
  </si>
  <si>
    <t>Gross Potential Retail Income</t>
  </si>
  <si>
    <t>Net Cash Flow Before Debt Service</t>
  </si>
  <si>
    <t>Debt Service</t>
  </si>
  <si>
    <t>Net Cash Flow</t>
  </si>
  <si>
    <t>OpEx Per SF</t>
  </si>
  <si>
    <t>Yield on Cost</t>
  </si>
  <si>
    <t>Total Sourses</t>
  </si>
  <si>
    <t>Construction Loan Interest Paid from NOI</t>
  </si>
  <si>
    <t>2 BR</t>
  </si>
  <si>
    <t>Unit Type</t>
  </si>
  <si>
    <t>Range</t>
  </si>
  <si>
    <t>Notes:</t>
  </si>
  <si>
    <t>Avg Rent</t>
  </si>
  <si>
    <t>Avg SF</t>
  </si>
  <si>
    <t>$/SF</t>
  </si>
  <si>
    <t>Deal Level Returns</t>
  </si>
  <si>
    <t>Early Payment Discount</t>
  </si>
  <si>
    <t>GP</t>
  </si>
  <si>
    <t>LP</t>
  </si>
  <si>
    <t>Pref</t>
  </si>
  <si>
    <t>Tier 2</t>
  </si>
  <si>
    <t>Timeline</t>
  </si>
  <si>
    <t>Investment</t>
  </si>
  <si>
    <t>Promote Calculation</t>
  </si>
  <si>
    <t>Distribution of Principal / Pref</t>
  </si>
  <si>
    <t>LP Investment</t>
  </si>
  <si>
    <t>LP Distribution</t>
  </si>
  <si>
    <t>Remaining Cash Flow After Pref</t>
  </si>
  <si>
    <t>GP Distribution</t>
  </si>
  <si>
    <t>Total GP Return</t>
  </si>
  <si>
    <t>Total LP Return</t>
  </si>
  <si>
    <t>LP Tier 2 Distribution</t>
  </si>
  <si>
    <t>GP Investment</t>
  </si>
  <si>
    <t>GP Equity Multiple</t>
  </si>
  <si>
    <t>LP Equity Multiple</t>
  </si>
  <si>
    <t>Total GP Distributions</t>
  </si>
  <si>
    <t>Total LP Distributions</t>
  </si>
  <si>
    <t>GP IRR</t>
  </si>
  <si>
    <t>LP IRR</t>
  </si>
  <si>
    <t>GP Returns</t>
  </si>
  <si>
    <t>Total GP Cash Flow</t>
  </si>
  <si>
    <t>LP Returns</t>
  </si>
  <si>
    <t>Return of Capital / Pref</t>
  </si>
  <si>
    <t>GP Profit</t>
  </si>
  <si>
    <t>LP Profit</t>
  </si>
  <si>
    <t>Ground Lease</t>
  </si>
  <si>
    <t>Mezz Loan</t>
  </si>
  <si>
    <t>Refinance Loan</t>
  </si>
  <si>
    <t>Refi?</t>
  </si>
  <si>
    <t xml:space="preserve">DSCR or Debt Yield </t>
  </si>
  <si>
    <t>Net Proceeds</t>
  </si>
  <si>
    <t>Intro Month Post TCO</t>
  </si>
  <si>
    <t>Amortization</t>
  </si>
  <si>
    <t>Debt Yield</t>
  </si>
  <si>
    <t>NOI</t>
  </si>
  <si>
    <t>GL?</t>
  </si>
  <si>
    <t>Y/N</t>
  </si>
  <si>
    <t>Growth Rate</t>
  </si>
  <si>
    <t>Ground Lease Rent</t>
  </si>
  <si>
    <t>Residential Parking Spaces</t>
  </si>
  <si>
    <t>Retail Parking Spaces</t>
  </si>
  <si>
    <t>Total Parking Spaces</t>
  </si>
  <si>
    <t>Yes</t>
  </si>
  <si>
    <t>No</t>
  </si>
  <si>
    <t>DS/GL Reserve</t>
  </si>
  <si>
    <t>DSCR</t>
  </si>
  <si>
    <t>Mezzanine Loan Closing</t>
  </si>
  <si>
    <t>Ground Lease Loan Closing</t>
  </si>
  <si>
    <t>Ground Lease Fee</t>
  </si>
  <si>
    <t>Ground Lease Broker Fee</t>
  </si>
  <si>
    <t>Ground Lease Legal</t>
  </si>
  <si>
    <t>of GL</t>
  </si>
  <si>
    <t>Mezz Bank Fee</t>
  </si>
  <si>
    <t>Mezz Broker Fee</t>
  </si>
  <si>
    <t>General Closing Costs</t>
  </si>
  <si>
    <t>of Mezz</t>
  </si>
  <si>
    <t>Refinance Closing</t>
  </si>
  <si>
    <t>Broker Fee</t>
  </si>
  <si>
    <t>Annual Debt Service</t>
  </si>
  <si>
    <t>Mezz Loan Reserve</t>
  </si>
  <si>
    <t>Ground Lease Draw Schedule</t>
  </si>
  <si>
    <t>Mezz Loan Balance</t>
  </si>
  <si>
    <t>Ground Lease Capitalized Rent</t>
  </si>
  <si>
    <t>Rent (With Escalations)</t>
  </si>
  <si>
    <t>Pay From NOI Before Ground Lease Rent</t>
  </si>
  <si>
    <t>Paydown from Sale</t>
  </si>
  <si>
    <t>Paydown at Construction Loan</t>
  </si>
  <si>
    <t>Paydown from Refinance</t>
  </si>
  <si>
    <t>Ground Lease Rent Paid from NOI</t>
  </si>
  <si>
    <t>Check</t>
  </si>
  <si>
    <t>NOI Shortfall</t>
  </si>
  <si>
    <t>Ground Lease Contribution</t>
  </si>
  <si>
    <t>Capitalized Ground Lease Rent</t>
  </si>
  <si>
    <t>Land Price (Per Unit)</t>
  </si>
  <si>
    <t>3 BR</t>
  </si>
  <si>
    <t>4 BR</t>
  </si>
  <si>
    <t>Land</t>
  </si>
  <si>
    <t>Stories</t>
  </si>
  <si>
    <t>Deal Name</t>
  </si>
  <si>
    <t>Acquisition Fee</t>
  </si>
  <si>
    <t>Capitalized Ground Rent</t>
  </si>
  <si>
    <t>FF&amp;E</t>
  </si>
  <si>
    <t>Construction (in Month)</t>
  </si>
  <si>
    <t>Ground Lease?</t>
  </si>
  <si>
    <t>Trended?</t>
  </si>
  <si>
    <t>Cap Rate Increase</t>
  </si>
  <si>
    <t>Sale Assumptions (Fee Simple)</t>
  </si>
  <si>
    <t>Trending?</t>
  </si>
  <si>
    <t>AARE UW</t>
  </si>
  <si>
    <t>Greystar</t>
  </si>
  <si>
    <t>Lincoln</t>
  </si>
  <si>
    <t>RKW</t>
  </si>
  <si>
    <t>Operating Expense Comps ($ Amount)</t>
  </si>
  <si>
    <t>Operating Expense Comps (Per Unit)</t>
  </si>
  <si>
    <t>Permanent Loan Balance</t>
  </si>
  <si>
    <t>Debt Intro</t>
  </si>
  <si>
    <t>Payoff from Sale</t>
  </si>
  <si>
    <t>Net Operating Income (After GL)</t>
  </si>
  <si>
    <t>*Must be multiple of 12</t>
  </si>
  <si>
    <t>Total NOI After Ground Lease</t>
  </si>
  <si>
    <t>Interest Only or Amortizing</t>
  </si>
  <si>
    <t>Interest Only</t>
  </si>
  <si>
    <t>Amortizing</t>
  </si>
  <si>
    <t>Permament Loan Proceeds After Closing Costs</t>
  </si>
  <si>
    <t>Permament Loan Debt Service Payments</t>
  </si>
  <si>
    <t>Permament Loan Payoff</t>
  </si>
  <si>
    <t>Construction Loan Paydown</t>
  </si>
  <si>
    <t>Mezz Loan Paydown</t>
  </si>
  <si>
    <t>Sources &amp; Uses</t>
  </si>
  <si>
    <t>Building 1 Name</t>
  </si>
  <si>
    <t>Building 2 Name</t>
  </si>
  <si>
    <t>G&amp;A / Service Contracts</t>
  </si>
  <si>
    <t>GP Tier 1 BB</t>
  </si>
  <si>
    <t>GP Catch Up</t>
  </si>
  <si>
    <t>GP Tier 1 Distribution</t>
  </si>
  <si>
    <t>GP Tier 1 EB</t>
  </si>
  <si>
    <t>Remaining Cash Flow After Catch Up</t>
  </si>
  <si>
    <t>Catch Up?</t>
  </si>
  <si>
    <t>Promote</t>
  </si>
  <si>
    <t>GP Tier 2 Cash Flow</t>
  </si>
  <si>
    <t>GP Tier 2 Promote</t>
  </si>
  <si>
    <t>Total LP Cash Flow</t>
  </si>
  <si>
    <t>Tier 2 Cash Flow</t>
  </si>
  <si>
    <t>Project Timeline</t>
  </si>
  <si>
    <t>Misc Income Comps ($ Amount)</t>
  </si>
  <si>
    <t>Parking Income</t>
  </si>
  <si>
    <t>Misc Income</t>
  </si>
  <si>
    <t>Misc Income Comps (Per Unit Per Month)</t>
  </si>
  <si>
    <t>Confirmed Tax Calculation?</t>
  </si>
  <si>
    <t>Date Received</t>
  </si>
  <si>
    <t>Asset Management Fee</t>
  </si>
  <si>
    <t>Land Costs</t>
  </si>
  <si>
    <t>Total Land Costs</t>
  </si>
  <si>
    <t>Total Costs</t>
  </si>
  <si>
    <t>Expense Ratio</t>
  </si>
  <si>
    <t>Uses Schedule</t>
  </si>
  <si>
    <t>Sources Schedule</t>
  </si>
  <si>
    <t>Levered Cash Flow</t>
  </si>
  <si>
    <t>Reassessment at Sale?</t>
  </si>
  <si>
    <t>Lot Size</t>
  </si>
  <si>
    <t>Misc Income (Per Month)</t>
  </si>
  <si>
    <t>Confirmed Insurance</t>
  </si>
  <si>
    <t>MARKET RATE UNIT MIX</t>
  </si>
  <si>
    <t>Avg Unit</t>
  </si>
  <si>
    <t xml:space="preserve">Unit Monthly </t>
  </si>
  <si>
    <t>Yearly</t>
  </si>
  <si>
    <t>Monthly</t>
  </si>
  <si>
    <t>Description</t>
  </si>
  <si>
    <t># of Units</t>
  </si>
  <si>
    <t>% of Total</t>
  </si>
  <si>
    <t xml:space="preserve"> Sq. Ft.</t>
  </si>
  <si>
    <t>Rentable Area</t>
  </si>
  <si>
    <t xml:space="preserve">Avg. Rent </t>
  </si>
  <si>
    <t>Avg. Unit Rent/SF</t>
  </si>
  <si>
    <t>Income</t>
  </si>
  <si>
    <t>Per Unit/mo</t>
  </si>
  <si>
    <t>AFFORDABLE HOUSING UNIT MIX - 60% AMI</t>
  </si>
  <si>
    <t>Units</t>
  </si>
  <si>
    <t>$/PSF</t>
  </si>
  <si>
    <t>Market</t>
  </si>
  <si>
    <t>AH (60%)</t>
  </si>
  <si>
    <t>Austin, TX</t>
  </si>
  <si>
    <t>Parkland Dedication</t>
  </si>
  <si>
    <t>Waste Water Impact Fee</t>
  </si>
  <si>
    <t>Supervision, Local Partner Expenses, and Investor Relations</t>
  </si>
  <si>
    <t>Real Estate Broker</t>
  </si>
  <si>
    <t>Mortgage Recording Tax</t>
  </si>
  <si>
    <t>Taxes - Toomey Apartments - Austin, TX</t>
  </si>
  <si>
    <t>Land Purchase Price</t>
  </si>
  <si>
    <t>Include?</t>
  </si>
  <si>
    <t>Y</t>
  </si>
  <si>
    <t>Construction Interest</t>
  </si>
  <si>
    <t>Financing Fees</t>
  </si>
  <si>
    <t>Assessment Percentage</t>
  </si>
  <si>
    <t>Assessed Value</t>
  </si>
  <si>
    <t>Year 1 Millage Rates</t>
  </si>
  <si>
    <t>(All Millage Rates should be divided by 100)</t>
  </si>
  <si>
    <t xml:space="preserve">Travis County </t>
  </si>
  <si>
    <t>City of Austin</t>
  </si>
  <si>
    <t>Austin ISD</t>
  </si>
  <si>
    <t>Travis County Healthcare Dist</t>
  </si>
  <si>
    <t>Austin Comm College</t>
  </si>
  <si>
    <t>blank</t>
  </si>
  <si>
    <t>Blank 1</t>
  </si>
  <si>
    <t>Blank 2</t>
  </si>
  <si>
    <t>Blank 3</t>
  </si>
  <si>
    <t>Blank 4</t>
  </si>
  <si>
    <t>Blank 5</t>
  </si>
  <si>
    <t>Stabilized Tax Expense</t>
  </si>
  <si>
    <t>Existing Retail</t>
  </si>
  <si>
    <t>Payment (Calc on Other Tab)</t>
  </si>
  <si>
    <t>Storage Spaces</t>
  </si>
  <si>
    <t>Austin City Impact Fee</t>
  </si>
  <si>
    <t>*First Year covered by tenant</t>
  </si>
  <si>
    <t>6719 N Lamar BLVD</t>
  </si>
  <si>
    <t>Hard Costs apartments</t>
  </si>
  <si>
    <t xml:space="preserve">Hard Costs podium </t>
  </si>
  <si>
    <t>Condo Project</t>
  </si>
  <si>
    <t># Units</t>
  </si>
  <si>
    <t>1BR – A (Compact)</t>
  </si>
  <si>
    <t>1BR – B (Mid)</t>
  </si>
  <si>
    <t>1BR – C (Large)</t>
  </si>
  <si>
    <t>2BR – A (Compact)</t>
  </si>
  <si>
    <t>2BR – B (Large)</t>
  </si>
  <si>
    <t>Total / Average</t>
  </si>
  <si>
    <t>Free market</t>
  </si>
  <si>
    <t>affordable</t>
  </si>
  <si>
    <t>Total Rent income</t>
  </si>
  <si>
    <t>Yearly income</t>
  </si>
  <si>
    <t>yearly psf</t>
  </si>
  <si>
    <t>Montly $/SF</t>
  </si>
  <si>
    <t>Design</t>
  </si>
  <si>
    <t>Mobilization</t>
  </si>
  <si>
    <t>Concrete</t>
  </si>
  <si>
    <t xml:space="preserve">Podium </t>
  </si>
  <si>
    <t>Residntial</t>
  </si>
  <si>
    <t>Masonary</t>
  </si>
  <si>
    <t>Metal</t>
  </si>
  <si>
    <t>Carpentry</t>
  </si>
  <si>
    <t>Thermal moister protection</t>
  </si>
  <si>
    <t>openings</t>
  </si>
  <si>
    <t>Finishes</t>
  </si>
  <si>
    <t>speciality</t>
  </si>
  <si>
    <t>equipment</t>
  </si>
  <si>
    <t>furnishing</t>
  </si>
  <si>
    <t>special construction</t>
  </si>
  <si>
    <t>elevators</t>
  </si>
  <si>
    <t>fire suppression</t>
  </si>
  <si>
    <t>plumbing</t>
  </si>
  <si>
    <t>HVAC</t>
  </si>
  <si>
    <t>Electrical</t>
  </si>
  <si>
    <t>comms</t>
  </si>
  <si>
    <t>security</t>
  </si>
  <si>
    <t>earth works</t>
  </si>
  <si>
    <t>landscaping</t>
  </si>
  <si>
    <t>utilities</t>
  </si>
  <si>
    <t>GC</t>
  </si>
  <si>
    <t>GC Fee</t>
  </si>
  <si>
    <t>Subtotal</t>
  </si>
  <si>
    <t>NGF</t>
  </si>
  <si>
    <t>Escrow</t>
  </si>
  <si>
    <t>Midtown Highline</t>
  </si>
  <si>
    <t>604 E Highland Mall Boulevard</t>
  </si>
  <si>
    <t>Austin</t>
  </si>
  <si>
    <t>9/15/2025</t>
  </si>
  <si>
    <t>Burnet Flats</t>
  </si>
  <si>
    <t>5453 Burnet Road</t>
  </si>
  <si>
    <t>78756</t>
  </si>
  <si>
    <t>2014</t>
  </si>
  <si>
    <t>8/19/2025</t>
  </si>
  <si>
    <t>Kenzie at the Domain (New HFC)</t>
  </si>
  <si>
    <t>Bridge at Kenzie</t>
  </si>
  <si>
    <t>3201 Esperanza Crossing</t>
  </si>
  <si>
    <t>78758</t>
  </si>
  <si>
    <t>6/4/2025</t>
  </si>
  <si>
    <t>Revl on Lamar</t>
  </si>
  <si>
    <t>5629 N. Lamar Boulevard</t>
  </si>
  <si>
    <t>78751</t>
  </si>
  <si>
    <t>2021</t>
  </si>
  <si>
    <t>5/27/2025</t>
  </si>
  <si>
    <t>Lotus Village</t>
  </si>
  <si>
    <t>300 Ferguson Drive</t>
  </si>
  <si>
    <t>78753</t>
  </si>
  <si>
    <t>2012</t>
  </si>
  <si>
    <t>3/12/2025</t>
  </si>
  <si>
    <t>Midtown Commons at Crestview Station (New PFC)</t>
  </si>
  <si>
    <t>Bridge at Midtown Commons</t>
  </si>
  <si>
    <t>810 W. Saint Johns Avenue</t>
  </si>
  <si>
    <t>78752</t>
  </si>
  <si>
    <t>2013</t>
  </si>
  <si>
    <t>12/21/2023</t>
  </si>
  <si>
    <t>The Grand at Domain (Loan Assumption)</t>
  </si>
  <si>
    <t>The Grand at Domain</t>
  </si>
  <si>
    <t>11009 Alterra Parkway</t>
  </si>
  <si>
    <t>2019</t>
  </si>
  <si>
    <t>10/20/2023</t>
  </si>
  <si>
    <t>The Braxton (1031 Exchange)</t>
  </si>
  <si>
    <t>The Braxton</t>
  </si>
  <si>
    <t>4811 Woodrow Avenue</t>
  </si>
  <si>
    <t>8/21/2023</t>
  </si>
  <si>
    <t>AMLI 5350</t>
  </si>
  <si>
    <t>Haus 5350</t>
  </si>
  <si>
    <t>5350 Burnet Road</t>
  </si>
  <si>
    <t>2010</t>
  </si>
  <si>
    <t>Cost per unit</t>
  </si>
  <si>
    <t>Amenity / Circ. BOH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</si>
</sst>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%"/>
    <numFmt numFmtId="166" formatCode="&quot;$&quot;#,##0.0"/>
    <numFmt numFmtId="167" formatCode="&quot;$&quot;#,##0"/>
    <numFmt numFmtId="168" formatCode="0\ &quot;Months&quot;"/>
    <numFmt numFmtId="169" formatCode="0.0\ &quot;Years&quot;"/>
    <numFmt numFmtId="170" formatCode="0.00\x"/>
    <numFmt numFmtId="171" formatCode="&quot;Year &quot;0"/>
    <numFmt numFmtId="172" formatCode="0\ &quot;BD&quot;"/>
    <numFmt numFmtId="173" formatCode="&quot;$&quot;#,##0.0000_);\(&quot;$&quot;#,##0.0000\)"/>
    <numFmt numFmtId="174" formatCode="#,##0.0000_);\(#,##0.0000\)"/>
    <numFmt numFmtId="175" formatCode="0.0"/>
    <numFmt numFmtId="176" formatCode="_(&quot;$&quot;* #,##0.0_);_(&quot;$&quot;* \(#,##0.0\);_(&quot;$&quot;* &quot;-&quot;??_);_(@_)"/>
    <numFmt numFmtId="177" formatCode="_(&quot;$&quot;* #,##0_);_(&quot;$&quot;* \(#,##0\);_(&quot;$&quot;* &quot;-&quot;??_);_(@_)"/>
    <numFmt numFmtId="178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Arial Black"/>
      <family val="2"/>
    </font>
    <font>
      <b/>
      <sz val="11"/>
      <color rgb="FF4A2CFC"/>
      <name val="Calibri"/>
      <family val="2"/>
      <scheme val="minor"/>
    </font>
    <font>
      <sz val="11"/>
      <color rgb="FF4A2CFC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color rgb="FF4A2CFC"/>
      <name val="Arial Narrow"/>
      <family val="2"/>
    </font>
    <font>
      <sz val="10"/>
      <color rgb="FF0000FF"/>
      <name val="Arial Narrow"/>
      <family val="2"/>
    </font>
    <font>
      <b/>
      <sz val="10"/>
      <color theme="0"/>
      <name val="Garamond"/>
      <family val="1"/>
    </font>
    <font>
      <sz val="10"/>
      <color theme="1"/>
      <name val="Garamond"/>
      <family val="1"/>
    </font>
    <font>
      <sz val="10"/>
      <color rgb="FF0000FF"/>
      <name val="Garamond"/>
      <family val="1"/>
    </font>
    <font>
      <sz val="10"/>
      <color rgb="FF3333FF"/>
      <name val="Garamond"/>
      <family val="1"/>
    </font>
    <font>
      <b/>
      <sz val="10"/>
      <color theme="1"/>
      <name val="Garamond"/>
      <family val="1"/>
    </font>
    <font>
      <b/>
      <u/>
      <sz val="10"/>
      <color theme="1"/>
      <name val="Garamond"/>
      <family val="1"/>
    </font>
    <font>
      <sz val="15"/>
      <color rgb="FF000000"/>
      <name val="Arial"/>
      <family val="2"/>
    </font>
    <font>
      <sz val="10"/>
      <color rgb="FF000000"/>
      <name val="Calibri"/>
      <family val="2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29513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9" fontId="5" fillId="0" borderId="4" xfId="1" applyFont="1" applyBorder="1" applyAlignment="1">
      <alignment horizontal="center"/>
    </xf>
    <xf numFmtId="0" fontId="4" fillId="0" borderId="0" xfId="0" applyFont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9" fontId="0" fillId="0" borderId="0" xfId="1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0" xfId="0" applyBorder="1"/>
    <xf numFmtId="0" fontId="0" fillId="0" borderId="4" xfId="0" applyBorder="1"/>
    <xf numFmtId="14" fontId="3" fillId="0" borderId="11" xfId="0" applyNumberFormat="1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9" fontId="3" fillId="0" borderId="0" xfId="1" applyFont="1" applyBorder="1" applyAlignment="1">
      <alignment horizontal="center"/>
    </xf>
    <xf numFmtId="9" fontId="3" fillId="0" borderId="6" xfId="1" applyFont="1" applyBorder="1" applyAlignment="1">
      <alignment horizontal="center"/>
    </xf>
    <xf numFmtId="9" fontId="3" fillId="0" borderId="8" xfId="1" applyFont="1" applyBorder="1" applyAlignment="1">
      <alignment horizontal="center"/>
    </xf>
    <xf numFmtId="9" fontId="3" fillId="0" borderId="9" xfId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10" fontId="3" fillId="0" borderId="6" xfId="1" applyNumberFormat="1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10" fontId="3" fillId="0" borderId="9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9" xfId="1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14" fontId="5" fillId="0" borderId="0" xfId="0" applyNumberFormat="1" applyFont="1" applyAlignment="1">
      <alignment horizontal="center"/>
    </xf>
    <xf numFmtId="167" fontId="0" fillId="0" borderId="0" xfId="0" applyNumberFormat="1"/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167" fontId="3" fillId="0" borderId="0" xfId="0" applyNumberFormat="1" applyFont="1" applyAlignment="1">
      <alignment horizontal="center"/>
    </xf>
    <xf numFmtId="167" fontId="5" fillId="0" borderId="6" xfId="0" applyNumberFormat="1" applyFont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4" borderId="1" xfId="0" applyFill="1" applyBorder="1"/>
    <xf numFmtId="167" fontId="0" fillId="4" borderId="2" xfId="0" applyNumberFormat="1" applyFill="1" applyBorder="1" applyAlignment="1">
      <alignment horizontal="center"/>
    </xf>
    <xf numFmtId="0" fontId="2" fillId="4" borderId="1" xfId="0" applyFont="1" applyFill="1" applyBorder="1"/>
    <xf numFmtId="0" fontId="2" fillId="4" borderId="2" xfId="0" applyFont="1" applyFill="1" applyBorder="1"/>
    <xf numFmtId="167" fontId="2" fillId="4" borderId="2" xfId="0" applyNumberFormat="1" applyFont="1" applyFill="1" applyBorder="1" applyAlignment="1">
      <alignment horizontal="center"/>
    </xf>
    <xf numFmtId="10" fontId="0" fillId="0" borderId="5" xfId="0" applyNumberFormat="1" applyBorder="1"/>
    <xf numFmtId="165" fontId="5" fillId="0" borderId="0" xfId="1" applyNumberFormat="1" applyFont="1" applyBorder="1" applyAlignment="1">
      <alignment horizontal="center"/>
    </xf>
    <xf numFmtId="165" fontId="3" fillId="0" borderId="2" xfId="1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6" fontId="5" fillId="0" borderId="6" xfId="0" applyNumberFormat="1" applyFont="1" applyBorder="1" applyAlignment="1">
      <alignment horizontal="center"/>
    </xf>
    <xf numFmtId="167" fontId="3" fillId="0" borderId="0" xfId="1" applyNumberFormat="1" applyFon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7" fontId="2" fillId="4" borderId="3" xfId="0" applyNumberFormat="1" applyFont="1" applyFill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3" fontId="5" fillId="0" borderId="2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3" fillId="0" borderId="0" xfId="1" applyFont="1" applyFill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9" fontId="5" fillId="0" borderId="0" xfId="1" applyFont="1" applyFill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167" fontId="0" fillId="0" borderId="9" xfId="0" applyNumberFormat="1" applyBorder="1" applyAlignment="1">
      <alignment horizontal="center"/>
    </xf>
    <xf numFmtId="167" fontId="2" fillId="4" borderId="9" xfId="0" applyNumberFormat="1" applyFont="1" applyFill="1" applyBorder="1" applyAlignment="1">
      <alignment horizontal="center"/>
    </xf>
    <xf numFmtId="10" fontId="3" fillId="0" borderId="0" xfId="1" applyNumberFormat="1" applyFont="1" applyBorder="1"/>
    <xf numFmtId="166" fontId="2" fillId="4" borderId="2" xfId="0" applyNumberFormat="1" applyFont="1" applyFill="1" applyBorder="1" applyAlignment="1">
      <alignment horizontal="center"/>
    </xf>
    <xf numFmtId="166" fontId="2" fillId="4" borderId="3" xfId="0" applyNumberFormat="1" applyFon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10" fontId="3" fillId="0" borderId="0" xfId="1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5" fontId="5" fillId="0" borderId="0" xfId="1" applyNumberFormat="1" applyFont="1" applyBorder="1" applyAlignment="1">
      <alignment horizontal="left"/>
    </xf>
    <xf numFmtId="9" fontId="0" fillId="0" borderId="0" xfId="1" applyFont="1" applyBorder="1" applyAlignment="1">
      <alignment horizontal="center"/>
    </xf>
    <xf numFmtId="9" fontId="5" fillId="0" borderId="0" xfId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0" fontId="4" fillId="0" borderId="10" xfId="0" applyFont="1" applyBorder="1"/>
    <xf numFmtId="0" fontId="0" fillId="0" borderId="11" xfId="0" applyBorder="1"/>
    <xf numFmtId="0" fontId="3" fillId="0" borderId="9" xfId="0" applyFont="1" applyBorder="1" applyAlignment="1">
      <alignment horizontal="center"/>
    </xf>
    <xf numFmtId="0" fontId="4" fillId="0" borderId="5" xfId="0" applyFont="1" applyBorder="1"/>
    <xf numFmtId="0" fontId="0" fillId="0" borderId="8" xfId="0" applyBorder="1" applyAlignment="1">
      <alignment horizontal="center"/>
    </xf>
    <xf numFmtId="0" fontId="2" fillId="0" borderId="0" xfId="0" applyFont="1"/>
    <xf numFmtId="167" fontId="3" fillId="0" borderId="6" xfId="0" applyNumberFormat="1" applyFont="1" applyBorder="1" applyAlignment="1">
      <alignment horizontal="center"/>
    </xf>
    <xf numFmtId="9" fontId="0" fillId="4" borderId="2" xfId="1" applyFont="1" applyFill="1" applyBorder="1" applyAlignment="1">
      <alignment horizontal="center"/>
    </xf>
    <xf numFmtId="167" fontId="0" fillId="4" borderId="3" xfId="0" applyNumberForma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4" borderId="0" xfId="0" applyFont="1" applyFill="1"/>
    <xf numFmtId="167" fontId="2" fillId="4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/>
    <xf numFmtId="167" fontId="0" fillId="0" borderId="12" xfId="0" applyNumberFormat="1" applyBorder="1" applyAlignment="1">
      <alignment horizontal="center"/>
    </xf>
    <xf numFmtId="167" fontId="0" fillId="4" borderId="4" xfId="0" applyNumberFormat="1" applyFill="1" applyBorder="1" applyAlignment="1">
      <alignment horizontal="center"/>
    </xf>
    <xf numFmtId="0" fontId="0" fillId="4" borderId="4" xfId="0" applyFill="1" applyBorder="1"/>
    <xf numFmtId="0" fontId="2" fillId="4" borderId="4" xfId="0" applyFont="1" applyFill="1" applyBorder="1"/>
    <xf numFmtId="167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  <xf numFmtId="0" fontId="2" fillId="0" borderId="8" xfId="0" applyFont="1" applyBorder="1"/>
    <xf numFmtId="171" fontId="0" fillId="0" borderId="8" xfId="0" applyNumberFormat="1" applyBorder="1" applyAlignment="1">
      <alignment horizontal="center"/>
    </xf>
    <xf numFmtId="0" fontId="2" fillId="2" borderId="1" xfId="0" applyFont="1" applyFill="1" applyBorder="1"/>
    <xf numFmtId="167" fontId="2" fillId="2" borderId="3" xfId="0" applyNumberFormat="1" applyFont="1" applyFill="1" applyBorder="1" applyAlignment="1">
      <alignment horizontal="center"/>
    </xf>
    <xf numFmtId="10" fontId="0" fillId="4" borderId="2" xfId="1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10" fontId="3" fillId="0" borderId="0" xfId="1" applyNumberFormat="1" applyFont="1" applyFill="1" applyBorder="1" applyAlignment="1">
      <alignment horizontal="center"/>
    </xf>
    <xf numFmtId="10" fontId="3" fillId="0" borderId="8" xfId="1" applyNumberFormat="1" applyFont="1" applyFill="1" applyBorder="1" applyAlignment="1">
      <alignment horizontal="center"/>
    </xf>
    <xf numFmtId="0" fontId="2" fillId="2" borderId="2" xfId="0" applyFont="1" applyFill="1" applyBorder="1"/>
    <xf numFmtId="0" fontId="0" fillId="4" borderId="5" xfId="0" applyFill="1" applyBorder="1"/>
    <xf numFmtId="0" fontId="0" fillId="4" borderId="0" xfId="0" applyFill="1"/>
    <xf numFmtId="170" fontId="0" fillId="4" borderId="6" xfId="0" applyNumberFormat="1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10" fontId="0" fillId="4" borderId="9" xfId="1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2" fillId="2" borderId="0" xfId="0" applyFont="1" applyFill="1"/>
    <xf numFmtId="17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71" fontId="2" fillId="2" borderId="2" xfId="0" applyNumberFormat="1" applyFont="1" applyFill="1" applyBorder="1" applyAlignment="1">
      <alignment horizontal="center"/>
    </xf>
    <xf numFmtId="171" fontId="2" fillId="2" borderId="3" xfId="0" applyNumberFormat="1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10" fontId="2" fillId="2" borderId="9" xfId="1" applyNumberFormat="1" applyFont="1" applyFill="1" applyBorder="1" applyAlignment="1">
      <alignment horizontal="center"/>
    </xf>
    <xf numFmtId="0" fontId="4" fillId="0" borderId="4" xfId="0" applyFont="1" applyBorder="1"/>
    <xf numFmtId="0" fontId="0" fillId="0" borderId="6" xfId="0" applyBorder="1" applyAlignment="1">
      <alignment horizontal="center"/>
    </xf>
    <xf numFmtId="10" fontId="5" fillId="0" borderId="6" xfId="1" applyNumberFormat="1" applyFont="1" applyBorder="1" applyAlignment="1">
      <alignment horizontal="center"/>
    </xf>
    <xf numFmtId="0" fontId="3" fillId="0" borderId="0" xfId="0" applyFont="1"/>
    <xf numFmtId="167" fontId="0" fillId="0" borderId="3" xfId="0" applyNumberFormat="1" applyBorder="1" applyAlignment="1">
      <alignment horizontal="center"/>
    </xf>
    <xf numFmtId="170" fontId="3" fillId="0" borderId="6" xfId="0" applyNumberFormat="1" applyFont="1" applyBorder="1" applyAlignment="1">
      <alignment horizontal="center"/>
    </xf>
    <xf numFmtId="10" fontId="3" fillId="0" borderId="11" xfId="1" applyNumberFormat="1" applyFont="1" applyBorder="1" applyAlignment="1">
      <alignment horizontal="center"/>
    </xf>
    <xf numFmtId="167" fontId="0" fillId="4" borderId="0" xfId="0" applyNumberFormat="1" applyFill="1" applyAlignment="1">
      <alignment horizontal="center"/>
    </xf>
    <xf numFmtId="0" fontId="7" fillId="0" borderId="0" xfId="0" applyFont="1" applyAlignment="1">
      <alignment horizontal="right"/>
    </xf>
    <xf numFmtId="0" fontId="0" fillId="0" borderId="8" xfId="0" applyBorder="1" applyAlignment="1">
      <alignment horizontal="right"/>
    </xf>
    <xf numFmtId="3" fontId="5" fillId="0" borderId="9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167" fontId="3" fillId="5" borderId="0" xfId="0" applyNumberFormat="1" applyFont="1" applyFill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4" borderId="10" xfId="0" applyFill="1" applyBorder="1"/>
    <xf numFmtId="0" fontId="7" fillId="0" borderId="4" xfId="0" applyFont="1" applyBorder="1" applyAlignment="1">
      <alignment horizontal="right"/>
    </xf>
    <xf numFmtId="167" fontId="7" fillId="0" borderId="0" xfId="0" applyNumberFormat="1" applyFont="1" applyAlignment="1">
      <alignment horizontal="center"/>
    </xf>
    <xf numFmtId="165" fontId="3" fillId="0" borderId="6" xfId="1" applyNumberFormat="1" applyFont="1" applyFill="1" applyBorder="1" applyAlignment="1">
      <alignment horizontal="center"/>
    </xf>
    <xf numFmtId="10" fontId="3" fillId="0" borderId="9" xfId="1" applyNumberFormat="1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167" fontId="0" fillId="4" borderId="14" xfId="0" applyNumberFormat="1" applyFill="1" applyBorder="1" applyAlignment="1">
      <alignment horizontal="center"/>
    </xf>
    <xf numFmtId="10" fontId="0" fillId="4" borderId="14" xfId="1" applyNumberFormat="1" applyFont="1" applyFill="1" applyBorder="1" applyAlignment="1">
      <alignment horizontal="center"/>
    </xf>
    <xf numFmtId="10" fontId="0" fillId="4" borderId="15" xfId="1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6" fontId="0" fillId="0" borderId="3" xfId="0" applyNumberFormat="1" applyBorder="1" applyAlignment="1">
      <alignment horizontal="center"/>
    </xf>
    <xf numFmtId="8" fontId="0" fillId="0" borderId="0" xfId="0" applyNumberFormat="1"/>
    <xf numFmtId="2" fontId="0" fillId="0" borderId="0" xfId="0" applyNumberFormat="1"/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7" fontId="13" fillId="0" borderId="4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67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67" fontId="13" fillId="0" borderId="8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4" fillId="3" borderId="17" xfId="0" applyFont="1" applyFill="1" applyBorder="1"/>
    <xf numFmtId="0" fontId="14" fillId="3" borderId="20" xfId="0" applyFont="1" applyFill="1" applyBorder="1"/>
    <xf numFmtId="0" fontId="14" fillId="3" borderId="21" xfId="0" applyFont="1" applyFill="1" applyBorder="1"/>
    <xf numFmtId="0" fontId="14" fillId="3" borderId="19" xfId="0" applyFont="1" applyFill="1" applyBorder="1"/>
    <xf numFmtId="3" fontId="9" fillId="2" borderId="22" xfId="0" applyNumberFormat="1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3" fontId="9" fillId="2" borderId="18" xfId="0" applyNumberFormat="1" applyFont="1" applyFill="1" applyBorder="1" applyAlignment="1">
      <alignment horizontal="center"/>
    </xf>
    <xf numFmtId="0" fontId="14" fillId="3" borderId="25" xfId="0" applyFont="1" applyFill="1" applyBorder="1"/>
    <xf numFmtId="0" fontId="14" fillId="3" borderId="26" xfId="0" applyFont="1" applyFill="1" applyBorder="1"/>
    <xf numFmtId="168" fontId="9" fillId="2" borderId="22" xfId="0" applyNumberFormat="1" applyFont="1" applyFill="1" applyBorder="1" applyAlignment="1">
      <alignment horizontal="center"/>
    </xf>
    <xf numFmtId="0" fontId="14" fillId="3" borderId="28" xfId="0" applyFont="1" applyFill="1" applyBorder="1"/>
    <xf numFmtId="0" fontId="9" fillId="2" borderId="27" xfId="0" applyFont="1" applyFill="1" applyBorder="1" applyAlignment="1">
      <alignment horizontal="center"/>
    </xf>
    <xf numFmtId="0" fontId="14" fillId="3" borderId="32" xfId="0" applyFont="1" applyFill="1" applyBorder="1" applyAlignment="1">
      <alignment horizontal="left"/>
    </xf>
    <xf numFmtId="167" fontId="9" fillId="2" borderId="33" xfId="0" applyNumberFormat="1" applyFont="1" applyFill="1" applyBorder="1" applyAlignment="1">
      <alignment horizontal="center"/>
    </xf>
    <xf numFmtId="9" fontId="9" fillId="2" borderId="33" xfId="1" applyFont="1" applyFill="1" applyBorder="1" applyAlignment="1">
      <alignment horizontal="center"/>
    </xf>
    <xf numFmtId="167" fontId="9" fillId="2" borderId="34" xfId="0" applyNumberFormat="1" applyFont="1" applyFill="1" applyBorder="1" applyAlignment="1">
      <alignment horizontal="center"/>
    </xf>
    <xf numFmtId="0" fontId="14" fillId="3" borderId="35" xfId="0" applyFont="1" applyFill="1" applyBorder="1" applyAlignment="1">
      <alignment horizontal="left"/>
    </xf>
    <xf numFmtId="167" fontId="9" fillId="2" borderId="29" xfId="0" applyNumberFormat="1" applyFont="1" applyFill="1" applyBorder="1" applyAlignment="1">
      <alignment horizontal="center"/>
    </xf>
    <xf numFmtId="9" fontId="9" fillId="2" borderId="29" xfId="1" applyFont="1" applyFill="1" applyBorder="1" applyAlignment="1">
      <alignment horizontal="center"/>
    </xf>
    <xf numFmtId="167" fontId="9" fillId="2" borderId="24" xfId="0" applyNumberFormat="1" applyFont="1" applyFill="1" applyBorder="1" applyAlignment="1">
      <alignment horizontal="center"/>
    </xf>
    <xf numFmtId="0" fontId="14" fillId="3" borderId="36" xfId="0" applyFont="1" applyFill="1" applyBorder="1" applyAlignment="1">
      <alignment horizontal="left"/>
    </xf>
    <xf numFmtId="0" fontId="14" fillId="3" borderId="37" xfId="0" applyFont="1" applyFill="1" applyBorder="1" applyAlignment="1">
      <alignment horizontal="left"/>
    </xf>
    <xf numFmtId="167" fontId="9" fillId="2" borderId="18" xfId="0" applyNumberFormat="1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167" fontId="8" fillId="2" borderId="0" xfId="0" applyNumberFormat="1" applyFont="1" applyFill="1" applyAlignment="1">
      <alignment horizontal="center"/>
    </xf>
    <xf numFmtId="9" fontId="8" fillId="2" borderId="0" xfId="1" applyFont="1" applyFill="1" applyBorder="1" applyAlignment="1">
      <alignment horizontal="center"/>
    </xf>
    <xf numFmtId="167" fontId="8" fillId="2" borderId="23" xfId="0" applyNumberFormat="1" applyFont="1" applyFill="1" applyBorder="1" applyAlignment="1">
      <alignment horizontal="center"/>
    </xf>
    <xf numFmtId="167" fontId="10" fillId="2" borderId="29" xfId="0" applyNumberFormat="1" applyFont="1" applyFill="1" applyBorder="1" applyAlignment="1">
      <alignment horizontal="center"/>
    </xf>
    <xf numFmtId="9" fontId="10" fillId="2" borderId="29" xfId="1" applyFont="1" applyFill="1" applyBorder="1" applyAlignment="1">
      <alignment horizontal="center"/>
    </xf>
    <xf numFmtId="167" fontId="10" fillId="2" borderId="18" xfId="0" applyNumberFormat="1" applyFont="1" applyFill="1" applyBorder="1" applyAlignment="1">
      <alignment horizontal="center"/>
    </xf>
    <xf numFmtId="167" fontId="10" fillId="2" borderId="24" xfId="0" applyNumberFormat="1" applyFont="1" applyFill="1" applyBorder="1" applyAlignment="1">
      <alignment horizontal="center"/>
    </xf>
    <xf numFmtId="167" fontId="10" fillId="2" borderId="0" xfId="0" applyNumberFormat="1" applyFont="1" applyFill="1" applyAlignment="1">
      <alignment horizontal="center"/>
    </xf>
    <xf numFmtId="9" fontId="10" fillId="2" borderId="0" xfId="1" applyFont="1" applyFill="1" applyBorder="1" applyAlignment="1">
      <alignment horizontal="center"/>
    </xf>
    <xf numFmtId="167" fontId="10" fillId="2" borderId="23" xfId="0" applyNumberFormat="1" applyFont="1" applyFill="1" applyBorder="1" applyAlignment="1">
      <alignment horizontal="center"/>
    </xf>
    <xf numFmtId="167" fontId="8" fillId="2" borderId="29" xfId="0" applyNumberFormat="1" applyFont="1" applyFill="1" applyBorder="1" applyAlignment="1">
      <alignment horizontal="center"/>
    </xf>
    <xf numFmtId="9" fontId="8" fillId="2" borderId="29" xfId="1" applyFont="1" applyFill="1" applyBorder="1" applyAlignment="1">
      <alignment horizontal="center"/>
    </xf>
    <xf numFmtId="167" fontId="8" fillId="2" borderId="24" xfId="0" applyNumberFormat="1" applyFont="1" applyFill="1" applyBorder="1" applyAlignment="1">
      <alignment horizontal="center"/>
    </xf>
    <xf numFmtId="0" fontId="14" fillId="3" borderId="33" xfId="0" applyFont="1" applyFill="1" applyBorder="1" applyAlignment="1">
      <alignment horizontal="center"/>
    </xf>
    <xf numFmtId="0" fontId="0" fillId="0" borderId="9" xfId="0" applyBorder="1"/>
    <xf numFmtId="170" fontId="2" fillId="2" borderId="6" xfId="0" applyNumberFormat="1" applyFont="1" applyFill="1" applyBorder="1" applyAlignment="1">
      <alignment horizontal="center"/>
    </xf>
    <xf numFmtId="167" fontId="0" fillId="4" borderId="15" xfId="0" applyNumberFormat="1" applyFill="1" applyBorder="1" applyAlignment="1">
      <alignment horizontal="center"/>
    </xf>
    <xf numFmtId="10" fontId="3" fillId="0" borderId="8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71" fontId="0" fillId="0" borderId="0" xfId="0" applyNumberFormat="1"/>
    <xf numFmtId="0" fontId="0" fillId="2" borderId="8" xfId="0" applyFill="1" applyBorder="1"/>
    <xf numFmtId="171" fontId="2" fillId="2" borderId="8" xfId="0" applyNumberFormat="1" applyFont="1" applyFill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0" fillId="0" borderId="43" xfId="0" applyBorder="1"/>
    <xf numFmtId="0" fontId="2" fillId="4" borderId="44" xfId="0" applyFont="1" applyFill="1" applyBorder="1"/>
    <xf numFmtId="0" fontId="0" fillId="0" borderId="46" xfId="0" applyBorder="1"/>
    <xf numFmtId="0" fontId="0" fillId="0" borderId="47" xfId="0" applyBorder="1"/>
    <xf numFmtId="0" fontId="2" fillId="4" borderId="50" xfId="0" applyFont="1" applyFill="1" applyBorder="1"/>
    <xf numFmtId="0" fontId="2" fillId="4" borderId="51" xfId="0" applyFont="1" applyFill="1" applyBorder="1" applyAlignment="1">
      <alignment horizontal="center"/>
    </xf>
    <xf numFmtId="0" fontId="2" fillId="4" borderId="5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0" fontId="10" fillId="0" borderId="0" xfId="1" applyNumberFormat="1" applyFont="1" applyFill="1" applyBorder="1" applyAlignment="1">
      <alignment horizontal="center"/>
    </xf>
    <xf numFmtId="10" fontId="5" fillId="0" borderId="9" xfId="1" applyNumberFormat="1" applyFont="1" applyBorder="1" applyAlignment="1">
      <alignment horizontal="center"/>
    </xf>
    <xf numFmtId="167" fontId="5" fillId="0" borderId="8" xfId="0" applyNumberFormat="1" applyFont="1" applyBorder="1" applyAlignment="1">
      <alignment horizontal="center"/>
    </xf>
    <xf numFmtId="167" fontId="5" fillId="0" borderId="9" xfId="0" applyNumberFormat="1" applyFont="1" applyBorder="1" applyAlignment="1">
      <alignment horizontal="center"/>
    </xf>
    <xf numFmtId="10" fontId="5" fillId="0" borderId="0" xfId="1" applyNumberFormat="1" applyFont="1" applyBorder="1" applyAlignment="1">
      <alignment horizontal="center"/>
    </xf>
    <xf numFmtId="10" fontId="5" fillId="0" borderId="8" xfId="1" applyNumberFormat="1" applyFont="1" applyBorder="1" applyAlignment="1">
      <alignment horizontal="center"/>
    </xf>
    <xf numFmtId="14" fontId="13" fillId="0" borderId="0" xfId="0" applyNumberFormat="1" applyFont="1" applyAlignment="1">
      <alignment horizontal="center"/>
    </xf>
    <xf numFmtId="167" fontId="3" fillId="0" borderId="9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5" fontId="0" fillId="0" borderId="0" xfId="0" applyNumberFormat="1" applyAlignment="1">
      <alignment horizontal="center"/>
    </xf>
    <xf numFmtId="5" fontId="2" fillId="4" borderId="0" xfId="0" applyNumberFormat="1" applyFont="1" applyFill="1" applyAlignment="1">
      <alignment horizontal="center"/>
    </xf>
    <xf numFmtId="5" fontId="2" fillId="2" borderId="2" xfId="0" applyNumberFormat="1" applyFont="1" applyFill="1" applyBorder="1" applyAlignment="1">
      <alignment horizontal="center"/>
    </xf>
    <xf numFmtId="7" fontId="0" fillId="4" borderId="2" xfId="0" applyNumberFormat="1" applyFill="1" applyBorder="1" applyAlignment="1">
      <alignment horizontal="center"/>
    </xf>
    <xf numFmtId="5" fontId="2" fillId="4" borderId="4" xfId="0" applyNumberFormat="1" applyFont="1" applyFill="1" applyBorder="1" applyAlignment="1">
      <alignment horizontal="center"/>
    </xf>
    <xf numFmtId="5" fontId="7" fillId="0" borderId="0" xfId="0" applyNumberFormat="1" applyFont="1" applyAlignment="1">
      <alignment horizontal="center"/>
    </xf>
    <xf numFmtId="5" fontId="0" fillId="0" borderId="2" xfId="0" applyNumberFormat="1" applyBorder="1" applyAlignment="1">
      <alignment horizontal="center"/>
    </xf>
    <xf numFmtId="5" fontId="0" fillId="4" borderId="0" xfId="0" applyNumberFormat="1" applyFill="1" applyAlignment="1">
      <alignment horizontal="center"/>
    </xf>
    <xf numFmtId="5" fontId="2" fillId="4" borderId="2" xfId="0" applyNumberFormat="1" applyFont="1" applyFill="1" applyBorder="1" applyAlignment="1">
      <alignment horizontal="center"/>
    </xf>
    <xf numFmtId="5" fontId="0" fillId="4" borderId="4" xfId="0" applyNumberFormat="1" applyFill="1" applyBorder="1" applyAlignment="1">
      <alignment horizontal="center"/>
    </xf>
    <xf numFmtId="5" fontId="0" fillId="0" borderId="4" xfId="0" applyNumberFormat="1" applyBorder="1" applyAlignment="1">
      <alignment horizontal="center"/>
    </xf>
    <xf numFmtId="5" fontId="0" fillId="4" borderId="6" xfId="0" applyNumberFormat="1" applyFill="1" applyBorder="1" applyAlignment="1">
      <alignment horizontal="center"/>
    </xf>
    <xf numFmtId="5" fontId="2" fillId="0" borderId="0" xfId="0" applyNumberFormat="1" applyFont="1" applyAlignment="1">
      <alignment horizontal="center"/>
    </xf>
    <xf numFmtId="5" fontId="0" fillId="0" borderId="42" xfId="0" applyNumberFormat="1" applyBorder="1" applyAlignment="1">
      <alignment horizontal="center"/>
    </xf>
    <xf numFmtId="5" fontId="0" fillId="0" borderId="38" xfId="0" applyNumberFormat="1" applyBorder="1" applyAlignment="1">
      <alignment horizontal="center"/>
    </xf>
    <xf numFmtId="5" fontId="0" fillId="0" borderId="39" xfId="0" applyNumberFormat="1" applyBorder="1" applyAlignment="1">
      <alignment horizontal="center"/>
    </xf>
    <xf numFmtId="5" fontId="2" fillId="4" borderId="45" xfId="0" applyNumberFormat="1" applyFont="1" applyFill="1" applyBorder="1" applyAlignment="1">
      <alignment horizontal="center"/>
    </xf>
    <xf numFmtId="5" fontId="0" fillId="0" borderId="41" xfId="0" applyNumberFormat="1" applyBorder="1" applyAlignment="1">
      <alignment horizontal="center"/>
    </xf>
    <xf numFmtId="5" fontId="0" fillId="0" borderId="43" xfId="0" applyNumberFormat="1" applyBorder="1" applyAlignment="1">
      <alignment horizontal="center"/>
    </xf>
    <xf numFmtId="5" fontId="0" fillId="0" borderId="48" xfId="0" applyNumberFormat="1" applyBorder="1" applyAlignment="1">
      <alignment horizontal="center"/>
    </xf>
    <xf numFmtId="5" fontId="0" fillId="0" borderId="49" xfId="0" applyNumberFormat="1" applyBorder="1" applyAlignment="1">
      <alignment horizontal="center"/>
    </xf>
    <xf numFmtId="5" fontId="0" fillId="0" borderId="6" xfId="0" applyNumberFormat="1" applyBorder="1" applyAlignment="1">
      <alignment horizontal="center"/>
    </xf>
    <xf numFmtId="5" fontId="2" fillId="4" borderId="3" xfId="0" applyNumberFormat="1" applyFont="1" applyFill="1" applyBorder="1" applyAlignment="1">
      <alignment horizontal="center"/>
    </xf>
    <xf numFmtId="5" fontId="2" fillId="2" borderId="11" xfId="0" applyNumberFormat="1" applyFont="1" applyFill="1" applyBorder="1" applyAlignment="1">
      <alignment horizontal="center"/>
    </xf>
    <xf numFmtId="167" fontId="5" fillId="0" borderId="9" xfId="0" applyNumberFormat="1" applyFont="1" applyBorder="1"/>
    <xf numFmtId="167" fontId="3" fillId="0" borderId="11" xfId="0" applyNumberFormat="1" applyFont="1" applyBorder="1"/>
    <xf numFmtId="0" fontId="16" fillId="6" borderId="8" xfId="2" applyFont="1" applyFill="1" applyBorder="1"/>
    <xf numFmtId="0" fontId="17" fillId="6" borderId="8" xfId="2" applyFont="1" applyFill="1" applyBorder="1"/>
    <xf numFmtId="0" fontId="17" fillId="6" borderId="0" xfId="2" applyFont="1" applyFill="1"/>
    <xf numFmtId="0" fontId="16" fillId="6" borderId="4" xfId="2" applyFont="1" applyFill="1" applyBorder="1" applyAlignment="1">
      <alignment horizontal="center"/>
    </xf>
    <xf numFmtId="0" fontId="17" fillId="6" borderId="4" xfId="2" applyFont="1" applyFill="1" applyBorder="1"/>
    <xf numFmtId="0" fontId="16" fillId="6" borderId="0" xfId="2" applyFont="1" applyFill="1" applyAlignment="1">
      <alignment horizontal="center"/>
    </xf>
    <xf numFmtId="0" fontId="18" fillId="6" borderId="0" xfId="2" applyFont="1" applyFill="1" applyAlignment="1">
      <alignment horizontal="center"/>
    </xf>
    <xf numFmtId="165" fontId="17" fillId="6" borderId="0" xfId="2" applyNumberFormat="1" applyFont="1" applyFill="1" applyAlignment="1">
      <alignment horizontal="center"/>
    </xf>
    <xf numFmtId="0" fontId="18" fillId="0" borderId="0" xfId="2" applyFont="1" applyAlignment="1">
      <alignment horizontal="center"/>
    </xf>
    <xf numFmtId="3" fontId="17" fillId="6" borderId="0" xfId="2" applyNumberFormat="1" applyFont="1" applyFill="1" applyAlignment="1">
      <alignment horizontal="center"/>
    </xf>
    <xf numFmtId="167" fontId="18" fillId="6" borderId="0" xfId="2" applyNumberFormat="1" applyFont="1" applyFill="1" applyAlignment="1">
      <alignment horizontal="center"/>
    </xf>
    <xf numFmtId="164" fontId="17" fillId="6" borderId="0" xfId="2" applyNumberFormat="1" applyFont="1" applyFill="1" applyAlignment="1">
      <alignment horizontal="center"/>
    </xf>
    <xf numFmtId="167" fontId="17" fillId="6" borderId="0" xfId="2" applyNumberFormat="1" applyFont="1" applyFill="1" applyAlignment="1">
      <alignment horizontal="center"/>
    </xf>
    <xf numFmtId="167" fontId="19" fillId="6" borderId="0" xfId="2" applyNumberFormat="1" applyFont="1" applyFill="1" applyAlignment="1">
      <alignment horizontal="center"/>
    </xf>
    <xf numFmtId="172" fontId="17" fillId="6" borderId="0" xfId="2" applyNumberFormat="1" applyFont="1" applyFill="1" applyAlignment="1">
      <alignment horizontal="left"/>
    </xf>
    <xf numFmtId="0" fontId="16" fillId="7" borderId="52" xfId="2" applyFont="1" applyFill="1" applyBorder="1"/>
    <xf numFmtId="0" fontId="16" fillId="7" borderId="52" xfId="2" applyFont="1" applyFill="1" applyBorder="1" applyAlignment="1">
      <alignment horizontal="center"/>
    </xf>
    <xf numFmtId="9" fontId="16" fillId="7" borderId="52" xfId="2" applyNumberFormat="1" applyFont="1" applyFill="1" applyBorder="1" applyAlignment="1">
      <alignment horizontal="center"/>
    </xf>
    <xf numFmtId="3" fontId="16" fillId="7" borderId="52" xfId="2" applyNumberFormat="1" applyFont="1" applyFill="1" applyBorder="1" applyAlignment="1">
      <alignment horizontal="center"/>
    </xf>
    <xf numFmtId="164" fontId="16" fillId="7" borderId="52" xfId="2" applyNumberFormat="1" applyFont="1" applyFill="1" applyBorder="1" applyAlignment="1">
      <alignment horizontal="center"/>
    </xf>
    <xf numFmtId="167" fontId="16" fillId="7" borderId="52" xfId="2" applyNumberFormat="1" applyFont="1" applyFill="1" applyBorder="1" applyAlignment="1">
      <alignment horizontal="center"/>
    </xf>
    <xf numFmtId="1" fontId="19" fillId="6" borderId="0" xfId="2" applyNumberFormat="1" applyFont="1" applyFill="1" applyAlignment="1">
      <alignment horizontal="center"/>
    </xf>
    <xf numFmtId="10" fontId="19" fillId="6" borderId="0" xfId="2" applyNumberFormat="1" applyFont="1" applyFill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9" fontId="2" fillId="0" borderId="2" xfId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9" fontId="0" fillId="0" borderId="4" xfId="1" applyFon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9" fontId="0" fillId="5" borderId="0" xfId="0" applyNumberFormat="1" applyFill="1" applyAlignment="1">
      <alignment horizontal="left"/>
    </xf>
    <xf numFmtId="167" fontId="5" fillId="5" borderId="0" xfId="0" applyNumberFormat="1" applyFont="1" applyFill="1" applyAlignment="1">
      <alignment horizontal="center"/>
    </xf>
    <xf numFmtId="10" fontId="3" fillId="5" borderId="0" xfId="1" applyNumberFormat="1" applyFont="1" applyFill="1" applyBorder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left"/>
    </xf>
    <xf numFmtId="169" fontId="0" fillId="0" borderId="0" xfId="0" applyNumberFormat="1" applyAlignment="1">
      <alignment horizontal="left"/>
    </xf>
    <xf numFmtId="10" fontId="3" fillId="5" borderId="0" xfId="1" applyNumberFormat="1" applyFont="1" applyFill="1" applyBorder="1"/>
    <xf numFmtId="0" fontId="0" fillId="5" borderId="0" xfId="0" applyFill="1"/>
    <xf numFmtId="167" fontId="5" fillId="5" borderId="6" xfId="0" applyNumberFormat="1" applyFont="1" applyFill="1" applyBorder="1" applyAlignment="1">
      <alignment horizontal="center"/>
    </xf>
    <xf numFmtId="0" fontId="0" fillId="5" borderId="5" xfId="0" applyFill="1" applyBorder="1"/>
    <xf numFmtId="0" fontId="20" fillId="9" borderId="10" xfId="0" applyFont="1" applyFill="1" applyBorder="1" applyAlignment="1">
      <alignment horizontal="centerContinuous" vertical="center"/>
    </xf>
    <xf numFmtId="0" fontId="20" fillId="9" borderId="4" xfId="0" applyFont="1" applyFill="1" applyBorder="1" applyAlignment="1">
      <alignment horizontal="centerContinuous" vertical="center"/>
    </xf>
    <xf numFmtId="0" fontId="20" fillId="9" borderId="11" xfId="0" applyFont="1" applyFill="1" applyBorder="1" applyAlignment="1">
      <alignment horizontal="centerContinuous" vertical="center"/>
    </xf>
    <xf numFmtId="0" fontId="21" fillId="0" borderId="5" xfId="0" applyFont="1" applyBorder="1"/>
    <xf numFmtId="0" fontId="21" fillId="0" borderId="0" xfId="0" applyFont="1"/>
    <xf numFmtId="5" fontId="21" fillId="0" borderId="6" xfId="0" applyNumberFormat="1" applyFont="1" applyBorder="1"/>
    <xf numFmtId="0" fontId="10" fillId="0" borderId="0" xfId="0" applyFont="1"/>
    <xf numFmtId="0" fontId="22" fillId="0" borderId="13" xfId="0" applyFont="1" applyBorder="1" applyAlignment="1">
      <alignment horizontal="center" vertical="top"/>
    </xf>
    <xf numFmtId="0" fontId="21" fillId="0" borderId="6" xfId="0" applyFont="1" applyBorder="1"/>
    <xf numFmtId="165" fontId="23" fillId="0" borderId="6" xfId="0" applyNumberFormat="1" applyFont="1" applyBorder="1" applyAlignment="1">
      <alignment horizontal="right"/>
    </xf>
    <xf numFmtId="0" fontId="24" fillId="10" borderId="5" xfId="0" applyFont="1" applyFill="1" applyBorder="1"/>
    <xf numFmtId="0" fontId="24" fillId="10" borderId="0" xfId="0" applyFont="1" applyFill="1"/>
    <xf numFmtId="5" fontId="24" fillId="10" borderId="6" xfId="0" applyNumberFormat="1" applyFont="1" applyFill="1" applyBorder="1"/>
    <xf numFmtId="0" fontId="25" fillId="0" borderId="5" xfId="0" applyFont="1" applyBorder="1"/>
    <xf numFmtId="0" fontId="21" fillId="0" borderId="6" xfId="0" applyFont="1" applyBorder="1" applyAlignment="1">
      <alignment horizontal="right"/>
    </xf>
    <xf numFmtId="0" fontId="22" fillId="0" borderId="5" xfId="0" applyFont="1" applyBorder="1"/>
    <xf numFmtId="174" fontId="22" fillId="0" borderId="6" xfId="0" applyNumberFormat="1" applyFont="1" applyBorder="1"/>
    <xf numFmtId="0" fontId="21" fillId="10" borderId="0" xfId="0" applyFont="1" applyFill="1"/>
    <xf numFmtId="173" fontId="24" fillId="10" borderId="6" xfId="0" applyNumberFormat="1" applyFont="1" applyFill="1" applyBorder="1"/>
    <xf numFmtId="0" fontId="20" fillId="9" borderId="7" xfId="0" applyFont="1" applyFill="1" applyBorder="1"/>
    <xf numFmtId="0" fontId="21" fillId="9" borderId="8" xfId="0" applyFont="1" applyFill="1" applyBorder="1"/>
    <xf numFmtId="5" fontId="20" fillId="9" borderId="9" xfId="0" applyNumberFormat="1" applyFont="1" applyFill="1" applyBorder="1"/>
    <xf numFmtId="10" fontId="3" fillId="5" borderId="6" xfId="1" applyNumberFormat="1" applyFont="1" applyFill="1" applyBorder="1" applyAlignment="1">
      <alignment horizontal="center"/>
    </xf>
    <xf numFmtId="164" fontId="0" fillId="0" borderId="0" xfId="0" applyNumberFormat="1"/>
    <xf numFmtId="167" fontId="19" fillId="5" borderId="0" xfId="2" applyNumberFormat="1" applyFont="1" applyFill="1" applyAlignment="1">
      <alignment horizontal="center"/>
    </xf>
    <xf numFmtId="167" fontId="18" fillId="5" borderId="0" xfId="2" applyNumberFormat="1" applyFont="1" applyFill="1" applyAlignment="1">
      <alignment horizontal="center"/>
    </xf>
    <xf numFmtId="7" fontId="0" fillId="0" borderId="0" xfId="0" applyNumberFormat="1"/>
    <xf numFmtId="0" fontId="26" fillId="0" borderId="0" xfId="0" applyFont="1"/>
    <xf numFmtId="3" fontId="0" fillId="0" borderId="0" xfId="0" applyNumberFormat="1"/>
    <xf numFmtId="3" fontId="2" fillId="0" borderId="0" xfId="0" applyNumberFormat="1" applyFont="1"/>
    <xf numFmtId="1" fontId="2" fillId="0" borderId="0" xfId="0" applyNumberFormat="1" applyFont="1"/>
    <xf numFmtId="175" fontId="0" fillId="0" borderId="0" xfId="0" applyNumberFormat="1"/>
    <xf numFmtId="44" fontId="0" fillId="0" borderId="0" xfId="4" applyFont="1" applyAlignment="1">
      <alignment horizontal="center"/>
    </xf>
    <xf numFmtId="44" fontId="0" fillId="0" borderId="0" xfId="4" applyFont="1"/>
    <xf numFmtId="176" fontId="0" fillId="0" borderId="0" xfId="4" applyNumberFormat="1" applyFont="1"/>
    <xf numFmtId="176" fontId="0" fillId="0" borderId="0" xfId="0" applyNumberFormat="1"/>
    <xf numFmtId="177" fontId="0" fillId="0" borderId="0" xfId="0" applyNumberFormat="1"/>
    <xf numFmtId="177" fontId="0" fillId="0" borderId="0" xfId="4" applyNumberFormat="1" applyFont="1"/>
    <xf numFmtId="177" fontId="2" fillId="0" borderId="0" xfId="4" applyNumberFormat="1" applyFont="1"/>
    <xf numFmtId="178" fontId="0" fillId="0" borderId="0" xfId="3" applyNumberFormat="1" applyFont="1"/>
    <xf numFmtId="9" fontId="0" fillId="0" borderId="0" xfId="0" applyNumberFormat="1"/>
    <xf numFmtId="178" fontId="0" fillId="0" borderId="0" xfId="0" applyNumberFormat="1"/>
    <xf numFmtId="43" fontId="0" fillId="0" borderId="0" xfId="0" applyNumberFormat="1"/>
    <xf numFmtId="166" fontId="0" fillId="0" borderId="0" xfId="0" applyNumberFormat="1" applyAlignment="1">
      <alignment horizontal="center"/>
    </xf>
    <xf numFmtId="167" fontId="3" fillId="6" borderId="0" xfId="0" applyNumberFormat="1" applyFont="1" applyFill="1" applyAlignment="1">
      <alignment horizontal="center"/>
    </xf>
    <xf numFmtId="167" fontId="5" fillId="6" borderId="6" xfId="0" applyNumberFormat="1" applyFont="1" applyFill="1" applyBorder="1" applyAlignment="1">
      <alignment horizontal="center"/>
    </xf>
    <xf numFmtId="0" fontId="27" fillId="11" borderId="53" xfId="0" applyFont="1" applyFill="1" applyBorder="1" applyAlignment="1">
      <alignment horizontal="left"/>
    </xf>
    <xf numFmtId="0" fontId="27" fillId="11" borderId="53" xfId="0" applyFont="1" applyFill="1" applyBorder="1" applyAlignment="1">
      <alignment horizontal="right"/>
    </xf>
    <xf numFmtId="5" fontId="27" fillId="11" borderId="53" xfId="0" applyNumberFormat="1" applyFont="1" applyFill="1" applyBorder="1" applyAlignment="1">
      <alignment horizontal="right"/>
    </xf>
    <xf numFmtId="37" fontId="27" fillId="11" borderId="53" xfId="0" applyNumberFormat="1" applyFont="1" applyFill="1" applyBorder="1" applyAlignment="1">
      <alignment horizontal="right"/>
    </xf>
    <xf numFmtId="0" fontId="28" fillId="0" borderId="0" xfId="0" applyFont="1"/>
    <xf numFmtId="0" fontId="11" fillId="3" borderId="16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4" fillId="3" borderId="29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30" xfId="0" applyFont="1" applyFill="1" applyBorder="1" applyAlignment="1">
      <alignment horizontal="center"/>
    </xf>
    <xf numFmtId="0" fontId="14" fillId="3" borderId="31" xfId="0" applyFont="1" applyFill="1" applyBorder="1" applyAlignment="1">
      <alignment horizontal="center"/>
    </xf>
    <xf numFmtId="167" fontId="10" fillId="2" borderId="26" xfId="0" applyNumberFormat="1" applyFont="1" applyFill="1" applyBorder="1" applyAlignment="1">
      <alignment horizontal="center"/>
    </xf>
    <xf numFmtId="167" fontId="10" fillId="2" borderId="30" xfId="0" applyNumberFormat="1" applyFont="1" applyFill="1" applyBorder="1" applyAlignment="1">
      <alignment horizontal="center"/>
    </xf>
    <xf numFmtId="170" fontId="10" fillId="2" borderId="26" xfId="0" applyNumberFormat="1" applyFont="1" applyFill="1" applyBorder="1" applyAlignment="1">
      <alignment horizontal="center"/>
    </xf>
    <xf numFmtId="170" fontId="10" fillId="2" borderId="30" xfId="0" applyNumberFormat="1" applyFont="1" applyFill="1" applyBorder="1" applyAlignment="1">
      <alignment horizontal="center"/>
    </xf>
    <xf numFmtId="10" fontId="10" fillId="2" borderId="26" xfId="1" applyNumberFormat="1" applyFont="1" applyFill="1" applyBorder="1" applyAlignment="1">
      <alignment horizontal="center"/>
    </xf>
    <xf numFmtId="10" fontId="10" fillId="2" borderId="30" xfId="1" applyNumberFormat="1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0" fillId="2" borderId="1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9" fontId="1" fillId="0" borderId="6" xfId="1" applyFont="1" applyBorder="1" applyAlignment="1">
      <alignment horizontal="center"/>
    </xf>
    <xf numFmtId="10" fontId="1" fillId="0" borderId="6" xfId="1" applyNumberFormat="1" applyFont="1" applyBorder="1" applyAlignment="1">
      <alignment horizontal="center"/>
    </xf>
    <xf numFmtId="10" fontId="1" fillId="0" borderId="9" xfId="1" applyNumberFormat="1" applyFont="1" applyBorder="1" applyAlignment="1">
      <alignment horizontal="center"/>
    </xf>
  </cellXfs>
  <cellStyles count="5">
    <cellStyle name="Comma" xfId="3" builtinId="3"/>
    <cellStyle name="Currency" xfId="4" builtinId="4"/>
    <cellStyle name="Normal" xfId="0" builtinId="0"/>
    <cellStyle name="Normal 3" xfId="2" xr:uid="{9C2DA406-9CE8-430E-8A9F-C215C0B22EA7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A170-05E0-446B-AEF1-820737D5C184}">
  <dimension ref="B1:H33"/>
  <sheetViews>
    <sheetView showGridLines="0" zoomScale="162" zoomScaleNormal="115" workbookViewId="0">
      <selection activeCell="E22" sqref="E22"/>
    </sheetView>
  </sheetViews>
  <sheetFormatPr baseColWidth="10" defaultColWidth="8.83203125" defaultRowHeight="15" outlineLevelRow="1" x14ac:dyDescent="0.2"/>
  <cols>
    <col min="1" max="1" width="2.5" customWidth="1"/>
    <col min="2" max="3" width="22.6640625" customWidth="1"/>
    <col min="4" max="4" width="10.6640625" customWidth="1"/>
    <col min="5" max="7" width="12.6640625" customWidth="1"/>
    <col min="8" max="8" width="8.83203125" customWidth="1"/>
  </cols>
  <sheetData>
    <row r="1" spans="2:8" ht="16" thickBot="1" x14ac:dyDescent="0.25"/>
    <row r="2" spans="2:8" ht="17" thickBot="1" x14ac:dyDescent="0.3">
      <c r="B2" s="369" t="s">
        <v>62</v>
      </c>
      <c r="C2" s="369"/>
      <c r="E2" s="382" t="s">
        <v>190</v>
      </c>
      <c r="F2" s="383"/>
      <c r="G2" s="383"/>
      <c r="H2" s="384"/>
    </row>
    <row r="3" spans="2:8" ht="16" thickBot="1" x14ac:dyDescent="0.25">
      <c r="B3" s="176" t="s">
        <v>296</v>
      </c>
      <c r="C3" s="182" t="str">
        <f>Assumptions!C3</f>
        <v>6719 N Lamar BLVD</v>
      </c>
      <c r="E3" s="371" t="s">
        <v>194</v>
      </c>
      <c r="F3" s="372"/>
      <c r="G3" s="376">
        <f ca="1">'Draw Schedule'!D171</f>
        <v>4992185.2827406693</v>
      </c>
      <c r="H3" s="377"/>
    </row>
    <row r="4" spans="2:8" ht="16" thickBot="1" x14ac:dyDescent="0.25">
      <c r="B4" s="176" t="s">
        <v>1</v>
      </c>
      <c r="C4" s="181" t="str">
        <f>Assumptions!C4</f>
        <v>6719 N Lamar BLVD</v>
      </c>
      <c r="E4" s="373" t="s">
        <v>191</v>
      </c>
      <c r="F4" s="373"/>
      <c r="G4" s="378">
        <f ca="1">'Draw Schedule'!D172</f>
        <v>1.6615641527986797</v>
      </c>
      <c r="H4" s="379"/>
    </row>
    <row r="5" spans="2:8" ht="16" thickBot="1" x14ac:dyDescent="0.25">
      <c r="B5" s="178" t="s">
        <v>2</v>
      </c>
      <c r="C5" s="182" t="str">
        <f>Assumptions!C5</f>
        <v>Austin, TX</v>
      </c>
      <c r="E5" s="374" t="s">
        <v>192</v>
      </c>
      <c r="F5" s="375"/>
      <c r="G5" s="380">
        <f ca="1">'Draw Schedule'!D173</f>
        <v>8.6374065279960624E-2</v>
      </c>
      <c r="H5" s="381"/>
    </row>
    <row r="6" spans="2:8" ht="16" thickBot="1" x14ac:dyDescent="0.25">
      <c r="B6" s="178" t="s">
        <v>45</v>
      </c>
      <c r="C6" s="182">
        <f>Assumptions!C6</f>
        <v>0</v>
      </c>
      <c r="E6" s="374" t="s">
        <v>195</v>
      </c>
      <c r="F6" s="375"/>
      <c r="G6" s="380">
        <f ca="1">'Net CF Post TCO'!D33</f>
        <v>5.3028021473708629E-2</v>
      </c>
      <c r="H6" s="381"/>
    </row>
    <row r="7" spans="2:8" ht="16" hidden="1" outlineLevel="1" thickBot="1" x14ac:dyDescent="0.25">
      <c r="B7" s="178" t="s">
        <v>357</v>
      </c>
      <c r="C7" s="182">
        <f>Assumptions!F13</f>
        <v>0</v>
      </c>
      <c r="E7" s="232"/>
      <c r="F7" s="232"/>
      <c r="G7" s="233"/>
      <c r="H7" s="233"/>
    </row>
    <row r="8" spans="2:8" ht="16" hidden="1" outlineLevel="1" thickBot="1" x14ac:dyDescent="0.25">
      <c r="B8" s="179" t="s">
        <v>64</v>
      </c>
      <c r="C8" s="180">
        <f>Assumptions!D20</f>
        <v>106058.77777777778</v>
      </c>
    </row>
    <row r="9" spans="2:8" ht="16" hidden="1" outlineLevel="1" thickBot="1" x14ac:dyDescent="0.25">
      <c r="B9" s="177" t="s">
        <v>65</v>
      </c>
      <c r="C9" s="183">
        <f>C11+C10</f>
        <v>53151</v>
      </c>
      <c r="G9" s="34"/>
    </row>
    <row r="10" spans="2:8" ht="16" hidden="1" outlineLevel="1" thickBot="1" x14ac:dyDescent="0.25">
      <c r="B10" s="184" t="s">
        <v>66</v>
      </c>
      <c r="C10" s="180">
        <f>Assumptions!F16</f>
        <v>4400</v>
      </c>
    </row>
    <row r="11" spans="2:8" ht="16" hidden="1" outlineLevel="1" thickBot="1" x14ac:dyDescent="0.25">
      <c r="B11" s="185" t="s">
        <v>63</v>
      </c>
      <c r="C11" s="180">
        <f>Assumptions!F17</f>
        <v>48751</v>
      </c>
    </row>
    <row r="12" spans="2:8" ht="16" hidden="1" outlineLevel="1" thickBot="1" x14ac:dyDescent="0.25">
      <c r="B12" s="185" t="s">
        <v>68</v>
      </c>
      <c r="C12" s="182">
        <f>Assumptions!C29</f>
        <v>66</v>
      </c>
    </row>
    <row r="13" spans="2:8" ht="16" hidden="1" outlineLevel="1" thickBot="1" x14ac:dyDescent="0.25">
      <c r="B13" s="185" t="s">
        <v>14</v>
      </c>
      <c r="C13" s="180">
        <f>Assumptions!F32</f>
        <v>63</v>
      </c>
    </row>
    <row r="14" spans="2:8" ht="16" hidden="1" outlineLevel="1" thickBot="1" x14ac:dyDescent="0.25">
      <c r="B14" s="185" t="s">
        <v>341</v>
      </c>
      <c r="C14" s="186">
        <f>Assumptions!J12+Assumptions!F36+Assumptions!F37</f>
        <v>83</v>
      </c>
    </row>
    <row r="15" spans="2:8" ht="16" hidden="1" outlineLevel="1" thickBot="1" x14ac:dyDescent="0.25">
      <c r="B15" s="185" t="s">
        <v>305</v>
      </c>
      <c r="C15" s="182" t="str">
        <f>Assumptions!L8</f>
        <v>Yes</v>
      </c>
    </row>
    <row r="16" spans="2:8" hidden="1" outlineLevel="1" x14ac:dyDescent="0.2">
      <c r="B16" s="187" t="s">
        <v>301</v>
      </c>
      <c r="C16" s="188" t="str">
        <f>Assumptions!Q24</f>
        <v>No</v>
      </c>
    </row>
    <row r="17" spans="2:7" collapsed="1" x14ac:dyDescent="0.2"/>
    <row r="18" spans="2:7" ht="16" x14ac:dyDescent="0.25">
      <c r="B18" s="370" t="s">
        <v>326</v>
      </c>
      <c r="C18" s="370"/>
      <c r="D18" s="370"/>
      <c r="E18" s="370"/>
      <c r="F18" s="370"/>
      <c r="G18" s="370"/>
    </row>
    <row r="19" spans="2:7" ht="16" thickBot="1" x14ac:dyDescent="0.25">
      <c r="B19" s="214" t="s">
        <v>46</v>
      </c>
      <c r="C19" s="200" t="s">
        <v>49</v>
      </c>
      <c r="D19" s="214" t="str">
        <f>Assumptions!U3</f>
        <v>%</v>
      </c>
      <c r="E19" s="214" t="str">
        <f>Assumptions!V3</f>
        <v>$/GSF</v>
      </c>
      <c r="F19" s="214" t="str">
        <f>Assumptions!W3</f>
        <v>$/NSF</v>
      </c>
      <c r="G19" s="214" t="str">
        <f>Assumptions!X3</f>
        <v>$/Unit</v>
      </c>
    </row>
    <row r="20" spans="2:7" ht="16" thickBot="1" x14ac:dyDescent="0.25">
      <c r="B20" s="193" t="str">
        <f>Assumptions!S4</f>
        <v>Site Acquisition</v>
      </c>
      <c r="C20" s="194">
        <f>Assumptions!T4</f>
        <v>3500000</v>
      </c>
      <c r="D20" s="195">
        <f ca="1">Assumptions!U4</f>
        <v>0.11595495778158955</v>
      </c>
      <c r="E20" s="194">
        <f>Assumptions!V4</f>
        <v>33.000568866949038</v>
      </c>
      <c r="F20" s="194">
        <f>Assumptions!W4</f>
        <v>65.850125115237716</v>
      </c>
      <c r="G20" s="196">
        <f>Assumptions!X4</f>
        <v>53030.303030303032</v>
      </c>
    </row>
    <row r="21" spans="2:7" ht="16" thickBot="1" x14ac:dyDescent="0.25">
      <c r="B21" s="189" t="str">
        <f>Assumptions!S5</f>
        <v>Hard Costs</v>
      </c>
      <c r="C21" s="190">
        <f>Assumptions!T5</f>
        <v>19519500</v>
      </c>
      <c r="D21" s="191">
        <f ca="1">Assumptions!U5</f>
        <v>0.6466807995479249</v>
      </c>
      <c r="E21" s="190">
        <f>Assumptions!V5</f>
        <v>184.04417257097478</v>
      </c>
      <c r="F21" s="190">
        <f>Assumptions!W5</f>
        <v>367.24614776768078</v>
      </c>
      <c r="G21" s="192">
        <f>Assumptions!X5</f>
        <v>295750</v>
      </c>
    </row>
    <row r="22" spans="2:7" ht="16" thickBot="1" x14ac:dyDescent="0.25">
      <c r="B22" s="193" t="str">
        <f>Assumptions!S6</f>
        <v>Soft Costs</v>
      </c>
      <c r="C22" s="194">
        <f ca="1">Assumptions!T6</f>
        <v>5033193.3060466042</v>
      </c>
      <c r="D22" s="195">
        <f ca="1">Assumptions!U6</f>
        <v>0.16674963351691804</v>
      </c>
      <c r="E22" s="194">
        <f ca="1">Assumptions!V6</f>
        <v>47.456640661959391</v>
      </c>
      <c r="F22" s="194">
        <f ca="1">Assumptions!W6</f>
        <v>94.696116837813108</v>
      </c>
      <c r="G22" s="196">
        <f ca="1">Assumptions!X6</f>
        <v>76260.504637069767</v>
      </c>
    </row>
    <row r="23" spans="2:7" ht="16" thickBot="1" x14ac:dyDescent="0.25">
      <c r="B23" s="198" t="str">
        <f>Assumptions!S7</f>
        <v>DS/GL Reserve</v>
      </c>
      <c r="C23" s="194">
        <f ca="1">Assumptions!T7</f>
        <v>2131440.8350101397</v>
      </c>
      <c r="D23" s="195">
        <f ca="1">Assumptions!U7</f>
        <v>7.0614609153587637E-2</v>
      </c>
      <c r="E23" s="194">
        <f ca="1">Assumptions!V7</f>
        <v>20.096788589022708</v>
      </c>
      <c r="F23" s="194">
        <f ca="1">Assumptions!W7</f>
        <v>40.101613046041273</v>
      </c>
      <c r="G23" s="199">
        <f ca="1">Assumptions!X7</f>
        <v>32294.558106214237</v>
      </c>
    </row>
    <row r="24" spans="2:7" ht="16" hidden="1" outlineLevel="1" thickBot="1" x14ac:dyDescent="0.25">
      <c r="B24" s="193" t="str">
        <f>Assumptions!S8</f>
        <v>NOI Shortfall</v>
      </c>
      <c r="C24" s="194">
        <f ca="1">Assumptions!T8</f>
        <v>0</v>
      </c>
      <c r="D24" s="195">
        <f ca="1">Assumptions!U8</f>
        <v>0</v>
      </c>
      <c r="E24" s="194">
        <f ca="1">Assumptions!V8</f>
        <v>0</v>
      </c>
      <c r="F24" s="194">
        <f ca="1">Assumptions!W8</f>
        <v>0</v>
      </c>
      <c r="G24" s="196">
        <f ca="1">Assumptions!X8</f>
        <v>0</v>
      </c>
    </row>
    <row r="25" spans="2:7" collapsed="1" x14ac:dyDescent="0.2">
      <c r="B25" s="197" t="str">
        <f>Assumptions!S9</f>
        <v>Total Uses</v>
      </c>
      <c r="C25" s="201">
        <f ca="1">Assumptions!T9</f>
        <v>30184134.141056746</v>
      </c>
      <c r="D25" s="202">
        <f ca="1">Assumptions!U9</f>
        <v>1</v>
      </c>
      <c r="E25" s="201">
        <f ca="1">Assumptions!V9</f>
        <v>284.59817068890595</v>
      </c>
      <c r="F25" s="201">
        <f ca="1">Assumptions!W9</f>
        <v>567.89400276677293</v>
      </c>
      <c r="G25" s="203">
        <f ca="1">Assumptions!X9</f>
        <v>457335.36577358708</v>
      </c>
    </row>
    <row r="27" spans="2:7" ht="16" thickBot="1" x14ac:dyDescent="0.25">
      <c r="B27" s="197" t="str">
        <f>Assumptions!S17</f>
        <v>Equity</v>
      </c>
      <c r="C27" s="208">
        <f ca="1">Assumptions!T17</f>
        <v>7546033.5352641866</v>
      </c>
      <c r="D27" s="209">
        <f ca="1">Assumptions!U17</f>
        <v>0.25000000000000505</v>
      </c>
      <c r="E27" s="208">
        <f ca="1">Assumptions!V17</f>
        <v>71.149542672226488</v>
      </c>
      <c r="F27" s="208">
        <f ca="1">Assumptions!W17</f>
        <v>141.97350069169323</v>
      </c>
      <c r="G27" s="210">
        <f ca="1">Assumptions!X17</f>
        <v>114333.84144339677</v>
      </c>
    </row>
    <row r="28" spans="2:7" ht="16" thickBot="1" x14ac:dyDescent="0.25">
      <c r="B28" s="198" t="str">
        <f>Assumptions!S13</f>
        <v>Acquisition Loan</v>
      </c>
      <c r="C28" s="204">
        <f>Assumptions!T13</f>
        <v>1750000</v>
      </c>
      <c r="D28" s="205">
        <f ca="1">Assumptions!U13</f>
        <v>5.7977478890794777E-2</v>
      </c>
      <c r="E28" s="204">
        <f>Assumptions!V13</f>
        <v>16.500284433474519</v>
      </c>
      <c r="F28" s="204">
        <f>Assumptions!W13</f>
        <v>32.925062557618858</v>
      </c>
      <c r="G28" s="206">
        <f>Assumptions!X13</f>
        <v>26515.151515151516</v>
      </c>
    </row>
    <row r="29" spans="2:7" ht="16" thickBot="1" x14ac:dyDescent="0.25">
      <c r="B29" s="198" t="str">
        <f>Assumptions!S14</f>
        <v>Construction Loan</v>
      </c>
      <c r="C29" s="204">
        <f ca="1">Assumptions!T14</f>
        <v>20888100.60579256</v>
      </c>
      <c r="D29" s="205">
        <f ca="1">Assumptions!U14</f>
        <v>0.69202252110922036</v>
      </c>
      <c r="E29" s="204">
        <f ca="1">Assumptions!V14</f>
        <v>196.94834358320495</v>
      </c>
      <c r="F29" s="204">
        <f ca="1">Assumptions!W14</f>
        <v>392.9954395174608</v>
      </c>
      <c r="G29" s="206">
        <f ca="1">Assumptions!X14</f>
        <v>316486.37281503878</v>
      </c>
    </row>
    <row r="30" spans="2:7" ht="16" hidden="1" outlineLevel="1" thickBot="1" x14ac:dyDescent="0.25">
      <c r="B30" s="193" t="str">
        <f>Assumptions!S15</f>
        <v>Mezz Loan</v>
      </c>
      <c r="C30" s="204">
        <f ca="1">Assumptions!T15</f>
        <v>0</v>
      </c>
      <c r="D30" s="205">
        <f ca="1">Assumptions!U15</f>
        <v>0</v>
      </c>
      <c r="E30" s="204">
        <f ca="1">Assumptions!V15</f>
        <v>0</v>
      </c>
      <c r="F30" s="204">
        <f ca="1">Assumptions!W15</f>
        <v>0</v>
      </c>
      <c r="G30" s="207">
        <f ca="1">Assumptions!X15</f>
        <v>0</v>
      </c>
    </row>
    <row r="31" spans="2:7" ht="16" hidden="1" outlineLevel="1" thickBot="1" x14ac:dyDescent="0.25">
      <c r="B31" s="198" t="str">
        <f>Assumptions!S16</f>
        <v>Ground Lease</v>
      </c>
      <c r="C31" s="204">
        <f>Assumptions!T16</f>
        <v>0</v>
      </c>
      <c r="D31" s="205">
        <f ca="1">Assumptions!U16</f>
        <v>0</v>
      </c>
      <c r="E31" s="204">
        <f>Assumptions!V16</f>
        <v>0</v>
      </c>
      <c r="F31" s="204">
        <f>Assumptions!W16</f>
        <v>0</v>
      </c>
      <c r="G31" s="206">
        <f>Assumptions!X16</f>
        <v>0</v>
      </c>
    </row>
    <row r="32" spans="2:7" ht="16" collapsed="1" thickBot="1" x14ac:dyDescent="0.25">
      <c r="B32" s="193" t="str">
        <f>Assumptions!S18</f>
        <v>Total Sourses</v>
      </c>
      <c r="C32" s="211">
        <f ca="1">SUM(C27:C31)</f>
        <v>30184134.141056746</v>
      </c>
      <c r="D32" s="212">
        <f t="shared" ref="D32:G32" ca="1" si="0">SUM(D27:D31)</f>
        <v>1.0000000000000202</v>
      </c>
      <c r="E32" s="211">
        <f t="shared" ca="1" si="0"/>
        <v>284.59817068890595</v>
      </c>
      <c r="F32" s="211">
        <f t="shared" ca="1" si="0"/>
        <v>567.89400276677293</v>
      </c>
      <c r="G32" s="213">
        <f t="shared" ca="1" si="0"/>
        <v>457335.36577358702</v>
      </c>
    </row>
    <row r="33" spans="3:3" x14ac:dyDescent="0.2">
      <c r="C33" s="341"/>
    </row>
  </sheetData>
  <mergeCells count="11">
    <mergeCell ref="B2:C2"/>
    <mergeCell ref="B18:G18"/>
    <mergeCell ref="E3:F3"/>
    <mergeCell ref="E4:F4"/>
    <mergeCell ref="E5:F5"/>
    <mergeCell ref="E6:F6"/>
    <mergeCell ref="G3:H3"/>
    <mergeCell ref="G4:H4"/>
    <mergeCell ref="G5:H5"/>
    <mergeCell ref="G6:H6"/>
    <mergeCell ref="E2:H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1B5E-4767-482F-8E4F-70B03290FC38}">
  <dimension ref="B2:X102"/>
  <sheetViews>
    <sheetView showGridLines="0" zoomScale="108" zoomScaleNormal="80" workbookViewId="0">
      <selection activeCell="D20" sqref="D20"/>
    </sheetView>
  </sheetViews>
  <sheetFormatPr baseColWidth="10" defaultColWidth="8.83203125" defaultRowHeight="15" x14ac:dyDescent="0.2"/>
  <cols>
    <col min="1" max="1" width="2.83203125" customWidth="1"/>
    <col min="2" max="2" width="25.83203125" bestFit="1" customWidth="1"/>
    <col min="3" max="4" width="10.1640625" customWidth="1"/>
    <col min="5" max="5" width="9.33203125" bestFit="1" customWidth="1"/>
    <col min="6" max="6" width="12.33203125" bestFit="1" customWidth="1"/>
    <col min="7" max="7" width="3.5" customWidth="1"/>
    <col min="8" max="8" width="17.33203125" customWidth="1"/>
    <col min="10" max="10" width="12.5" bestFit="1" customWidth="1"/>
    <col min="11" max="11" width="9.5" bestFit="1" customWidth="1"/>
    <col min="12" max="12" width="13.1640625" customWidth="1"/>
    <col min="13" max="13" width="3.33203125" customWidth="1"/>
    <col min="14" max="14" width="23" customWidth="1"/>
    <col min="15" max="15" width="9.83203125" bestFit="1" customWidth="1"/>
    <col min="16" max="16" width="9.5" bestFit="1" customWidth="1"/>
    <col min="17" max="17" width="12.6640625" bestFit="1" customWidth="1"/>
    <col min="18" max="18" width="5.1640625" customWidth="1"/>
    <col min="19" max="19" width="18.33203125" bestFit="1" customWidth="1"/>
    <col min="20" max="20" width="12.6640625" bestFit="1" customWidth="1"/>
    <col min="21" max="22" width="11" customWidth="1"/>
    <col min="24" max="24" width="10" bestFit="1" customWidth="1"/>
  </cols>
  <sheetData>
    <row r="2" spans="2:24" x14ac:dyDescent="0.2">
      <c r="B2" s="385" t="s">
        <v>0</v>
      </c>
      <c r="C2" s="386"/>
      <c r="D2" s="386"/>
      <c r="E2" s="386"/>
      <c r="F2" s="387"/>
      <c r="H2" s="385" t="s">
        <v>13</v>
      </c>
      <c r="I2" s="386"/>
      <c r="J2" s="386"/>
      <c r="K2" s="386"/>
      <c r="L2" s="387"/>
      <c r="N2" s="385" t="s">
        <v>54</v>
      </c>
      <c r="O2" s="386"/>
      <c r="P2" s="386"/>
      <c r="Q2" s="387"/>
      <c r="S2" s="385" t="s">
        <v>46</v>
      </c>
      <c r="T2" s="386"/>
      <c r="U2" s="386"/>
      <c r="V2" s="386"/>
      <c r="W2" s="386"/>
      <c r="X2" s="387"/>
    </row>
    <row r="3" spans="2:24" x14ac:dyDescent="0.2">
      <c r="B3" s="16" t="s">
        <v>296</v>
      </c>
      <c r="C3" s="388" t="s">
        <v>412</v>
      </c>
      <c r="D3" s="388"/>
      <c r="E3" s="388"/>
      <c r="F3" s="389"/>
      <c r="H3" s="8"/>
      <c r="I3" s="24" t="s">
        <v>25</v>
      </c>
      <c r="K3" s="24" t="s">
        <v>23</v>
      </c>
      <c r="L3" s="25" t="s">
        <v>24</v>
      </c>
      <c r="N3" s="81" t="s">
        <v>51</v>
      </c>
      <c r="Q3" s="9"/>
      <c r="S3" s="16"/>
      <c r="T3" s="5" t="s">
        <v>47</v>
      </c>
      <c r="U3" s="5" t="s">
        <v>21</v>
      </c>
      <c r="V3" s="5" t="s">
        <v>86</v>
      </c>
      <c r="W3" s="5" t="s">
        <v>26</v>
      </c>
      <c r="X3" s="87" t="s">
        <v>82</v>
      </c>
    </row>
    <row r="4" spans="2:24" x14ac:dyDescent="0.2">
      <c r="B4" s="8" t="s">
        <v>1</v>
      </c>
      <c r="C4" s="388" t="s">
        <v>412</v>
      </c>
      <c r="D4" s="388"/>
      <c r="E4" s="388"/>
      <c r="F4" s="389"/>
      <c r="H4" s="8" t="s">
        <v>5</v>
      </c>
      <c r="J4" t="s">
        <v>26</v>
      </c>
      <c r="K4" s="49">
        <f>'Unit Mix'!I24</f>
        <v>3.2694303706590637</v>
      </c>
      <c r="L4" s="29">
        <v>0.03</v>
      </c>
      <c r="N4" s="8" t="s">
        <v>55</v>
      </c>
      <c r="Q4" s="52">
        <f>F9*Q6</f>
        <v>1750000</v>
      </c>
      <c r="S4" s="8" t="s">
        <v>48</v>
      </c>
      <c r="T4" s="36">
        <f>F9</f>
        <v>3500000</v>
      </c>
      <c r="U4" s="75">
        <f t="shared" ref="U4:U9" ca="1" si="0">T4/$T$9</f>
        <v>0.11595495778158955</v>
      </c>
      <c r="V4" s="36">
        <f>T4/Assumptions!$D$20</f>
        <v>33.000568866949038</v>
      </c>
      <c r="W4" s="36">
        <f t="shared" ref="W4:W9" si="1">T4/$F$20</f>
        <v>65.850125115237716</v>
      </c>
      <c r="X4" s="52">
        <f t="shared" ref="X4:X9" si="2">T4/$C$29</f>
        <v>53030.303030303032</v>
      </c>
    </row>
    <row r="5" spans="2:24" x14ac:dyDescent="0.2">
      <c r="B5" s="8" t="s">
        <v>2</v>
      </c>
      <c r="C5" s="388" t="s">
        <v>379</v>
      </c>
      <c r="D5" s="388"/>
      <c r="E5" s="388"/>
      <c r="F5" s="389"/>
      <c r="H5" s="8" t="s">
        <v>4</v>
      </c>
      <c r="J5" t="s">
        <v>26</v>
      </c>
      <c r="K5" s="49">
        <v>2.7</v>
      </c>
      <c r="L5" s="29">
        <v>0.03</v>
      </c>
      <c r="N5" s="8" t="s">
        <v>56</v>
      </c>
      <c r="P5" s="33">
        <f>EDATE($F$35,Q5)</f>
        <v>46023</v>
      </c>
      <c r="Q5" s="12">
        <v>0</v>
      </c>
      <c r="S5" s="8" t="s">
        <v>11</v>
      </c>
      <c r="T5" s="36">
        <f>'Construction Costs'!E11</f>
        <v>19519500</v>
      </c>
      <c r="U5" s="75">
        <f t="shared" ca="1" si="0"/>
        <v>0.6466807995479249</v>
      </c>
      <c r="V5" s="36">
        <f>T5/Assumptions!$D$20</f>
        <v>184.04417257097478</v>
      </c>
      <c r="W5" s="36">
        <f t="shared" si="1"/>
        <v>367.24614776768078</v>
      </c>
      <c r="X5" s="52">
        <f t="shared" si="2"/>
        <v>295750</v>
      </c>
    </row>
    <row r="6" spans="2:24" x14ac:dyDescent="0.2">
      <c r="B6" s="10" t="s">
        <v>45</v>
      </c>
      <c r="C6" s="393"/>
      <c r="D6" s="393"/>
      <c r="E6" s="393"/>
      <c r="F6" s="394"/>
      <c r="H6" s="8" t="s">
        <v>14</v>
      </c>
      <c r="I6" s="20">
        <v>1</v>
      </c>
      <c r="J6" t="s">
        <v>27</v>
      </c>
      <c r="K6" s="37">
        <v>0</v>
      </c>
      <c r="L6" s="29">
        <v>0.03</v>
      </c>
      <c r="N6" s="8" t="s">
        <v>57</v>
      </c>
      <c r="Q6" s="29">
        <v>0.5</v>
      </c>
      <c r="S6" s="8" t="s">
        <v>12</v>
      </c>
      <c r="T6" s="36">
        <f ca="1">'Construction Costs'!E36-T7-T8</f>
        <v>5033193.3060466042</v>
      </c>
      <c r="U6" s="75">
        <f t="shared" ca="1" si="0"/>
        <v>0.16674963351691804</v>
      </c>
      <c r="V6" s="36">
        <f ca="1">T6/Assumptions!$D$20</f>
        <v>47.456640661959391</v>
      </c>
      <c r="W6" s="36">
        <f t="shared" ca="1" si="1"/>
        <v>94.696116837813108</v>
      </c>
      <c r="X6" s="52">
        <f t="shared" ca="1" si="2"/>
        <v>76260.504637069767</v>
      </c>
    </row>
    <row r="7" spans="2:24" x14ac:dyDescent="0.2">
      <c r="H7" s="10" t="s">
        <v>15</v>
      </c>
      <c r="I7" s="11"/>
      <c r="J7" s="11" t="s">
        <v>28</v>
      </c>
      <c r="K7" s="111">
        <v>150</v>
      </c>
      <c r="L7" s="30">
        <v>0.03</v>
      </c>
      <c r="N7" s="8" t="s">
        <v>58</v>
      </c>
      <c r="Q7" s="26">
        <v>0.06</v>
      </c>
      <c r="S7" s="8" t="s">
        <v>262</v>
      </c>
      <c r="T7" s="36">
        <f ca="1">-'Draw Schedule'!D16-'Draw Schedule'!D15</f>
        <v>2131440.8350101397</v>
      </c>
      <c r="U7" s="156">
        <f t="shared" ca="1" si="0"/>
        <v>7.0614609153587637E-2</v>
      </c>
      <c r="V7" s="36">
        <f ca="1">T7/Assumptions!$D$20</f>
        <v>20.096788589022708</v>
      </c>
      <c r="W7" s="36">
        <f t="shared" ca="1" si="1"/>
        <v>40.101613046041273</v>
      </c>
      <c r="X7" s="52">
        <f t="shared" ca="1" si="2"/>
        <v>32294.558106214237</v>
      </c>
    </row>
    <row r="8" spans="2:24" x14ac:dyDescent="0.2">
      <c r="B8" s="390" t="s">
        <v>9</v>
      </c>
      <c r="C8" s="391"/>
      <c r="D8" s="391"/>
      <c r="E8" s="391"/>
      <c r="F8" s="392"/>
      <c r="H8" s="31" t="s">
        <v>302</v>
      </c>
      <c r="I8" s="32"/>
      <c r="J8" s="32"/>
      <c r="K8" s="149" t="s">
        <v>254</v>
      </c>
      <c r="L8" s="150" t="s">
        <v>260</v>
      </c>
      <c r="N8" s="8" t="s">
        <v>59</v>
      </c>
      <c r="P8" s="33">
        <f>EDATE($F$35,Q8)</f>
        <v>46631</v>
      </c>
      <c r="Q8" s="12">
        <v>20</v>
      </c>
      <c r="S8" s="8" t="s">
        <v>288</v>
      </c>
      <c r="T8" s="36">
        <f ca="1">-'Draw Schedule'!D14</f>
        <v>0</v>
      </c>
      <c r="U8" s="156">
        <f t="shared" ca="1" si="0"/>
        <v>0</v>
      </c>
      <c r="V8" s="36">
        <f ca="1">T8/Assumptions!$D$20</f>
        <v>0</v>
      </c>
      <c r="W8" s="36">
        <f t="shared" ca="1" si="1"/>
        <v>0</v>
      </c>
      <c r="X8" s="52">
        <f t="shared" ca="1" si="2"/>
        <v>0</v>
      </c>
    </row>
    <row r="9" spans="2:24" x14ac:dyDescent="0.2">
      <c r="B9" s="16" t="s">
        <v>10</v>
      </c>
      <c r="C9" s="17"/>
      <c r="D9" s="17"/>
      <c r="E9" s="17"/>
      <c r="F9" s="267">
        <v>3500000</v>
      </c>
      <c r="K9" s="341"/>
      <c r="N9" s="8"/>
      <c r="Q9" s="137"/>
      <c r="S9" s="41" t="s">
        <v>135</v>
      </c>
      <c r="T9" s="42">
        <f ca="1">SUM(T4:T8)</f>
        <v>30184134.141056746</v>
      </c>
      <c r="U9" s="85">
        <f t="shared" ca="1" si="0"/>
        <v>1</v>
      </c>
      <c r="V9" s="42">
        <f ca="1">T9/Assumptions!$D$20</f>
        <v>284.59817068890595</v>
      </c>
      <c r="W9" s="42">
        <f t="shared" ca="1" si="1"/>
        <v>567.89400276677293</v>
      </c>
      <c r="X9" s="86">
        <f t="shared" ca="1" si="2"/>
        <v>457335.36577358708</v>
      </c>
    </row>
    <row r="10" spans="2:24" x14ac:dyDescent="0.2">
      <c r="B10" s="10" t="s">
        <v>291</v>
      </c>
      <c r="C10" s="11"/>
      <c r="D10" s="145"/>
      <c r="E10" s="111"/>
      <c r="F10" s="266">
        <f>F9/C29</f>
        <v>53030.303030303032</v>
      </c>
      <c r="H10" s="385" t="s">
        <v>304</v>
      </c>
      <c r="I10" s="386"/>
      <c r="J10" s="386"/>
      <c r="K10" s="386"/>
      <c r="L10" s="387"/>
      <c r="N10" s="81" t="s">
        <v>52</v>
      </c>
      <c r="Q10" s="137"/>
    </row>
    <row r="11" spans="2:24" x14ac:dyDescent="0.2">
      <c r="H11" s="8"/>
      <c r="I11" s="6" t="s">
        <v>29</v>
      </c>
      <c r="J11" s="6"/>
      <c r="K11" s="24" t="s">
        <v>30</v>
      </c>
      <c r="L11" s="25" t="s">
        <v>31</v>
      </c>
      <c r="N11" s="8" t="s">
        <v>55</v>
      </c>
      <c r="Q11" s="52">
        <f ca="1">IF(Q24="No",T9*Q13-Q4,Q13*(T9-T4))</f>
        <v>20888100.60579256</v>
      </c>
      <c r="S11" s="390" t="s">
        <v>50</v>
      </c>
      <c r="T11" s="391"/>
      <c r="U11" s="391"/>
      <c r="V11" s="391"/>
      <c r="W11" s="391"/>
      <c r="X11" s="392"/>
    </row>
    <row r="12" spans="2:24" x14ac:dyDescent="0.2">
      <c r="B12" s="385" t="s">
        <v>3</v>
      </c>
      <c r="C12" s="386"/>
      <c r="D12" s="386"/>
      <c r="E12" s="386"/>
      <c r="F12" s="387"/>
      <c r="H12" s="8" t="s">
        <v>5</v>
      </c>
      <c r="J12" s="15">
        <v>48</v>
      </c>
      <c r="K12" s="112">
        <v>0.05</v>
      </c>
      <c r="L12" s="340">
        <v>0.01</v>
      </c>
      <c r="N12" s="8" t="s">
        <v>56</v>
      </c>
      <c r="P12" s="33">
        <f>EDATE($F$35,Q12)</f>
        <v>46569</v>
      </c>
      <c r="Q12" s="12">
        <v>18</v>
      </c>
      <c r="S12" s="16"/>
      <c r="T12" s="5" t="s">
        <v>47</v>
      </c>
      <c r="U12" s="5" t="s">
        <v>21</v>
      </c>
      <c r="V12" s="5" t="s">
        <v>86</v>
      </c>
      <c r="W12" s="5" t="s">
        <v>26</v>
      </c>
      <c r="X12" s="87" t="s">
        <v>82</v>
      </c>
    </row>
    <row r="13" spans="2:24" x14ac:dyDescent="0.2">
      <c r="B13" s="16" t="s">
        <v>294</v>
      </c>
      <c r="C13" s="17"/>
      <c r="D13" s="17"/>
      <c r="E13" s="17"/>
      <c r="F13" s="163"/>
      <c r="H13" s="10" t="s">
        <v>4</v>
      </c>
      <c r="I13" s="11"/>
      <c r="J13" s="27">
        <v>48</v>
      </c>
      <c r="K13" s="113">
        <v>5.5E-2</v>
      </c>
      <c r="L13" s="28">
        <v>3.5000000000000003E-2</v>
      </c>
      <c r="N13" s="8" t="s">
        <v>60</v>
      </c>
      <c r="Q13" s="29">
        <v>0.75</v>
      </c>
      <c r="S13" s="8" t="s">
        <v>51</v>
      </c>
      <c r="T13" s="36">
        <f>Q4</f>
        <v>1750000</v>
      </c>
      <c r="U13" s="75">
        <f t="shared" ref="U13:U18" ca="1" si="3">T13/$T$18</f>
        <v>5.7977478890794777E-2</v>
      </c>
      <c r="V13" s="36">
        <f t="shared" ref="V13:V18" si="4">T13/D$20</f>
        <v>16.500284433474519</v>
      </c>
      <c r="W13" s="36">
        <f t="shared" ref="W13:W18" si="5">T13/$F$20</f>
        <v>32.925062557618858</v>
      </c>
      <c r="X13" s="52">
        <f t="shared" ref="X13:X18" si="6">T13/$C$29</f>
        <v>26515.151515151516</v>
      </c>
    </row>
    <row r="14" spans="2:24" x14ac:dyDescent="0.2">
      <c r="B14" s="10" t="s">
        <v>295</v>
      </c>
      <c r="C14" s="11"/>
      <c r="D14" s="11"/>
      <c r="E14" s="11"/>
      <c r="F14" s="80"/>
      <c r="N14" s="8" t="s">
        <v>58</v>
      </c>
      <c r="Q14" s="26">
        <v>7.4999999999999997E-2</v>
      </c>
      <c r="S14" s="8" t="s">
        <v>52</v>
      </c>
      <c r="T14" s="36">
        <f ca="1">Q11</f>
        <v>20888100.60579256</v>
      </c>
      <c r="U14" s="75">
        <f t="shared" ca="1" si="3"/>
        <v>0.69202252110922036</v>
      </c>
      <c r="V14" s="36">
        <f t="shared" ca="1" si="4"/>
        <v>196.94834358320495</v>
      </c>
      <c r="W14" s="36">
        <f t="shared" ca="1" si="5"/>
        <v>392.9954395174608</v>
      </c>
      <c r="X14" s="52">
        <f t="shared" ca="1" si="6"/>
        <v>316486.37281503878</v>
      </c>
    </row>
    <row r="15" spans="2:24" x14ac:dyDescent="0.2">
      <c r="B15" s="16"/>
      <c r="C15" s="17"/>
      <c r="D15" s="5" t="s">
        <v>7</v>
      </c>
      <c r="E15" s="5" t="s">
        <v>67</v>
      </c>
      <c r="F15" s="87" t="s">
        <v>8</v>
      </c>
      <c r="H15" s="385" t="s">
        <v>32</v>
      </c>
      <c r="I15" s="386"/>
      <c r="J15" s="386"/>
      <c r="K15" s="386"/>
      <c r="L15" s="387"/>
      <c r="N15" s="8"/>
      <c r="Q15" s="137"/>
      <c r="S15" s="8" t="s">
        <v>244</v>
      </c>
      <c r="T15" s="36">
        <f ca="1">Q17</f>
        <v>0</v>
      </c>
      <c r="U15" s="75">
        <f t="shared" ca="1" si="3"/>
        <v>0</v>
      </c>
      <c r="V15" s="36">
        <f t="shared" ca="1" si="4"/>
        <v>0</v>
      </c>
      <c r="W15" s="36">
        <f t="shared" ca="1" si="5"/>
        <v>0</v>
      </c>
      <c r="X15" s="52">
        <f t="shared" ca="1" si="6"/>
        <v>0</v>
      </c>
    </row>
    <row r="16" spans="2:24" x14ac:dyDescent="0.2">
      <c r="B16" s="8" t="s">
        <v>4</v>
      </c>
      <c r="D16" s="57">
        <v>4400</v>
      </c>
      <c r="E16" s="58">
        <v>1</v>
      </c>
      <c r="F16" s="59">
        <f>D16*E16</f>
        <v>4400</v>
      </c>
      <c r="H16" s="8"/>
      <c r="K16" s="24" t="s">
        <v>33</v>
      </c>
      <c r="L16" s="25" t="s">
        <v>4</v>
      </c>
      <c r="N16" s="81" t="s">
        <v>244</v>
      </c>
      <c r="Q16" s="137"/>
      <c r="S16" s="8" t="s">
        <v>243</v>
      </c>
      <c r="T16" s="36">
        <f>IF(Q24="Yes",Q25,0)</f>
        <v>0</v>
      </c>
      <c r="U16" s="75">
        <f t="shared" ca="1" si="3"/>
        <v>0</v>
      </c>
      <c r="V16" s="36">
        <f t="shared" si="4"/>
        <v>0</v>
      </c>
      <c r="W16" s="36">
        <f t="shared" si="5"/>
        <v>0</v>
      </c>
      <c r="X16" s="52">
        <f t="shared" si="6"/>
        <v>0</v>
      </c>
    </row>
    <row r="17" spans="2:24" x14ac:dyDescent="0.2">
      <c r="B17" s="8" t="s">
        <v>5</v>
      </c>
      <c r="D17" s="57">
        <f>F17/0.9</f>
        <v>54167.777777777774</v>
      </c>
      <c r="E17" s="60">
        <f>F17/D17</f>
        <v>0.9</v>
      </c>
      <c r="F17" s="59">
        <f>F29</f>
        <v>48751</v>
      </c>
      <c r="H17" s="8" t="s">
        <v>34</v>
      </c>
      <c r="K17" s="20">
        <v>0.35</v>
      </c>
      <c r="L17" s="21">
        <v>0.5</v>
      </c>
      <c r="N17" s="8" t="s">
        <v>55</v>
      </c>
      <c r="Q17" s="52">
        <f ca="1">T9*Q19</f>
        <v>0</v>
      </c>
      <c r="S17" s="8" t="s">
        <v>53</v>
      </c>
      <c r="T17" s="36">
        <f ca="1">T9-SUM(T13:T16)</f>
        <v>7546033.5352641866</v>
      </c>
      <c r="U17" s="75">
        <f t="shared" ca="1" si="3"/>
        <v>0.25000000000000505</v>
      </c>
      <c r="V17" s="36">
        <f t="shared" ca="1" si="4"/>
        <v>71.149542672226488</v>
      </c>
      <c r="W17" s="36">
        <f t="shared" ca="1" si="5"/>
        <v>141.97350069169323</v>
      </c>
      <c r="X17" s="52">
        <f t="shared" ca="1" si="6"/>
        <v>114333.84144339677</v>
      </c>
    </row>
    <row r="18" spans="2:24" x14ac:dyDescent="0.2">
      <c r="B18" s="8" t="s">
        <v>6</v>
      </c>
      <c r="D18" s="57">
        <v>34000</v>
      </c>
      <c r="E18" s="58">
        <v>0</v>
      </c>
      <c r="F18" s="59">
        <f>D18*E18</f>
        <v>0</v>
      </c>
      <c r="H18" s="8" t="s">
        <v>35</v>
      </c>
      <c r="K18" s="20">
        <v>0.1</v>
      </c>
      <c r="L18" s="21">
        <v>0.15</v>
      </c>
      <c r="N18" s="8" t="s">
        <v>56</v>
      </c>
      <c r="P18" s="33">
        <f>EDATE($F$35,Q18)</f>
        <v>46388</v>
      </c>
      <c r="Q18" s="12">
        <v>12</v>
      </c>
      <c r="S18" s="151" t="s">
        <v>204</v>
      </c>
      <c r="T18" s="42">
        <f ca="1">SUM(T13:T17)</f>
        <v>30184134.141056746</v>
      </c>
      <c r="U18" s="85">
        <f t="shared" ca="1" si="3"/>
        <v>1</v>
      </c>
      <c r="V18" s="42">
        <f t="shared" ca="1" si="4"/>
        <v>284.59817068890595</v>
      </c>
      <c r="W18" s="42">
        <f t="shared" ca="1" si="5"/>
        <v>567.89400276677293</v>
      </c>
      <c r="X18" s="86">
        <f t="shared" ca="1" si="6"/>
        <v>457335.36577358708</v>
      </c>
    </row>
    <row r="19" spans="2:24" x14ac:dyDescent="0.2">
      <c r="B19" s="10" t="s">
        <v>503</v>
      </c>
      <c r="C19" s="11"/>
      <c r="D19" s="293">
        <f>11345+2146</f>
        <v>13491</v>
      </c>
      <c r="E19" s="58">
        <v>0</v>
      </c>
      <c r="F19" s="59">
        <f>D19*E19</f>
        <v>0</v>
      </c>
      <c r="H19" s="10" t="s">
        <v>36</v>
      </c>
      <c r="I19" s="11"/>
      <c r="J19" s="11"/>
      <c r="K19" s="22">
        <v>0.95</v>
      </c>
      <c r="L19" s="23">
        <v>1</v>
      </c>
      <c r="N19" s="8" t="s">
        <v>60</v>
      </c>
      <c r="Q19" s="154">
        <v>0</v>
      </c>
      <c r="S19" s="152" t="s">
        <v>287</v>
      </c>
      <c r="T19" s="153">
        <f ca="1">T18+'Draw Schedule'!D17+T9-'Draw Schedule'!D24</f>
        <v>2.2627413272857666E-4</v>
      </c>
    </row>
    <row r="20" spans="2:24" x14ac:dyDescent="0.2">
      <c r="B20" s="31" t="s">
        <v>49</v>
      </c>
      <c r="C20" s="32"/>
      <c r="D20" s="55">
        <f>SUM(D16:D19)</f>
        <v>106058.77777777778</v>
      </c>
      <c r="E20" s="61">
        <f>F20/D20</f>
        <v>0.50114663881348809</v>
      </c>
      <c r="F20" s="56">
        <f>SUM(F16:F19)</f>
        <v>53151</v>
      </c>
      <c r="N20" s="10" t="s">
        <v>58</v>
      </c>
      <c r="O20" s="11"/>
      <c r="P20" s="11"/>
      <c r="Q20" s="155">
        <v>0.12</v>
      </c>
    </row>
    <row r="21" spans="2:24" x14ac:dyDescent="0.2">
      <c r="H21" s="385" t="s">
        <v>61</v>
      </c>
      <c r="I21" s="386"/>
      <c r="J21" s="386"/>
      <c r="K21" s="386"/>
      <c r="L21" s="387"/>
    </row>
    <row r="22" spans="2:24" x14ac:dyDescent="0.2">
      <c r="B22" s="385" t="s">
        <v>87</v>
      </c>
      <c r="C22" s="386"/>
      <c r="D22" s="386"/>
      <c r="E22" s="386"/>
      <c r="F22" s="387"/>
      <c r="H22" s="16" t="s">
        <v>69</v>
      </c>
      <c r="I22" s="17"/>
      <c r="J22" s="1" t="s">
        <v>82</v>
      </c>
      <c r="K22" s="291">
        <v>800</v>
      </c>
      <c r="L22" s="90">
        <f t="shared" ref="L22:L29" si="7">K22*$C$29</f>
        <v>52800</v>
      </c>
      <c r="N22" s="385" t="s">
        <v>243</v>
      </c>
      <c r="O22" s="386"/>
      <c r="P22" s="386"/>
      <c r="Q22" s="387"/>
    </row>
    <row r="23" spans="2:24" x14ac:dyDescent="0.2">
      <c r="B23" s="16"/>
      <c r="C23" s="5" t="s">
        <v>16</v>
      </c>
      <c r="D23" s="5" t="s">
        <v>21</v>
      </c>
      <c r="E23" s="5" t="s">
        <v>19</v>
      </c>
      <c r="F23" s="87" t="s">
        <v>20</v>
      </c>
      <c r="H23" s="8" t="s">
        <v>70</v>
      </c>
      <c r="J23" s="1" t="s">
        <v>82</v>
      </c>
      <c r="K23" s="37">
        <v>500</v>
      </c>
      <c r="L23" s="52">
        <f t="shared" si="7"/>
        <v>33000</v>
      </c>
      <c r="N23" s="81" t="s">
        <v>243</v>
      </c>
      <c r="Q23" s="9"/>
    </row>
    <row r="24" spans="2:24" x14ac:dyDescent="0.2">
      <c r="B24" s="8" t="s">
        <v>17</v>
      </c>
      <c r="C24" s="57">
        <f>'Unit Mix'!C6+'Unit Mix'!C15</f>
        <v>0</v>
      </c>
      <c r="D24" s="76">
        <f t="shared" ref="D24:D29" si="8">C24/$C$29</f>
        <v>0</v>
      </c>
      <c r="E24" s="292" t="e">
        <f>F24/C24</f>
        <v>#DIV/0!</v>
      </c>
      <c r="F24" s="59">
        <f>'Unit Mix'!F6+'Unit Mix'!F15</f>
        <v>0</v>
      </c>
      <c r="H24" s="8" t="s">
        <v>71</v>
      </c>
      <c r="J24" s="1" t="s">
        <v>82</v>
      </c>
      <c r="K24" s="37">
        <v>900</v>
      </c>
      <c r="L24" s="52">
        <f t="shared" si="7"/>
        <v>59400</v>
      </c>
      <c r="N24" s="8" t="s">
        <v>253</v>
      </c>
      <c r="P24" s="1" t="s">
        <v>254</v>
      </c>
      <c r="Q24" s="12" t="s">
        <v>261</v>
      </c>
    </row>
    <row r="25" spans="2:24" x14ac:dyDescent="0.2">
      <c r="B25" s="8" t="s">
        <v>18</v>
      </c>
      <c r="C25" s="57">
        <f>'Unit Mix'!C30+'Unit Mix'!C31+'Unit Mix'!C32+'Unit Mix'!C38</f>
        <v>24</v>
      </c>
      <c r="D25" s="76">
        <f t="shared" si="8"/>
        <v>0.36363636363636365</v>
      </c>
      <c r="E25" s="292">
        <f t="shared" ref="E25:E26" si="9">F25/C25</f>
        <v>583.375</v>
      </c>
      <c r="F25" s="59">
        <f>'Unit Mix'!E30+'Unit Mix'!E31+'Unit Mix'!E32+'Unit Mix'!E38</f>
        <v>14001</v>
      </c>
      <c r="H25" s="8" t="s">
        <v>72</v>
      </c>
      <c r="J25" s="1" t="s">
        <v>82</v>
      </c>
      <c r="K25" s="37">
        <v>350</v>
      </c>
      <c r="L25" s="52">
        <f t="shared" si="7"/>
        <v>23100</v>
      </c>
      <c r="N25" s="8" t="s">
        <v>55</v>
      </c>
      <c r="Q25" s="84">
        <v>0</v>
      </c>
    </row>
    <row r="26" spans="2:24" x14ac:dyDescent="0.2">
      <c r="B26" s="8" t="s">
        <v>206</v>
      </c>
      <c r="C26" s="57">
        <f>'Unit Mix'!C33+'Unit Mix'!C34+'Unit Mix'!C39</f>
        <v>42</v>
      </c>
      <c r="D26" s="76">
        <f t="shared" si="8"/>
        <v>0.63636363636363635</v>
      </c>
      <c r="E26" s="292">
        <f t="shared" si="9"/>
        <v>827.38095238095241</v>
      </c>
      <c r="F26" s="59">
        <f>'Unit Mix'!E33+'Unit Mix'!E34+'Unit Mix'!E39</f>
        <v>34750</v>
      </c>
      <c r="H26" s="8" t="s">
        <v>329</v>
      </c>
      <c r="J26" s="1" t="s">
        <v>82</v>
      </c>
      <c r="K26" s="37">
        <v>350</v>
      </c>
      <c r="L26" s="52">
        <f t="shared" si="7"/>
        <v>23100</v>
      </c>
      <c r="N26" s="8" t="s">
        <v>56</v>
      </c>
      <c r="P26" s="33">
        <f>EDATE($F$35,Q26)</f>
        <v>46023</v>
      </c>
      <c r="Q26" s="12">
        <v>0</v>
      </c>
    </row>
    <row r="27" spans="2:24" x14ac:dyDescent="0.2">
      <c r="B27" s="8" t="s">
        <v>292</v>
      </c>
      <c r="C27" s="57">
        <v>0</v>
      </c>
      <c r="D27" s="76">
        <f t="shared" si="8"/>
        <v>0</v>
      </c>
      <c r="E27" s="57">
        <v>1200</v>
      </c>
      <c r="F27" s="59">
        <f t="shared" ref="F27:F28" si="10">E27*C27</f>
        <v>0</v>
      </c>
      <c r="H27" s="8" t="s">
        <v>74</v>
      </c>
      <c r="J27" s="1" t="s">
        <v>82</v>
      </c>
      <c r="K27" s="37">
        <v>300</v>
      </c>
      <c r="L27" s="52">
        <f t="shared" si="7"/>
        <v>19800</v>
      </c>
      <c r="N27" s="8" t="s">
        <v>255</v>
      </c>
      <c r="Q27" s="26">
        <v>0.02</v>
      </c>
    </row>
    <row r="28" spans="2:24" x14ac:dyDescent="0.2">
      <c r="B28" s="8" t="s">
        <v>293</v>
      </c>
      <c r="C28" s="57">
        <v>0</v>
      </c>
      <c r="D28" s="76">
        <f t="shared" si="8"/>
        <v>0</v>
      </c>
      <c r="E28" s="57">
        <v>1400</v>
      </c>
      <c r="F28" s="59">
        <f t="shared" si="10"/>
        <v>0</v>
      </c>
      <c r="H28" s="8" t="s">
        <v>75</v>
      </c>
      <c r="J28" s="1" t="s">
        <v>82</v>
      </c>
      <c r="K28" s="148">
        <v>0</v>
      </c>
      <c r="L28" s="52">
        <f t="shared" si="7"/>
        <v>0</v>
      </c>
      <c r="N28" s="8" t="s">
        <v>60</v>
      </c>
      <c r="Q28" s="138">
        <f ca="1">Q25/T9</f>
        <v>0</v>
      </c>
    </row>
    <row r="29" spans="2:24" x14ac:dyDescent="0.2">
      <c r="B29" s="8" t="s">
        <v>22</v>
      </c>
      <c r="C29" s="241">
        <f>SUM(C24:C28)</f>
        <v>66</v>
      </c>
      <c r="D29" s="3">
        <f t="shared" si="8"/>
        <v>1</v>
      </c>
      <c r="E29" s="241">
        <f>F29/C29</f>
        <v>738.65151515151513</v>
      </c>
      <c r="F29" s="77">
        <f>SUM(F24:F28)</f>
        <v>48751</v>
      </c>
      <c r="H29" s="8" t="s">
        <v>76</v>
      </c>
      <c r="J29" s="1" t="s">
        <v>82</v>
      </c>
      <c r="K29" s="148">
        <v>100</v>
      </c>
      <c r="L29" s="52">
        <f t="shared" si="7"/>
        <v>6600</v>
      </c>
      <c r="N29" s="10" t="s">
        <v>256</v>
      </c>
      <c r="O29" s="11"/>
      <c r="P29" s="11"/>
      <c r="Q29" s="28">
        <v>4.8000000000000001E-2</v>
      </c>
    </row>
    <row r="30" spans="2:24" x14ac:dyDescent="0.2">
      <c r="B30" s="8" t="s">
        <v>257</v>
      </c>
      <c r="E30" s="14"/>
      <c r="F30" s="147">
        <v>63</v>
      </c>
      <c r="H30" s="8" t="s">
        <v>79</v>
      </c>
      <c r="J30" s="1" t="s">
        <v>83</v>
      </c>
      <c r="K30" s="72">
        <v>0.02</v>
      </c>
      <c r="L30" s="52"/>
      <c r="N30" s="31" t="s">
        <v>303</v>
      </c>
      <c r="O30" s="32"/>
      <c r="P30" s="32"/>
      <c r="Q30" s="28">
        <v>2.5000000000000001E-3</v>
      </c>
    </row>
    <row r="31" spans="2:24" x14ac:dyDescent="0.2">
      <c r="B31" s="8" t="s">
        <v>258</v>
      </c>
      <c r="E31" s="14"/>
      <c r="F31" s="12">
        <v>0</v>
      </c>
      <c r="H31" s="8" t="s">
        <v>78</v>
      </c>
      <c r="J31" s="1" t="s">
        <v>84</v>
      </c>
      <c r="K31" s="72">
        <v>2.5000000000000001E-2</v>
      </c>
      <c r="L31" s="52"/>
    </row>
    <row r="32" spans="2:24" x14ac:dyDescent="0.2">
      <c r="B32" s="10" t="s">
        <v>259</v>
      </c>
      <c r="C32" s="11"/>
      <c r="D32" s="11"/>
      <c r="E32" s="175">
        <f>(D18+D19)/F32</f>
        <v>753.82539682539687</v>
      </c>
      <c r="F32" s="146">
        <f>SUM(F30:F31)</f>
        <v>63</v>
      </c>
      <c r="H32" s="10" t="s">
        <v>77</v>
      </c>
      <c r="I32" s="11"/>
      <c r="J32" s="82"/>
      <c r="K32" s="218">
        <f>L4</f>
        <v>0.03</v>
      </c>
      <c r="L32" s="64"/>
      <c r="N32" s="385" t="s">
        <v>245</v>
      </c>
      <c r="O32" s="386"/>
      <c r="P32" s="386"/>
      <c r="Q32" s="387"/>
    </row>
    <row r="33" spans="2:19" x14ac:dyDescent="0.2">
      <c r="H33" s="8" t="s">
        <v>348</v>
      </c>
      <c r="J33" s="1"/>
      <c r="K33" s="72">
        <v>0.01</v>
      </c>
      <c r="L33" s="52"/>
      <c r="N33" s="16" t="s">
        <v>246</v>
      </c>
      <c r="O33" s="17"/>
      <c r="P33" s="94" t="s">
        <v>254</v>
      </c>
      <c r="Q33" s="163" t="s">
        <v>261</v>
      </c>
    </row>
    <row r="34" spans="2:19" x14ac:dyDescent="0.2">
      <c r="B34" s="385" t="s">
        <v>37</v>
      </c>
      <c r="C34" s="386"/>
      <c r="D34" s="386"/>
      <c r="E34" s="386"/>
      <c r="F34" s="387"/>
      <c r="H34" s="78" t="s">
        <v>107</v>
      </c>
      <c r="I34" s="136"/>
      <c r="J34" s="17"/>
      <c r="K34" s="17"/>
      <c r="L34" s="79"/>
      <c r="N34" s="8" t="s">
        <v>247</v>
      </c>
      <c r="Q34" s="12" t="s">
        <v>263</v>
      </c>
    </row>
    <row r="35" spans="2:19" x14ac:dyDescent="0.2">
      <c r="B35" s="16" t="s">
        <v>43</v>
      </c>
      <c r="C35" s="17"/>
      <c r="D35" s="17"/>
      <c r="E35" s="17"/>
      <c r="F35" s="18">
        <v>46023</v>
      </c>
      <c r="H35" s="8" t="s">
        <v>109</v>
      </c>
      <c r="L35" s="12">
        <v>2</v>
      </c>
      <c r="N35" s="8" t="s">
        <v>318</v>
      </c>
      <c r="Q35" s="12" t="s">
        <v>320</v>
      </c>
    </row>
    <row r="36" spans="2:19" x14ac:dyDescent="0.2">
      <c r="B36" s="8" t="s">
        <v>38</v>
      </c>
      <c r="F36" s="12">
        <v>15</v>
      </c>
      <c r="H36" s="10" t="s">
        <v>108</v>
      </c>
      <c r="I36" s="11"/>
      <c r="J36" s="11"/>
      <c r="K36" s="11"/>
      <c r="L36" s="80">
        <v>1</v>
      </c>
      <c r="N36" s="8" t="s">
        <v>249</v>
      </c>
      <c r="P36" s="33">
        <f>EDATE($F$38,Q36)</f>
        <v>47453</v>
      </c>
      <c r="Q36" s="12">
        <v>12</v>
      </c>
      <c r="R36" t="s">
        <v>316</v>
      </c>
      <c r="S36" s="165"/>
    </row>
    <row r="37" spans="2:19" x14ac:dyDescent="0.2">
      <c r="B37" s="8" t="s">
        <v>300</v>
      </c>
      <c r="F37" s="12">
        <v>20</v>
      </c>
      <c r="H37" s="78" t="s">
        <v>80</v>
      </c>
      <c r="I37" s="136"/>
      <c r="J37" s="17"/>
      <c r="K37" s="17"/>
      <c r="L37" s="90"/>
      <c r="N37" s="8" t="s">
        <v>55</v>
      </c>
      <c r="Q37" s="52">
        <f>IF(Q33="Yes",IF(Q34="DSCR",-PV(Q41,Q42,Q44/Q40),Q44/Q43),0)</f>
        <v>0</v>
      </c>
    </row>
    <row r="38" spans="2:19" x14ac:dyDescent="0.2">
      <c r="B38" s="8" t="s">
        <v>39</v>
      </c>
      <c r="F38" s="13">
        <f>EDATE(F35,(F36+F37))</f>
        <v>47088</v>
      </c>
      <c r="H38" s="8" t="s">
        <v>408</v>
      </c>
      <c r="K38" s="1" t="s">
        <v>47</v>
      </c>
      <c r="L38" s="52">
        <f ca="1">Taxes!E28</f>
        <v>432399.64430362568</v>
      </c>
      <c r="N38" s="8" t="s">
        <v>102</v>
      </c>
      <c r="Q38" s="52">
        <f>-'Closing Costs'!E53</f>
        <v>0</v>
      </c>
    </row>
    <row r="39" spans="2:19" x14ac:dyDescent="0.2">
      <c r="B39" s="8" t="s">
        <v>44</v>
      </c>
      <c r="F39" s="13">
        <f>EDATE(F38,ROUNDUP((K19-K17)/K18,0))</f>
        <v>47270</v>
      </c>
      <c r="H39" s="8" t="s">
        <v>112</v>
      </c>
      <c r="K39" s="1" t="s">
        <v>21</v>
      </c>
      <c r="L39" s="400">
        <f>Taxes!E9</f>
        <v>0.7</v>
      </c>
      <c r="N39" s="31" t="s">
        <v>248</v>
      </c>
      <c r="O39" s="32"/>
      <c r="P39" s="32"/>
      <c r="Q39" s="140">
        <f>SUM(Q37:Q38)</f>
        <v>0</v>
      </c>
    </row>
    <row r="40" spans="2:19" x14ac:dyDescent="0.2">
      <c r="B40" s="8" t="s">
        <v>40</v>
      </c>
      <c r="F40" s="13">
        <f>EDATE($F$38,J12)</f>
        <v>48549</v>
      </c>
      <c r="H40" s="8" t="s">
        <v>81</v>
      </c>
      <c r="K40" s="1" t="s">
        <v>21</v>
      </c>
      <c r="L40" s="401">
        <f>Taxes!E26/100</f>
        <v>2.046485E-2</v>
      </c>
      <c r="N40" s="8" t="s">
        <v>263</v>
      </c>
      <c r="Q40" s="141">
        <v>1.2</v>
      </c>
    </row>
    <row r="41" spans="2:19" x14ac:dyDescent="0.2">
      <c r="B41" s="10" t="s">
        <v>41</v>
      </c>
      <c r="C41" s="11"/>
      <c r="D41" s="11"/>
      <c r="E41" s="11"/>
      <c r="F41" s="19">
        <f>EDATE($F$38,J13)</f>
        <v>48549</v>
      </c>
      <c r="H41" s="10" t="s">
        <v>214</v>
      </c>
      <c r="I41" s="11"/>
      <c r="J41" s="11"/>
      <c r="K41" s="11"/>
      <c r="L41" s="402">
        <v>0.04</v>
      </c>
      <c r="N41" s="8" t="s">
        <v>58</v>
      </c>
      <c r="Q41" s="26">
        <v>3.7499999999999999E-2</v>
      </c>
    </row>
    <row r="42" spans="2:19" x14ac:dyDescent="0.2">
      <c r="B42" t="s">
        <v>42</v>
      </c>
      <c r="H42" s="81" t="s">
        <v>110</v>
      </c>
      <c r="I42" s="4"/>
      <c r="L42" s="9"/>
      <c r="N42" s="8" t="s">
        <v>250</v>
      </c>
      <c r="Q42" s="12">
        <v>30</v>
      </c>
    </row>
    <row r="43" spans="2:19" x14ac:dyDescent="0.2">
      <c r="H43" s="8" t="s">
        <v>356</v>
      </c>
      <c r="I43" s="4"/>
      <c r="L43" s="12" t="s">
        <v>261</v>
      </c>
      <c r="N43" s="16" t="s">
        <v>251</v>
      </c>
      <c r="O43" s="17"/>
      <c r="P43" s="17"/>
      <c r="Q43" s="142">
        <v>7.0000000000000007E-2</v>
      </c>
    </row>
    <row r="44" spans="2:19" x14ac:dyDescent="0.2">
      <c r="B44" s="315" t="s">
        <v>407</v>
      </c>
      <c r="H44" s="8" t="s">
        <v>111</v>
      </c>
      <c r="L44" s="21">
        <v>0.75</v>
      </c>
      <c r="N44" s="10" t="s">
        <v>252</v>
      </c>
      <c r="O44" s="11"/>
      <c r="P44" s="11"/>
      <c r="Q44" s="38">
        <f ca="1">SUMIF('Draw Schedule'!$F$5:$BZ$5,ROUND((12+Q36)/12,0),'Draw Schedule'!$F$77:$BZ$77)</f>
        <v>1570774.9689592482</v>
      </c>
      <c r="S44" s="166"/>
    </row>
    <row r="45" spans="2:19" x14ac:dyDescent="0.2">
      <c r="B45" s="315" t="s">
        <v>409</v>
      </c>
      <c r="H45" s="8" t="s">
        <v>81</v>
      </c>
      <c r="L45" s="26">
        <v>0.02</v>
      </c>
      <c r="N45" s="31" t="s">
        <v>276</v>
      </c>
      <c r="O45" s="32"/>
      <c r="P45" s="32"/>
      <c r="Q45" s="164">
        <f>IF(Q35="Amortizing",PMT(Q41/12,Q42*12,-Q37)*12,Q37*Q41)</f>
        <v>0</v>
      </c>
    </row>
    <row r="46" spans="2:19" x14ac:dyDescent="0.2">
      <c r="H46" s="10" t="s">
        <v>214</v>
      </c>
      <c r="I46" s="11"/>
      <c r="J46" s="11"/>
      <c r="K46" s="11"/>
      <c r="L46" s="28">
        <v>0.04</v>
      </c>
    </row>
    <row r="95" spans="2:2" x14ac:dyDescent="0.2">
      <c r="B95" t="s">
        <v>260</v>
      </c>
    </row>
    <row r="96" spans="2:2" x14ac:dyDescent="0.2">
      <c r="B96" t="s">
        <v>261</v>
      </c>
    </row>
    <row r="98" spans="2:2" x14ac:dyDescent="0.2">
      <c r="B98" t="s">
        <v>263</v>
      </c>
    </row>
    <row r="99" spans="2:2" x14ac:dyDescent="0.2">
      <c r="B99" t="s">
        <v>251</v>
      </c>
    </row>
    <row r="101" spans="2:2" x14ac:dyDescent="0.2">
      <c r="B101" t="s">
        <v>319</v>
      </c>
    </row>
    <row r="102" spans="2:2" x14ac:dyDescent="0.2">
      <c r="B102" t="s">
        <v>320</v>
      </c>
    </row>
  </sheetData>
  <mergeCells count="18">
    <mergeCell ref="S2:X2"/>
    <mergeCell ref="S11:X11"/>
    <mergeCell ref="H2:L2"/>
    <mergeCell ref="H10:L10"/>
    <mergeCell ref="H15:L15"/>
    <mergeCell ref="H21:L21"/>
    <mergeCell ref="N2:Q2"/>
    <mergeCell ref="N32:Q32"/>
    <mergeCell ref="N22:Q22"/>
    <mergeCell ref="B34:F34"/>
    <mergeCell ref="C4:F4"/>
    <mergeCell ref="C5:F5"/>
    <mergeCell ref="B2:F2"/>
    <mergeCell ref="B12:F12"/>
    <mergeCell ref="B8:F8"/>
    <mergeCell ref="B22:F22"/>
    <mergeCell ref="C3:F3"/>
    <mergeCell ref="C6:F6"/>
  </mergeCells>
  <dataValidations count="3">
    <dataValidation type="list" allowBlank="1" showInputMessage="1" showErrorMessage="1" sqref="Q24 L43 L8 Q33" xr:uid="{E8F7A2F7-038E-476F-9C64-3A82E41124E3}">
      <formula1>$B$95:$B$96</formula1>
    </dataValidation>
    <dataValidation type="list" allowBlank="1" showInputMessage="1" showErrorMessage="1" sqref="Q34" xr:uid="{39079091-4C6E-4B44-AC4E-618ABBB3E963}">
      <formula1>$B$98:$B$99</formula1>
    </dataValidation>
    <dataValidation type="list" allowBlank="1" showInputMessage="1" showErrorMessage="1" sqref="Q35" xr:uid="{99C5E27B-0827-42BE-9CB1-62B906C32D0F}">
      <formula1>$B$101:$B$102</formula1>
    </dataValidation>
  </dataValidations>
  <pageMargins left="0.7" right="0.7" top="0.75" bottom="0.75" header="0.3" footer="0.3"/>
  <pageSetup orientation="portrait" r:id="rId1"/>
  <ignoredErrors>
    <ignoredError sqref="E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E843-A6FF-485B-8325-4D29A565DB2D}">
  <dimension ref="B2:M43"/>
  <sheetViews>
    <sheetView showGridLines="0" zoomScale="132" workbookViewId="0">
      <selection activeCell="K33" sqref="K33"/>
    </sheetView>
  </sheetViews>
  <sheetFormatPr baseColWidth="10" defaultColWidth="8.83203125" defaultRowHeight="15" x14ac:dyDescent="0.2"/>
  <cols>
    <col min="1" max="1" width="3.33203125" customWidth="1"/>
    <col min="2" max="2" width="30.83203125" bestFit="1" customWidth="1"/>
    <col min="3" max="3" width="8.33203125" bestFit="1" customWidth="1"/>
    <col min="4" max="4" width="10.1640625" bestFit="1" customWidth="1"/>
    <col min="5" max="5" width="10.33203125" bestFit="1" customWidth="1"/>
    <col min="6" max="6" width="11.5" bestFit="1" customWidth="1"/>
    <col min="7" max="7" width="12.33203125" bestFit="1" customWidth="1"/>
    <col min="8" max="9" width="14.33203125" bestFit="1" customWidth="1"/>
    <col min="10" max="10" width="7.5" bestFit="1" customWidth="1"/>
    <col min="11" max="11" width="10.5" bestFit="1" customWidth="1"/>
  </cols>
  <sheetData>
    <row r="2" spans="2:13" x14ac:dyDescent="0.2">
      <c r="B2" s="268" t="s">
        <v>360</v>
      </c>
      <c r="C2" s="269"/>
      <c r="D2" s="269"/>
      <c r="E2" s="269"/>
      <c r="F2" s="269"/>
      <c r="G2" s="269"/>
      <c r="H2" s="269"/>
      <c r="I2" s="269"/>
      <c r="J2" s="269"/>
      <c r="K2" s="269"/>
    </row>
    <row r="3" spans="2:13" x14ac:dyDescent="0.2">
      <c r="B3" s="270"/>
      <c r="C3" s="270"/>
      <c r="D3" s="270"/>
      <c r="E3" s="270"/>
      <c r="F3" s="270"/>
      <c r="G3" s="270"/>
      <c r="H3" s="270"/>
      <c r="I3" s="270"/>
      <c r="J3" s="270"/>
      <c r="K3" s="270"/>
    </row>
    <row r="4" spans="2:13" x14ac:dyDescent="0.2">
      <c r="B4" s="271"/>
      <c r="C4" s="272"/>
      <c r="D4" s="272"/>
      <c r="E4" s="271" t="s">
        <v>361</v>
      </c>
      <c r="F4" s="271" t="s">
        <v>49</v>
      </c>
      <c r="G4" s="271" t="s">
        <v>362</v>
      </c>
      <c r="H4" s="271" t="s">
        <v>363</v>
      </c>
      <c r="I4" s="271" t="s">
        <v>364</v>
      </c>
      <c r="J4" s="271" t="s">
        <v>364</v>
      </c>
      <c r="K4" s="271" t="s">
        <v>344</v>
      </c>
    </row>
    <row r="5" spans="2:13" x14ac:dyDescent="0.2">
      <c r="B5" s="273" t="s">
        <v>365</v>
      </c>
      <c r="C5" s="273" t="s">
        <v>366</v>
      </c>
      <c r="D5" s="273" t="s">
        <v>367</v>
      </c>
      <c r="E5" s="273" t="s">
        <v>368</v>
      </c>
      <c r="F5" s="273" t="s">
        <v>369</v>
      </c>
      <c r="G5" s="273" t="s">
        <v>370</v>
      </c>
      <c r="H5" s="273" t="s">
        <v>371</v>
      </c>
      <c r="I5" s="273" t="s">
        <v>371</v>
      </c>
      <c r="J5" s="273" t="s">
        <v>372</v>
      </c>
      <c r="K5" s="273" t="s">
        <v>373</v>
      </c>
    </row>
    <row r="6" spans="2:13" x14ac:dyDescent="0.2">
      <c r="B6" s="270" t="s">
        <v>17</v>
      </c>
      <c r="C6" s="274">
        <v>0</v>
      </c>
      <c r="D6" s="275">
        <f>+C6/$C$9</f>
        <v>0</v>
      </c>
      <c r="E6" s="276">
        <v>384</v>
      </c>
      <c r="F6" s="277">
        <f>E6*C6</f>
        <v>0</v>
      </c>
      <c r="G6" s="278">
        <v>1500</v>
      </c>
      <c r="H6" s="279">
        <f>G6*12/E6</f>
        <v>46.875</v>
      </c>
      <c r="I6" s="279">
        <f>H6/12</f>
        <v>3.90625</v>
      </c>
      <c r="J6" s="280">
        <f>C6*G6</f>
        <v>0</v>
      </c>
      <c r="K6" s="281">
        <v>0</v>
      </c>
      <c r="M6">
        <v>35</v>
      </c>
    </row>
    <row r="7" spans="2:13" x14ac:dyDescent="0.2">
      <c r="B7" s="282">
        <v>1</v>
      </c>
      <c r="C7" s="274">
        <v>86</v>
      </c>
      <c r="D7" s="275">
        <f t="shared" ref="D7:D9" si="0">+C7/$C$9</f>
        <v>0.68253968253968256</v>
      </c>
      <c r="E7" s="274">
        <v>730</v>
      </c>
      <c r="F7" s="277">
        <f t="shared" ref="F7:F8" si="1">E7*C7</f>
        <v>62780</v>
      </c>
      <c r="G7" s="278">
        <v>1950</v>
      </c>
      <c r="H7" s="279">
        <f>G7*12/E7</f>
        <v>32.054794520547944</v>
      </c>
      <c r="I7" s="279">
        <f>H7/12</f>
        <v>2.6712328767123288</v>
      </c>
      <c r="J7" s="280">
        <f>C7*G7</f>
        <v>167700</v>
      </c>
      <c r="K7" s="281">
        <v>0</v>
      </c>
      <c r="M7">
        <v>85</v>
      </c>
    </row>
    <row r="8" spans="2:13" x14ac:dyDescent="0.2">
      <c r="B8" s="282">
        <v>2</v>
      </c>
      <c r="C8" s="274">
        <v>40</v>
      </c>
      <c r="D8" s="275">
        <f t="shared" si="0"/>
        <v>0.31746031746031744</v>
      </c>
      <c r="E8" s="274">
        <v>1100</v>
      </c>
      <c r="F8" s="277">
        <f t="shared" si="1"/>
        <v>44000</v>
      </c>
      <c r="G8" s="343">
        <v>2850</v>
      </c>
      <c r="H8" s="279">
        <f>G8*12/E8</f>
        <v>31.09090909090909</v>
      </c>
      <c r="I8" s="279">
        <f>H8/12</f>
        <v>2.5909090909090908</v>
      </c>
      <c r="J8" s="280">
        <f>C8*G8</f>
        <v>114000</v>
      </c>
      <c r="K8" s="281">
        <v>0</v>
      </c>
      <c r="M8">
        <v>35</v>
      </c>
    </row>
    <row r="9" spans="2:13" ht="16" thickBot="1" x14ac:dyDescent="0.25">
      <c r="B9" s="283" t="s">
        <v>49</v>
      </c>
      <c r="C9" s="284">
        <f>SUM(C6:C8)</f>
        <v>126</v>
      </c>
      <c r="D9" s="285">
        <f t="shared" si="0"/>
        <v>1</v>
      </c>
      <c r="E9" s="286">
        <f>SUMPRODUCT(E6:E8,C6:C8)/C9</f>
        <v>847.46031746031747</v>
      </c>
      <c r="F9" s="286">
        <f>SUM(F6:F8)</f>
        <v>106780</v>
      </c>
      <c r="G9" s="288">
        <f>SUMPRODUCT(G6:G8,C6:C8)/C9</f>
        <v>2235.7142857142858</v>
      </c>
      <c r="H9" s="287">
        <f>G9*12/E9</f>
        <v>31.65761378535306</v>
      </c>
      <c r="I9" s="287">
        <f>H9/12</f>
        <v>2.638134482112755</v>
      </c>
      <c r="J9" s="288">
        <f>SUM(J6:J8)</f>
        <v>281700</v>
      </c>
      <c r="K9" s="288">
        <f>SUMPRODUCT(K6:K8,$C$6:$C$8)/$C$9</f>
        <v>0</v>
      </c>
    </row>
    <row r="10" spans="2:13" ht="16" thickTop="1" x14ac:dyDescent="0.2">
      <c r="B10" s="270"/>
      <c r="C10" s="270"/>
      <c r="D10" s="289"/>
      <c r="F10" s="270"/>
      <c r="G10" s="270"/>
      <c r="H10" s="270"/>
      <c r="I10" s="270"/>
      <c r="J10" s="270"/>
      <c r="K10" s="290"/>
    </row>
    <row r="11" spans="2:13" x14ac:dyDescent="0.2">
      <c r="B11" s="268" t="s">
        <v>374</v>
      </c>
      <c r="C11" s="269"/>
      <c r="D11" s="269"/>
      <c r="E11" s="269"/>
      <c r="F11" s="269"/>
      <c r="G11" s="269"/>
      <c r="H11" s="269"/>
      <c r="I11" s="269"/>
      <c r="J11" s="269"/>
      <c r="K11" s="269"/>
    </row>
    <row r="12" spans="2:13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2:13" hidden="1" x14ac:dyDescent="0.2">
      <c r="B13" s="271"/>
      <c r="C13" s="272"/>
      <c r="D13" s="272"/>
      <c r="E13" s="271" t="s">
        <v>361</v>
      </c>
      <c r="F13" s="271" t="s">
        <v>49</v>
      </c>
      <c r="G13" s="271" t="s">
        <v>362</v>
      </c>
      <c r="H13" s="271" t="s">
        <v>363</v>
      </c>
      <c r="I13" s="271" t="s">
        <v>364</v>
      </c>
      <c r="J13" s="271" t="s">
        <v>364</v>
      </c>
      <c r="K13" s="271" t="s">
        <v>344</v>
      </c>
    </row>
    <row r="14" spans="2:13" hidden="1" x14ac:dyDescent="0.2">
      <c r="B14" s="273" t="s">
        <v>365</v>
      </c>
      <c r="C14" s="273" t="s">
        <v>366</v>
      </c>
      <c r="D14" s="273" t="s">
        <v>367</v>
      </c>
      <c r="E14" s="273" t="s">
        <v>368</v>
      </c>
      <c r="F14" s="273" t="s">
        <v>369</v>
      </c>
      <c r="G14" s="273" t="s">
        <v>370</v>
      </c>
      <c r="H14" s="273" t="s">
        <v>371</v>
      </c>
      <c r="I14" s="273" t="s">
        <v>371</v>
      </c>
      <c r="J14" s="273" t="s">
        <v>372</v>
      </c>
      <c r="K14" s="273" t="s">
        <v>373</v>
      </c>
    </row>
    <row r="15" spans="2:13" hidden="1" x14ac:dyDescent="0.2">
      <c r="B15" s="270" t="s">
        <v>17</v>
      </c>
      <c r="C15" s="274">
        <v>0</v>
      </c>
      <c r="D15" s="275">
        <f>+C15/$C$18</f>
        <v>0</v>
      </c>
      <c r="E15" s="276">
        <f>E6</f>
        <v>384</v>
      </c>
      <c r="F15" s="277">
        <f>E15*C15</f>
        <v>0</v>
      </c>
      <c r="G15" s="342">
        <f>1159*1.05</f>
        <v>1216.95</v>
      </c>
      <c r="H15" s="279">
        <f>G15*12/E15</f>
        <v>38.029687500000001</v>
      </c>
      <c r="I15" s="279">
        <f>H15/12</f>
        <v>3.1691406250000003</v>
      </c>
      <c r="J15" s="280">
        <f>C15*G15</f>
        <v>0</v>
      </c>
      <c r="K15" s="281">
        <v>0</v>
      </c>
      <c r="M15">
        <f>M6*0.12</f>
        <v>4.2</v>
      </c>
    </row>
    <row r="16" spans="2:13" hidden="1" x14ac:dyDescent="0.2">
      <c r="B16" s="282">
        <v>1</v>
      </c>
      <c r="C16" s="274">
        <v>10</v>
      </c>
      <c r="D16" s="275">
        <f t="shared" ref="D16:D18" si="2">+C16/$C$18</f>
        <v>0.58823529411764708</v>
      </c>
      <c r="E16" s="274">
        <v>730</v>
      </c>
      <c r="F16" s="277">
        <f t="shared" ref="F16:F17" si="3">E16*C16</f>
        <v>7300</v>
      </c>
      <c r="G16" s="342">
        <f>1159*1.05</f>
        <v>1216.95</v>
      </c>
      <c r="H16" s="279">
        <f t="shared" ref="H16:H17" si="4">G16*12/E16</f>
        <v>20.004657534246576</v>
      </c>
      <c r="I16" s="279">
        <f t="shared" ref="I16:I17" si="5">H16/12</f>
        <v>1.6670547945205481</v>
      </c>
      <c r="J16" s="280">
        <f t="shared" ref="J16:J17" si="6">C16*G16</f>
        <v>12169.5</v>
      </c>
      <c r="K16" s="281">
        <v>0</v>
      </c>
      <c r="M16">
        <f t="shared" ref="M16:M17" si="7">M7*0.12</f>
        <v>10.199999999999999</v>
      </c>
    </row>
    <row r="17" spans="2:13" hidden="1" x14ac:dyDescent="0.2">
      <c r="B17" s="282">
        <v>2</v>
      </c>
      <c r="C17" s="274">
        <v>7</v>
      </c>
      <c r="D17" s="275">
        <f t="shared" si="2"/>
        <v>0.41176470588235292</v>
      </c>
      <c r="E17" s="274">
        <f t="shared" ref="E17" si="8">E8</f>
        <v>1100</v>
      </c>
      <c r="F17" s="277">
        <f t="shared" si="3"/>
        <v>7700</v>
      </c>
      <c r="G17" s="342">
        <f>1324*1.05</f>
        <v>1390.2</v>
      </c>
      <c r="H17" s="279">
        <f t="shared" si="4"/>
        <v>15.165818181818183</v>
      </c>
      <c r="I17" s="279">
        <f t="shared" si="5"/>
        <v>1.263818181818182</v>
      </c>
      <c r="J17" s="280">
        <f t="shared" si="6"/>
        <v>9731.4</v>
      </c>
      <c r="K17" s="281">
        <v>0</v>
      </c>
      <c r="M17">
        <f t="shared" si="7"/>
        <v>4.2</v>
      </c>
    </row>
    <row r="18" spans="2:13" ht="16" hidden="1" thickBot="1" x14ac:dyDescent="0.25">
      <c r="B18" s="283" t="s">
        <v>49</v>
      </c>
      <c r="C18" s="284">
        <f>SUM(C15:C17)</f>
        <v>17</v>
      </c>
      <c r="D18" s="285">
        <f t="shared" si="2"/>
        <v>1</v>
      </c>
      <c r="E18" s="286">
        <f>SUMPRODUCT(E15:E17,C15:C17)/C18</f>
        <v>882.35294117647061</v>
      </c>
      <c r="F18" s="286">
        <f>SUM(F15:F17)</f>
        <v>15000</v>
      </c>
      <c r="G18" s="288">
        <f>SUMPRODUCT(G15:G17,C15:C17)/C18</f>
        <v>1288.2882352941178</v>
      </c>
      <c r="H18" s="287">
        <f>G18*12/E18</f>
        <v>17.520720000000001</v>
      </c>
      <c r="I18" s="287">
        <f>H18/12</f>
        <v>1.4600600000000001</v>
      </c>
      <c r="J18" s="288">
        <f>SUM(J15:J17)</f>
        <v>21900.9</v>
      </c>
      <c r="K18" s="288">
        <f>SUMPRODUCT(K15:K17,$C$15:$C$17)/$C$18</f>
        <v>0</v>
      </c>
    </row>
    <row r="19" spans="2:13" ht="16" hidden="1" thickTop="1" x14ac:dyDescent="0.2">
      <c r="E19" s="270"/>
    </row>
    <row r="21" spans="2:13" x14ac:dyDescent="0.2">
      <c r="B21" s="295"/>
      <c r="C21" s="296" t="s">
        <v>375</v>
      </c>
      <c r="D21" s="296" t="s">
        <v>21</v>
      </c>
      <c r="E21" s="296" t="s">
        <v>8</v>
      </c>
      <c r="F21" s="296" t="s">
        <v>21</v>
      </c>
      <c r="G21" s="296" t="s">
        <v>47</v>
      </c>
      <c r="H21" s="296" t="s">
        <v>376</v>
      </c>
      <c r="I21" s="297" t="s">
        <v>376</v>
      </c>
    </row>
    <row r="22" spans="2:13" x14ac:dyDescent="0.2">
      <c r="B22" s="121" t="s">
        <v>377</v>
      </c>
      <c r="C22" s="94">
        <f>C35</f>
        <v>60</v>
      </c>
      <c r="D22" s="305">
        <f>C22/$C$24</f>
        <v>0.90909090909090906</v>
      </c>
      <c r="E22" s="306">
        <f>E35</f>
        <v>44181</v>
      </c>
      <c r="F22" s="305">
        <f>E22/$E$24</f>
        <v>0.90625833316239668</v>
      </c>
      <c r="G22" s="91">
        <f>H35</f>
        <v>1813200</v>
      </c>
      <c r="H22" s="307">
        <f>G22/E22</f>
        <v>41.040266177768721</v>
      </c>
      <c r="I22" s="122">
        <f>H22/12</f>
        <v>3.4200221814807268</v>
      </c>
    </row>
    <row r="23" spans="2:13" x14ac:dyDescent="0.2">
      <c r="B23" s="167" t="s">
        <v>378</v>
      </c>
      <c r="C23" s="1">
        <f>C40</f>
        <v>6</v>
      </c>
      <c r="D23" s="75">
        <f t="shared" ref="D23:D24" si="9">C23/$C$24</f>
        <v>9.0909090909090912E-2</v>
      </c>
      <c r="E23" s="294">
        <f>E40</f>
        <v>4570</v>
      </c>
      <c r="F23" s="75">
        <f>E23/$E$24</f>
        <v>9.3741666837603335E-2</v>
      </c>
      <c r="G23" s="36">
        <f>H40</f>
        <v>99456</v>
      </c>
      <c r="H23" s="103">
        <f t="shared" ref="H23" si="10">G23/E23</f>
        <v>21.762800875273523</v>
      </c>
      <c r="I23" s="168">
        <f>H23/12</f>
        <v>1.813566739606127</v>
      </c>
    </row>
    <row r="24" spans="2:13" x14ac:dyDescent="0.2">
      <c r="B24" s="298" t="s">
        <v>49</v>
      </c>
      <c r="C24" s="299">
        <f>C22+C23</f>
        <v>66</v>
      </c>
      <c r="D24" s="300">
        <f t="shared" si="9"/>
        <v>1</v>
      </c>
      <c r="E24" s="301">
        <f>SUM(E22:E23)</f>
        <v>48751</v>
      </c>
      <c r="F24" s="300">
        <f t="shared" ref="F24" si="11">E24/$E$24</f>
        <v>1</v>
      </c>
      <c r="G24" s="302">
        <f>SUM(G22:G23)</f>
        <v>1912656</v>
      </c>
      <c r="H24" s="303">
        <f>G24/E24</f>
        <v>39.233164447908763</v>
      </c>
      <c r="I24" s="304">
        <f>H24/12</f>
        <v>3.2694303706590637</v>
      </c>
    </row>
    <row r="25" spans="2:13" x14ac:dyDescent="0.2">
      <c r="E25">
        <f>E24/C24</f>
        <v>738.65151515151513</v>
      </c>
    </row>
    <row r="28" spans="2:13" x14ac:dyDescent="0.2">
      <c r="B28" t="s">
        <v>423</v>
      </c>
    </row>
    <row r="29" spans="2:13" x14ac:dyDescent="0.2">
      <c r="B29" s="83" t="s">
        <v>415</v>
      </c>
      <c r="C29" s="83" t="s">
        <v>416</v>
      </c>
      <c r="D29" s="83" t="s">
        <v>211</v>
      </c>
      <c r="E29" s="83" t="s">
        <v>20</v>
      </c>
      <c r="F29" s="83" t="s">
        <v>23</v>
      </c>
      <c r="G29" s="83" t="s">
        <v>425</v>
      </c>
      <c r="H29" s="83" t="s">
        <v>426</v>
      </c>
      <c r="I29" s="83" t="s">
        <v>427</v>
      </c>
      <c r="J29" s="83" t="s">
        <v>428</v>
      </c>
    </row>
    <row r="30" spans="2:13" x14ac:dyDescent="0.2">
      <c r="B30" s="83" t="s">
        <v>417</v>
      </c>
      <c r="C30" s="83">
        <v>1</v>
      </c>
      <c r="D30">
        <v>546</v>
      </c>
      <c r="E30" s="346">
        <f>C30*D30</f>
        <v>546</v>
      </c>
      <c r="F30" s="355">
        <v>1850</v>
      </c>
      <c r="G30" s="355">
        <f>F30*C30</f>
        <v>1850</v>
      </c>
      <c r="H30" s="354">
        <f>G30*12</f>
        <v>22200</v>
      </c>
      <c r="I30" s="350">
        <f>H30/E30</f>
        <v>40.659340659340657</v>
      </c>
      <c r="J30" s="353">
        <f>I30/12</f>
        <v>3.3882783882783882</v>
      </c>
    </row>
    <row r="31" spans="2:13" x14ac:dyDescent="0.2">
      <c r="B31" s="83" t="s">
        <v>418</v>
      </c>
      <c r="C31" s="83">
        <v>21</v>
      </c>
      <c r="D31">
        <v>585</v>
      </c>
      <c r="E31" s="346">
        <f>C31*D31</f>
        <v>12285</v>
      </c>
      <c r="F31" s="355">
        <v>1950</v>
      </c>
      <c r="G31" s="355">
        <f>F31*C31</f>
        <v>40950</v>
      </c>
      <c r="H31" s="354">
        <f>G31*12</f>
        <v>491400</v>
      </c>
      <c r="I31" s="350">
        <f t="shared" ref="I31:I34" si="12">H31/E31</f>
        <v>40</v>
      </c>
      <c r="J31" s="353">
        <f t="shared" ref="J31:J34" si="13">I31/12</f>
        <v>3.3333333333333335</v>
      </c>
    </row>
    <row r="32" spans="2:13" x14ac:dyDescent="0.2">
      <c r="B32" s="83" t="s">
        <v>419</v>
      </c>
      <c r="C32" s="83">
        <v>0</v>
      </c>
      <c r="D32">
        <v>713</v>
      </c>
      <c r="E32" s="346">
        <f t="shared" ref="E32:E34" si="14">C32*D32</f>
        <v>0</v>
      </c>
      <c r="F32" s="355">
        <v>2100</v>
      </c>
      <c r="G32" s="355">
        <f>F32*C32</f>
        <v>0</v>
      </c>
      <c r="H32">
        <f t="shared" ref="H31:H34" si="15">G32*12</f>
        <v>0</v>
      </c>
      <c r="I32" s="350" t="e">
        <f t="shared" si="12"/>
        <v>#DIV/0!</v>
      </c>
      <c r="J32" s="353" t="e">
        <f t="shared" si="13"/>
        <v>#DIV/0!</v>
      </c>
    </row>
    <row r="33" spans="2:10" x14ac:dyDescent="0.2">
      <c r="B33" s="83" t="s">
        <v>420</v>
      </c>
      <c r="C33" s="83">
        <v>38</v>
      </c>
      <c r="D33">
        <v>825</v>
      </c>
      <c r="E33" s="346">
        <f t="shared" si="14"/>
        <v>31350</v>
      </c>
      <c r="F33" s="355">
        <v>2850</v>
      </c>
      <c r="G33" s="355">
        <f t="shared" ref="G31:G34" si="16">F33*C33</f>
        <v>108300</v>
      </c>
      <c r="H33" s="354">
        <f>G33*12</f>
        <v>1299600</v>
      </c>
      <c r="I33" s="350">
        <f t="shared" si="12"/>
        <v>41.454545454545453</v>
      </c>
      <c r="J33" s="353">
        <f t="shared" si="13"/>
        <v>3.4545454545454546</v>
      </c>
    </row>
    <row r="34" spans="2:10" x14ac:dyDescent="0.2">
      <c r="B34" s="83" t="s">
        <v>421</v>
      </c>
      <c r="C34" s="83">
        <v>0</v>
      </c>
      <c r="D34" s="346">
        <v>996</v>
      </c>
      <c r="E34" s="346">
        <f t="shared" si="14"/>
        <v>0</v>
      </c>
      <c r="F34" s="355">
        <v>2850</v>
      </c>
      <c r="G34" s="355">
        <f t="shared" si="16"/>
        <v>0</v>
      </c>
      <c r="H34">
        <f t="shared" si="15"/>
        <v>0</v>
      </c>
      <c r="I34" s="350" t="e">
        <f t="shared" si="12"/>
        <v>#DIV/0!</v>
      </c>
      <c r="J34" s="353" t="e">
        <f t="shared" si="13"/>
        <v>#DIV/0!</v>
      </c>
    </row>
    <row r="35" spans="2:10" x14ac:dyDescent="0.2">
      <c r="B35" s="83" t="s">
        <v>422</v>
      </c>
      <c r="C35" s="83">
        <f>SUM(C30:C34)</f>
        <v>60</v>
      </c>
      <c r="D35" s="348">
        <f>E35/C35</f>
        <v>736.35</v>
      </c>
      <c r="E35" s="347">
        <f>SUM(E30:E34)</f>
        <v>44181</v>
      </c>
      <c r="F35" s="355"/>
      <c r="G35" s="355">
        <f>SUM(G30:G34)</f>
        <v>151100</v>
      </c>
      <c r="H35" s="355">
        <f>SUM(H30:H34)</f>
        <v>1813200</v>
      </c>
    </row>
    <row r="36" spans="2:10" x14ac:dyDescent="0.2">
      <c r="F36" s="355"/>
      <c r="H36" s="355"/>
    </row>
    <row r="37" spans="2:10" x14ac:dyDescent="0.2">
      <c r="B37" s="83" t="s">
        <v>424</v>
      </c>
      <c r="C37" s="83" t="s">
        <v>416</v>
      </c>
      <c r="D37" s="83" t="s">
        <v>211</v>
      </c>
      <c r="E37" s="83" t="s">
        <v>20</v>
      </c>
      <c r="F37" s="356" t="s">
        <v>23</v>
      </c>
      <c r="G37" s="83" t="s">
        <v>425</v>
      </c>
      <c r="H37" s="356" t="s">
        <v>426</v>
      </c>
      <c r="I37" s="83" t="s">
        <v>427</v>
      </c>
      <c r="J37" s="83" t="s">
        <v>428</v>
      </c>
    </row>
    <row r="38" spans="2:10" x14ac:dyDescent="0.2">
      <c r="B38" s="83" t="s">
        <v>417</v>
      </c>
      <c r="C38">
        <v>2</v>
      </c>
      <c r="D38">
        <v>585</v>
      </c>
      <c r="E38" s="357">
        <f>D38*C38</f>
        <v>1170</v>
      </c>
      <c r="F38" s="355">
        <v>1244</v>
      </c>
      <c r="G38" s="355">
        <f>F38*C38</f>
        <v>2488</v>
      </c>
      <c r="H38" s="355">
        <f>G38*12</f>
        <v>29856</v>
      </c>
      <c r="I38" s="351">
        <f>H38/E38</f>
        <v>25.51794871794872</v>
      </c>
      <c r="J38" s="352">
        <f>I38/12</f>
        <v>2.1264957264957265</v>
      </c>
    </row>
    <row r="39" spans="2:10" x14ac:dyDescent="0.2">
      <c r="B39" s="83" t="s">
        <v>420</v>
      </c>
      <c r="C39">
        <v>4</v>
      </c>
      <c r="D39">
        <v>850</v>
      </c>
      <c r="E39" s="357">
        <f>D39*C39</f>
        <v>3400</v>
      </c>
      <c r="F39" s="355">
        <v>1450</v>
      </c>
      <c r="G39" s="355">
        <f>F39*C39</f>
        <v>5800</v>
      </c>
      <c r="H39" s="355">
        <f>G39*12</f>
        <v>69600</v>
      </c>
      <c r="I39" s="351">
        <f>H39/E39</f>
        <v>20.470588235294116</v>
      </c>
      <c r="J39" s="352">
        <f>I39/12</f>
        <v>1.7058823529411764</v>
      </c>
    </row>
    <row r="40" spans="2:10" x14ac:dyDescent="0.2">
      <c r="C40" s="83">
        <f>SUM(C38:C39)</f>
        <v>6</v>
      </c>
      <c r="E40" s="357">
        <f>SUM(E38:E39)</f>
        <v>4570</v>
      </c>
      <c r="H40" s="355">
        <f>SUM(H38:H39)</f>
        <v>99456</v>
      </c>
    </row>
    <row r="41" spans="2:10" x14ac:dyDescent="0.2">
      <c r="H41" s="355"/>
    </row>
    <row r="42" spans="2:10" x14ac:dyDescent="0.2">
      <c r="C42">
        <f>C40+C35</f>
        <v>66</v>
      </c>
      <c r="E42" s="359">
        <f>E40+E35</f>
        <v>48751</v>
      </c>
      <c r="H42" s="355">
        <f>H40+H35</f>
        <v>1912656</v>
      </c>
    </row>
    <row r="43" spans="2:10" x14ac:dyDescent="0.2">
      <c r="E43" s="360">
        <f>E42/C42</f>
        <v>738.65151515151513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CC687-B3DA-4F44-A0E3-BCE87DB96E4B}">
  <dimension ref="B2:K38"/>
  <sheetViews>
    <sheetView showGridLines="0" tabSelected="1" zoomScale="223" zoomScaleNormal="80" workbookViewId="0">
      <selection activeCell="D10" sqref="D10"/>
    </sheetView>
  </sheetViews>
  <sheetFormatPr baseColWidth="10" defaultColWidth="8.83203125" defaultRowHeight="15" x14ac:dyDescent="0.2"/>
  <cols>
    <col min="1" max="1" width="3.1640625" customWidth="1"/>
    <col min="2" max="2" width="34.5" bestFit="1" customWidth="1"/>
    <col min="4" max="4" width="10.5" bestFit="1" customWidth="1"/>
    <col min="5" max="5" width="13.5" customWidth="1"/>
    <col min="8" max="8" width="11.1640625" bestFit="1" customWidth="1"/>
    <col min="9" max="9" width="22.33203125" bestFit="1" customWidth="1"/>
    <col min="10" max="10" width="11.6640625" customWidth="1"/>
  </cols>
  <sheetData>
    <row r="2" spans="2:11" x14ac:dyDescent="0.2">
      <c r="B2" s="385" t="s">
        <v>349</v>
      </c>
      <c r="C2" s="386"/>
      <c r="D2" s="386"/>
      <c r="E2" s="386"/>
      <c r="F2" s="386"/>
      <c r="G2" s="387"/>
    </row>
    <row r="3" spans="2:11" x14ac:dyDescent="0.2">
      <c r="B3" s="43" t="s">
        <v>350</v>
      </c>
      <c r="C3" s="44"/>
      <c r="D3" s="44"/>
      <c r="E3" s="45">
        <f>Assumptions!F9</f>
        <v>3500000</v>
      </c>
      <c r="F3" s="45"/>
      <c r="G3" s="53"/>
    </row>
    <row r="5" spans="2:11" x14ac:dyDescent="0.2">
      <c r="B5" s="385" t="s">
        <v>11</v>
      </c>
      <c r="C5" s="386"/>
      <c r="D5" s="386"/>
      <c r="E5" s="386"/>
      <c r="F5" s="386"/>
      <c r="G5" s="387"/>
      <c r="H5" s="83" t="s">
        <v>502</v>
      </c>
    </row>
    <row r="6" spans="2:11" x14ac:dyDescent="0.2">
      <c r="B6" s="8"/>
      <c r="E6" s="24" t="s">
        <v>49</v>
      </c>
      <c r="F6" s="24" t="s">
        <v>86</v>
      </c>
      <c r="G6" s="25" t="s">
        <v>26</v>
      </c>
    </row>
    <row r="7" spans="2:11" x14ac:dyDescent="0.2">
      <c r="B7" s="8" t="s">
        <v>413</v>
      </c>
      <c r="E7" s="36">
        <f>H7*Assumptions!C29</f>
        <v>16500000</v>
      </c>
      <c r="F7" s="148">
        <f>E7/Assumptions!D20</f>
        <v>155.57411037275975</v>
      </c>
      <c r="G7" s="316">
        <f>E7/Assumptions!F17</f>
        <v>338.45459580316299</v>
      </c>
      <c r="H7" s="341">
        <v>250000</v>
      </c>
    </row>
    <row r="8" spans="2:11" x14ac:dyDescent="0.2">
      <c r="B8" s="8" t="s">
        <v>414</v>
      </c>
      <c r="E8" s="36">
        <f>H8*Assumptions!F30</f>
        <v>1890000</v>
      </c>
      <c r="F8" s="362">
        <f>E8/Assumptions!D18</f>
        <v>55.588235294117645</v>
      </c>
      <c r="G8" s="363"/>
      <c r="H8" s="341">
        <v>30000</v>
      </c>
    </row>
    <row r="9" spans="2:11" x14ac:dyDescent="0.2">
      <c r="B9" s="8" t="s">
        <v>299</v>
      </c>
      <c r="E9" s="37">
        <v>200000</v>
      </c>
      <c r="F9" s="362"/>
      <c r="G9" s="363"/>
    </row>
    <row r="10" spans="2:11" x14ac:dyDescent="0.2">
      <c r="B10" s="8" t="s">
        <v>85</v>
      </c>
      <c r="C10" s="39">
        <v>0.05</v>
      </c>
      <c r="D10" t="s">
        <v>93</v>
      </c>
      <c r="E10" s="36">
        <f>SUM(E7:E9)*C10</f>
        <v>929500</v>
      </c>
      <c r="F10" s="51"/>
      <c r="G10" s="52"/>
    </row>
    <row r="11" spans="2:11" x14ac:dyDescent="0.2">
      <c r="B11" s="43" t="s">
        <v>49</v>
      </c>
      <c r="C11" s="44"/>
      <c r="D11" s="44"/>
      <c r="E11" s="45">
        <f>SUM(E7:E10)</f>
        <v>19519500</v>
      </c>
      <c r="F11" s="45">
        <f>E11/Assumptions!D20</f>
        <v>184.04417257097478</v>
      </c>
      <c r="G11" s="53">
        <f>E11/Assumptions!$F$20</f>
        <v>367.24614776768078</v>
      </c>
      <c r="H11" s="341">
        <f>E11/161</f>
        <v>121239.13043478261</v>
      </c>
    </row>
    <row r="13" spans="2:11" x14ac:dyDescent="0.2">
      <c r="B13" s="385" t="s">
        <v>12</v>
      </c>
      <c r="C13" s="386"/>
      <c r="D13" s="386"/>
      <c r="E13" s="386"/>
      <c r="F13" s="386"/>
      <c r="G13" s="387"/>
      <c r="I13" s="395" t="s">
        <v>105</v>
      </c>
      <c r="J13" s="396"/>
    </row>
    <row r="14" spans="2:11" x14ac:dyDescent="0.2">
      <c r="B14" s="8"/>
      <c r="C14" s="1"/>
      <c r="E14" s="24" t="s">
        <v>47</v>
      </c>
      <c r="F14" s="24" t="s">
        <v>86</v>
      </c>
      <c r="G14" s="25" t="s">
        <v>26</v>
      </c>
      <c r="I14" s="62" t="s">
        <v>380</v>
      </c>
      <c r="J14" s="52">
        <f>4700*Assumptions!C29</f>
        <v>310200</v>
      </c>
    </row>
    <row r="15" spans="2:11" x14ac:dyDescent="0.2">
      <c r="B15" s="8" t="s">
        <v>88</v>
      </c>
      <c r="C15" s="49"/>
      <c r="D15" s="35"/>
      <c r="E15" s="37">
        <f>950000</f>
        <v>950000</v>
      </c>
      <c r="F15" s="71">
        <f>E15/Assumptions!$D$20</f>
        <v>8.9572972638861685</v>
      </c>
      <c r="G15" s="50">
        <f>E15/Assumptions!$F$20</f>
        <v>17.873605388421666</v>
      </c>
      <c r="I15" s="62" t="s">
        <v>410</v>
      </c>
      <c r="J15" s="52">
        <v>30000</v>
      </c>
    </row>
    <row r="16" spans="2:11" x14ac:dyDescent="0.2">
      <c r="B16" s="8" t="s">
        <v>105</v>
      </c>
      <c r="C16" s="1"/>
      <c r="D16" s="35"/>
      <c r="E16" s="36">
        <f>J17</f>
        <v>350200</v>
      </c>
      <c r="F16" s="71">
        <f>E16/Assumptions!$D$20</f>
        <v>3.3019426334873008</v>
      </c>
      <c r="G16" s="50">
        <f>E16/Assumptions!$F$20</f>
        <v>6.5887753758160708</v>
      </c>
      <c r="I16" s="63" t="s">
        <v>381</v>
      </c>
      <c r="J16" s="64">
        <v>10000</v>
      </c>
      <c r="K16" s="341"/>
    </row>
    <row r="17" spans="2:10" x14ac:dyDescent="0.2">
      <c r="B17" s="8" t="s">
        <v>89</v>
      </c>
      <c r="C17" s="72"/>
      <c r="D17" s="35"/>
      <c r="E17" s="37">
        <v>150000</v>
      </c>
      <c r="F17" s="71">
        <f>E17/Assumptions!$D$20</f>
        <v>1.414310094297816</v>
      </c>
      <c r="G17" s="50">
        <f>E17/Assumptions!$F$20</f>
        <v>2.8221482192244736</v>
      </c>
      <c r="I17" s="43" t="s">
        <v>49</v>
      </c>
      <c r="J17" s="65">
        <f>SUM(J14:J16)</f>
        <v>350200</v>
      </c>
    </row>
    <row r="18" spans="2:10" x14ac:dyDescent="0.2">
      <c r="B18" s="8" t="s">
        <v>382</v>
      </c>
      <c r="C18" s="1"/>
      <c r="D18" s="35"/>
      <c r="E18" s="37">
        <v>350000</v>
      </c>
      <c r="F18" s="71">
        <f>E18/Assumptions!$D$20</f>
        <v>3.3000568866949038</v>
      </c>
      <c r="G18" s="50">
        <f>E18/Assumptions!$F$20</f>
        <v>6.5850125115237716</v>
      </c>
    </row>
    <row r="19" spans="2:10" x14ac:dyDescent="0.2">
      <c r="B19" s="8" t="s">
        <v>90</v>
      </c>
      <c r="C19" s="1"/>
      <c r="D19" s="35"/>
      <c r="E19" s="37">
        <v>100000</v>
      </c>
      <c r="F19" s="71">
        <f>E19/Assumptions!$D$20</f>
        <v>0.94287339619854393</v>
      </c>
      <c r="G19" s="50">
        <f>E19/Assumptions!$F$20</f>
        <v>1.881432146149649</v>
      </c>
    </row>
    <row r="20" spans="2:10" x14ac:dyDescent="0.2">
      <c r="B20" s="8" t="s">
        <v>91</v>
      </c>
      <c r="C20" s="1"/>
      <c r="D20" s="35"/>
      <c r="E20" s="37">
        <v>75000</v>
      </c>
      <c r="F20" s="71">
        <f>E20/Assumptions!$D$20</f>
        <v>0.70715504714890798</v>
      </c>
      <c r="G20" s="50">
        <f>E20/Assumptions!$F$20</f>
        <v>1.4110741096122368</v>
      </c>
    </row>
    <row r="21" spans="2:10" x14ac:dyDescent="0.2">
      <c r="B21" s="8" t="s">
        <v>92</v>
      </c>
      <c r="C21" s="1"/>
      <c r="D21" s="35"/>
      <c r="E21" s="37">
        <v>250000</v>
      </c>
      <c r="F21" s="71">
        <f>E21/Assumptions!$D$20</f>
        <v>2.35718349049636</v>
      </c>
      <c r="G21" s="50">
        <f>E21/Assumptions!$F$20</f>
        <v>4.7035803653741226</v>
      </c>
    </row>
    <row r="22" spans="2:10" x14ac:dyDescent="0.2">
      <c r="B22" s="8" t="s">
        <v>94</v>
      </c>
      <c r="C22" s="1"/>
      <c r="D22" s="35"/>
      <c r="E22" s="37">
        <v>50000</v>
      </c>
      <c r="F22" s="71">
        <f>E22/Assumptions!$D$20</f>
        <v>0.47143669809927197</v>
      </c>
      <c r="G22" s="50">
        <f>E22/Assumptions!$F$20</f>
        <v>0.94071607307482452</v>
      </c>
    </row>
    <row r="23" spans="2:10" x14ac:dyDescent="0.2">
      <c r="B23" s="8" t="s">
        <v>95</v>
      </c>
      <c r="C23" s="1"/>
      <c r="D23" s="35"/>
      <c r="E23" s="37">
        <v>70000</v>
      </c>
      <c r="F23" s="71">
        <f>E23/Assumptions!$D$20</f>
        <v>0.66001137733898074</v>
      </c>
      <c r="G23" s="50">
        <f>E23/Assumptions!$F$20</f>
        <v>1.3170025023047545</v>
      </c>
    </row>
    <row r="24" spans="2:10" x14ac:dyDescent="0.2">
      <c r="B24" s="8" t="s">
        <v>72</v>
      </c>
      <c r="C24" s="72"/>
      <c r="D24" s="35"/>
      <c r="E24" s="37">
        <v>100000</v>
      </c>
      <c r="F24" s="71">
        <f>E24/Assumptions!$D$20</f>
        <v>0.94287339619854393</v>
      </c>
      <c r="G24" s="50">
        <f>E24/Assumptions!$F$20</f>
        <v>1.881432146149649</v>
      </c>
    </row>
    <row r="25" spans="2:10" x14ac:dyDescent="0.2">
      <c r="B25" s="8" t="s">
        <v>106</v>
      </c>
      <c r="C25" s="37">
        <v>53000</v>
      </c>
      <c r="D25" s="313">
        <v>2</v>
      </c>
      <c r="E25" s="54">
        <f>C25*D25</f>
        <v>106000</v>
      </c>
      <c r="F25" s="71">
        <f>E25/Assumptions!$D$20</f>
        <v>0.99944579997045657</v>
      </c>
      <c r="G25" s="50">
        <f>E25/Assumptions!$F$20</f>
        <v>1.994318074918628</v>
      </c>
      <c r="H25" s="139" t="s">
        <v>411</v>
      </c>
    </row>
    <row r="26" spans="2:10" x14ac:dyDescent="0.2">
      <c r="B26" s="8" t="s">
        <v>96</v>
      </c>
      <c r="C26" s="310">
        <v>0.06</v>
      </c>
      <c r="D26" s="308">
        <v>5</v>
      </c>
      <c r="E26" s="309">
        <f>C26*D26*Assumptions!K5*12*Assumptions!F16</f>
        <v>42768</v>
      </c>
      <c r="F26" s="71">
        <f>E26/Assumptions!$D$20</f>
        <v>0.40324809408619328</v>
      </c>
      <c r="G26" s="50">
        <f>E26/Assumptions!$F$20</f>
        <v>0.80465090026528197</v>
      </c>
    </row>
    <row r="27" spans="2:10" x14ac:dyDescent="0.2">
      <c r="B27" s="8" t="s">
        <v>97</v>
      </c>
      <c r="C27" s="311">
        <v>20</v>
      </c>
      <c r="D27" s="312" t="s">
        <v>8</v>
      </c>
      <c r="E27" s="148">
        <f>C27*Assumptions!F16</f>
        <v>88000</v>
      </c>
      <c r="F27" s="71">
        <f>E27/Assumptions!$D$20</f>
        <v>0.82972858865471866</v>
      </c>
      <c r="G27" s="50">
        <f>E27/Assumptions!$F$20</f>
        <v>1.6556602886116911</v>
      </c>
    </row>
    <row r="28" spans="2:10" x14ac:dyDescent="0.2">
      <c r="B28" s="8" t="s">
        <v>98</v>
      </c>
      <c r="C28" s="49">
        <v>1.5</v>
      </c>
      <c r="D28" s="35" t="s">
        <v>7</v>
      </c>
      <c r="E28" s="54">
        <f>C28*Assumptions!D20</f>
        <v>159088.16666666669</v>
      </c>
      <c r="F28" s="71">
        <f>E28/Assumptions!$D$20</f>
        <v>1.5000000000000002</v>
      </c>
      <c r="G28" s="50">
        <f>E28/Assumptions!$F$20</f>
        <v>2.9931359083867979</v>
      </c>
    </row>
    <row r="29" spans="2:10" x14ac:dyDescent="0.2">
      <c r="B29" s="46" t="s">
        <v>102</v>
      </c>
      <c r="C29" s="39"/>
      <c r="D29" s="47"/>
      <c r="E29" s="36">
        <f ca="1">'Closing Costs'!E46</f>
        <v>681788.21332743636</v>
      </c>
      <c r="F29" s="71">
        <f ca="1">E29/Assumptions!$D$20</f>
        <v>6.428399681881773</v>
      </c>
      <c r="G29" s="50">
        <f ca="1">E29/Assumptions!$F$20</f>
        <v>12.827382614201733</v>
      </c>
    </row>
    <row r="30" spans="2:10" x14ac:dyDescent="0.2">
      <c r="B30" s="46" t="s">
        <v>85</v>
      </c>
      <c r="C30" s="39">
        <v>0.05</v>
      </c>
      <c r="D30" s="74" t="s">
        <v>99</v>
      </c>
      <c r="E30" s="36">
        <f ca="1">SUM(E15:E29,E35)*C30</f>
        <v>239675.87171650559</v>
      </c>
      <c r="F30" s="71">
        <f ca="1">E30/Assumptions!$D$20</f>
        <v>2.2598400315218816</v>
      </c>
      <c r="G30" s="50">
        <f ca="1">E30/Assumptions!$F$20</f>
        <v>4.5093388970387309</v>
      </c>
    </row>
    <row r="31" spans="2:10" x14ac:dyDescent="0.2">
      <c r="B31" s="46" t="s">
        <v>134</v>
      </c>
      <c r="C31" s="39"/>
      <c r="D31" s="47"/>
      <c r="E31" s="36">
        <f ca="1">-'Draw Schedule'!D16</f>
        <v>2131440.8350101397</v>
      </c>
      <c r="F31" s="71">
        <f ca="1">E31/Assumptions!$D$20</f>
        <v>20.096788589022708</v>
      </c>
      <c r="G31" s="50">
        <f ca="1">E31/Assumptions!$F$20</f>
        <v>40.101613046041273</v>
      </c>
    </row>
    <row r="32" spans="2:10" x14ac:dyDescent="0.2">
      <c r="B32" s="46" t="s">
        <v>298</v>
      </c>
      <c r="C32" s="39"/>
      <c r="D32" s="47"/>
      <c r="E32" s="36">
        <f ca="1">-'Draw Schedule'!D15</f>
        <v>0</v>
      </c>
      <c r="F32" s="71">
        <f ca="1">E32/Assumptions!$D$20</f>
        <v>0</v>
      </c>
      <c r="G32" s="50">
        <f ca="1">E32/Assumptions!$F$20</f>
        <v>0</v>
      </c>
    </row>
    <row r="33" spans="2:7" x14ac:dyDescent="0.2">
      <c r="B33" s="46" t="s">
        <v>288</v>
      </c>
      <c r="C33" s="39"/>
      <c r="D33" s="47"/>
      <c r="E33" s="36">
        <f ca="1">-'Draw Schedule'!D14</f>
        <v>0</v>
      </c>
      <c r="F33" s="71">
        <f ca="1">E33/Assumptions!$D$20</f>
        <v>0</v>
      </c>
      <c r="G33" s="50">
        <f ca="1">E33/Assumptions!$F$20</f>
        <v>0</v>
      </c>
    </row>
    <row r="34" spans="2:7" x14ac:dyDescent="0.2">
      <c r="B34" s="43" t="s">
        <v>103</v>
      </c>
      <c r="C34" s="73"/>
      <c r="D34" s="44"/>
      <c r="E34" s="45">
        <f ca="1">SUM(E15:E33)</f>
        <v>5893961.0867207479</v>
      </c>
      <c r="F34" s="67">
        <f ca="1">E34/Assumptions!$D$20</f>
        <v>55.572591068984522</v>
      </c>
      <c r="G34" s="68">
        <f ca="1">E34/Assumptions!$F$20</f>
        <v>110.89087856711535</v>
      </c>
    </row>
    <row r="35" spans="2:7" x14ac:dyDescent="0.2">
      <c r="B35" s="31" t="s">
        <v>101</v>
      </c>
      <c r="C35" s="48">
        <v>0.05</v>
      </c>
      <c r="D35" s="32" t="s">
        <v>104</v>
      </c>
      <c r="E35" s="40">
        <f ca="1">C35*(E11+E34)</f>
        <v>1270673.0543360375</v>
      </c>
      <c r="F35" s="69">
        <f ca="1">E35/Assumptions!$D$20</f>
        <v>11.980838181997967</v>
      </c>
      <c r="G35" s="70">
        <f ca="1">E35/Assumptions!$F$20</f>
        <v>23.906851316739807</v>
      </c>
    </row>
    <row r="36" spans="2:7" x14ac:dyDescent="0.2">
      <c r="B36" s="43" t="s">
        <v>100</v>
      </c>
      <c r="C36" s="44"/>
      <c r="D36" s="44"/>
      <c r="E36" s="45">
        <f ca="1">E34+E35</f>
        <v>7164634.1410567854</v>
      </c>
      <c r="F36" s="67">
        <f ca="1">E36/Assumptions!$D$20</f>
        <v>67.553429250982489</v>
      </c>
      <c r="G36" s="68">
        <f ca="1">E36/Assumptions!$F$20</f>
        <v>134.79772988385517</v>
      </c>
    </row>
    <row r="37" spans="2:7" x14ac:dyDescent="0.2">
      <c r="E37" s="34"/>
    </row>
    <row r="38" spans="2:7" x14ac:dyDescent="0.2">
      <c r="B38" s="43" t="s">
        <v>351</v>
      </c>
      <c r="C38" s="44"/>
      <c r="D38" s="44"/>
      <c r="E38" s="45">
        <f ca="1">E3+E11+E36</f>
        <v>30184134.141056783</v>
      </c>
      <c r="F38" s="67">
        <f ca="1">E38/Assumptions!$D$20</f>
        <v>284.59817068890629</v>
      </c>
      <c r="G38" s="68">
        <f ca="1">E38/Assumptions!$F$20</f>
        <v>567.89400276677361</v>
      </c>
    </row>
  </sheetData>
  <mergeCells count="4">
    <mergeCell ref="B5:G5"/>
    <mergeCell ref="B13:G13"/>
    <mergeCell ref="I13:J13"/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EA86-67E0-1D42-8D3C-3C2B02007431}">
  <dimension ref="A5:F34"/>
  <sheetViews>
    <sheetView zoomScale="188" workbookViewId="0">
      <selection activeCell="E34" sqref="E34:F34"/>
    </sheetView>
  </sheetViews>
  <sheetFormatPr baseColWidth="10" defaultRowHeight="15" x14ac:dyDescent="0.2"/>
  <cols>
    <col min="3" max="3" width="13.6640625" bestFit="1" customWidth="1"/>
  </cols>
  <sheetData>
    <row r="5" spans="1:4" x14ac:dyDescent="0.2">
      <c r="A5" t="s">
        <v>429</v>
      </c>
      <c r="C5">
        <v>75000</v>
      </c>
      <c r="D5" s="349">
        <f>C5/Assumptions!$D$20</f>
        <v>0.70715504714890798</v>
      </c>
    </row>
    <row r="6" spans="1:4" x14ac:dyDescent="0.2">
      <c r="A6" t="s">
        <v>430</v>
      </c>
      <c r="C6">
        <v>142000</v>
      </c>
      <c r="D6" s="349">
        <f>C6/Assumptions!$D$20</f>
        <v>1.3388802226019325</v>
      </c>
    </row>
    <row r="7" spans="1:4" x14ac:dyDescent="0.2">
      <c r="A7" t="s">
        <v>431</v>
      </c>
      <c r="B7" t="s">
        <v>432</v>
      </c>
      <c r="C7">
        <v>5000000</v>
      </c>
      <c r="D7" s="349">
        <f>C7/Assumptions!$D$20</f>
        <v>47.143669809927196</v>
      </c>
    </row>
    <row r="8" spans="1:4" x14ac:dyDescent="0.2">
      <c r="B8" t="s">
        <v>433</v>
      </c>
      <c r="C8">
        <f>40*11000*13</f>
        <v>5720000</v>
      </c>
      <c r="D8" s="349">
        <f>C8/Assumptions!$D$20</f>
        <v>53.932358262556711</v>
      </c>
    </row>
    <row r="9" spans="1:4" x14ac:dyDescent="0.2">
      <c r="A9" t="s">
        <v>434</v>
      </c>
      <c r="C9" s="357">
        <f>D9*Assumptions!$D$17</f>
        <v>417993.05246675934</v>
      </c>
      <c r="D9" s="349">
        <f>2585706/335082</f>
        <v>7.716636524790947</v>
      </c>
    </row>
    <row r="10" spans="1:4" x14ac:dyDescent="0.2">
      <c r="A10" t="s">
        <v>435</v>
      </c>
      <c r="C10" s="357">
        <f>D10*Assumptions!$D$17</f>
        <v>135419.44444444444</v>
      </c>
      <c r="D10">
        <v>2.5</v>
      </c>
    </row>
    <row r="11" spans="1:4" x14ac:dyDescent="0.2">
      <c r="A11" t="s">
        <v>436</v>
      </c>
      <c r="C11" s="357">
        <f>D11*Assumptions!$D$17</f>
        <v>1300026.6666666665</v>
      </c>
      <c r="D11">
        <v>24</v>
      </c>
    </row>
    <row r="12" spans="1:4" x14ac:dyDescent="0.2">
      <c r="A12" t="s">
        <v>437</v>
      </c>
      <c r="C12" s="357">
        <f>D12*Assumptions!$D$17</f>
        <v>297922.77777777775</v>
      </c>
      <c r="D12">
        <v>5.5</v>
      </c>
    </row>
    <row r="13" spans="1:4" x14ac:dyDescent="0.2">
      <c r="A13" t="s">
        <v>438</v>
      </c>
      <c r="C13" s="357">
        <f>D13*Assumptions!$D$17</f>
        <v>270838.88888888888</v>
      </c>
      <c r="D13">
        <v>5</v>
      </c>
    </row>
    <row r="14" spans="1:4" x14ac:dyDescent="0.2">
      <c r="A14" t="s">
        <v>439</v>
      </c>
      <c r="C14" s="357">
        <f>D14*Assumptions!$D$17</f>
        <v>758348.88888888888</v>
      </c>
      <c r="D14">
        <v>14</v>
      </c>
    </row>
    <row r="15" spans="1:4" x14ac:dyDescent="0.2">
      <c r="A15" t="s">
        <v>440</v>
      </c>
      <c r="C15" s="357">
        <f>D15*Assumptions!$D$17</f>
        <v>54167.777777777774</v>
      </c>
      <c r="D15">
        <v>1</v>
      </c>
    </row>
    <row r="16" spans="1:4" x14ac:dyDescent="0.2">
      <c r="A16" t="s">
        <v>441</v>
      </c>
      <c r="C16" s="357">
        <f>D16*Assumptions!$D$17</f>
        <v>135419.44444444444</v>
      </c>
      <c r="D16">
        <v>2.5</v>
      </c>
    </row>
    <row r="17" spans="1:4" x14ac:dyDescent="0.2">
      <c r="A17" t="s">
        <v>442</v>
      </c>
      <c r="C17" s="357">
        <f>D17*Assumptions!$D$17</f>
        <v>270838.88888888888</v>
      </c>
      <c r="D17">
        <v>5</v>
      </c>
    </row>
    <row r="18" spans="1:4" x14ac:dyDescent="0.2">
      <c r="A18" t="s">
        <v>443</v>
      </c>
      <c r="C18" s="357">
        <f>D18*Assumptions!$D$17</f>
        <v>541677.77777777775</v>
      </c>
      <c r="D18">
        <v>10</v>
      </c>
    </row>
    <row r="19" spans="1:4" x14ac:dyDescent="0.2">
      <c r="A19" t="s">
        <v>444</v>
      </c>
      <c r="C19" s="357">
        <f>D19*Assumptions!$D$17</f>
        <v>108335.55555555555</v>
      </c>
      <c r="D19">
        <v>2</v>
      </c>
    </row>
    <row r="20" spans="1:4" x14ac:dyDescent="0.2">
      <c r="A20" t="s">
        <v>445</v>
      </c>
      <c r="C20" s="357">
        <f>D20*Assumptions!$D$17</f>
        <v>135419.44444444444</v>
      </c>
      <c r="D20">
        <v>2.5</v>
      </c>
    </row>
    <row r="21" spans="1:4" x14ac:dyDescent="0.2">
      <c r="A21" t="s">
        <v>446</v>
      </c>
      <c r="C21" s="357">
        <f>D21*Assumptions!$D$17</f>
        <v>487509.99999999994</v>
      </c>
      <c r="D21">
        <v>9</v>
      </c>
    </row>
    <row r="22" spans="1:4" x14ac:dyDescent="0.2">
      <c r="A22" t="s">
        <v>447</v>
      </c>
      <c r="C22" s="357">
        <f>D22*Assumptions!$D$17</f>
        <v>325006.66666666663</v>
      </c>
      <c r="D22">
        <v>6</v>
      </c>
    </row>
    <row r="23" spans="1:4" x14ac:dyDescent="0.2">
      <c r="A23" t="s">
        <v>448</v>
      </c>
      <c r="C23" s="357">
        <f>D23*Assumptions!$D$17</f>
        <v>704181.11111111101</v>
      </c>
      <c r="D23">
        <v>13</v>
      </c>
    </row>
    <row r="24" spans="1:4" x14ac:dyDescent="0.2">
      <c r="A24" t="s">
        <v>449</v>
      </c>
      <c r="C24" s="357">
        <f>D24*Assumptions!$D$17</f>
        <v>27083.888888888887</v>
      </c>
      <c r="D24">
        <v>0.5</v>
      </c>
    </row>
    <row r="25" spans="1:4" x14ac:dyDescent="0.2">
      <c r="A25" t="s">
        <v>450</v>
      </c>
      <c r="C25" s="357">
        <f>D25*Assumptions!$D$17</f>
        <v>27083.888888888887</v>
      </c>
      <c r="D25">
        <v>0.5</v>
      </c>
    </row>
    <row r="26" spans="1:4" x14ac:dyDescent="0.2">
      <c r="A26" t="s">
        <v>451</v>
      </c>
      <c r="C26" s="357">
        <f>D26*Assumptions!$D$17</f>
        <v>54167.777777777774</v>
      </c>
      <c r="D26">
        <v>1</v>
      </c>
    </row>
    <row r="27" spans="1:4" x14ac:dyDescent="0.2">
      <c r="A27" t="s">
        <v>452</v>
      </c>
      <c r="C27" s="357">
        <f>D27*Assumptions!$D$17</f>
        <v>54167.777777777774</v>
      </c>
      <c r="D27">
        <v>1</v>
      </c>
    </row>
    <row r="28" spans="1:4" x14ac:dyDescent="0.2">
      <c r="A28" t="s">
        <v>453</v>
      </c>
      <c r="C28" s="357">
        <f>D28*Assumptions!$D$17</f>
        <v>54167.777777777774</v>
      </c>
      <c r="D28">
        <v>1</v>
      </c>
    </row>
    <row r="29" spans="1:4" x14ac:dyDescent="0.2">
      <c r="A29" t="s">
        <v>454</v>
      </c>
      <c r="C29" s="357">
        <f>D29*Assumptions!$D$17</f>
        <v>379174.44444444444</v>
      </c>
      <c r="D29">
        <v>7</v>
      </c>
    </row>
    <row r="30" spans="1:4" x14ac:dyDescent="0.2">
      <c r="A30" t="s">
        <v>72</v>
      </c>
      <c r="C30" s="357">
        <f>D30*Assumptions!$D$17</f>
        <v>108335.55555555555</v>
      </c>
      <c r="D30">
        <v>2</v>
      </c>
    </row>
    <row r="31" spans="1:4" x14ac:dyDescent="0.2">
      <c r="A31" t="s">
        <v>456</v>
      </c>
      <c r="C31" s="357">
        <f>SUM(C5:C30)</f>
        <v>17584287.496911194</v>
      </c>
    </row>
    <row r="32" spans="1:4" x14ac:dyDescent="0.2">
      <c r="A32" t="s">
        <v>85</v>
      </c>
      <c r="B32" s="358">
        <v>0.05</v>
      </c>
      <c r="C32" s="360">
        <f>C31*B32</f>
        <v>879214.37484555971</v>
      </c>
    </row>
    <row r="33" spans="1:6" x14ac:dyDescent="0.2">
      <c r="A33" t="s">
        <v>455</v>
      </c>
      <c r="B33" s="358">
        <v>0.1</v>
      </c>
      <c r="C33" s="359">
        <f>C31*B33</f>
        <v>1758428.7496911194</v>
      </c>
      <c r="E33" t="s">
        <v>7</v>
      </c>
      <c r="F33" t="s">
        <v>457</v>
      </c>
    </row>
    <row r="34" spans="1:6" x14ac:dyDescent="0.2">
      <c r="A34" t="s">
        <v>49</v>
      </c>
      <c r="C34" s="360">
        <f>C31+C32+C33</f>
        <v>20221930.621447876</v>
      </c>
      <c r="E34" s="351">
        <f>C34/Assumptions!D20</f>
        <v>190.66720402735891</v>
      </c>
      <c r="F34" s="351">
        <f>C34/Assumptions!F17</f>
        <v>414.80032453586341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1740-EC88-4074-A7A3-C8769B1430E6}">
  <dimension ref="B2:H53"/>
  <sheetViews>
    <sheetView showGridLines="0" topLeftCell="A8" zoomScale="156" zoomScaleNormal="80" workbookViewId="0">
      <selection activeCell="E25" sqref="E25"/>
    </sheetView>
  </sheetViews>
  <sheetFormatPr baseColWidth="10" defaultColWidth="8.83203125" defaultRowHeight="15" x14ac:dyDescent="0.2"/>
  <cols>
    <col min="1" max="1" width="3.33203125" customWidth="1"/>
    <col min="2" max="2" width="29.1640625" customWidth="1"/>
    <col min="5" max="5" width="12.6640625" customWidth="1"/>
    <col min="8" max="8" width="13.83203125" bestFit="1" customWidth="1"/>
  </cols>
  <sheetData>
    <row r="2" spans="2:5" x14ac:dyDescent="0.2">
      <c r="B2" s="385" t="s">
        <v>119</v>
      </c>
      <c r="C2" s="386"/>
      <c r="D2" s="386"/>
      <c r="E2" s="387"/>
    </row>
    <row r="3" spans="2:5" x14ac:dyDescent="0.2">
      <c r="B3" s="8" t="s">
        <v>120</v>
      </c>
      <c r="E3" s="84">
        <v>7000</v>
      </c>
    </row>
    <row r="4" spans="2:5" x14ac:dyDescent="0.2">
      <c r="B4" s="8" t="s">
        <v>121</v>
      </c>
      <c r="C4" s="66">
        <v>1.5E-3</v>
      </c>
      <c r="D4" t="s">
        <v>123</v>
      </c>
      <c r="E4" s="52">
        <f>C4*Assumptions!$F$9</f>
        <v>5250</v>
      </c>
    </row>
    <row r="5" spans="2:5" x14ac:dyDescent="0.2">
      <c r="B5" s="8" t="s">
        <v>297</v>
      </c>
      <c r="C5" s="66">
        <v>0.02</v>
      </c>
      <c r="D5" t="s">
        <v>123</v>
      </c>
      <c r="E5" s="52">
        <f>C5*Assumptions!$F$9</f>
        <v>70000</v>
      </c>
    </row>
    <row r="6" spans="2:5" x14ac:dyDescent="0.2">
      <c r="B6" s="8" t="s">
        <v>383</v>
      </c>
      <c r="C6" s="66">
        <v>0.01</v>
      </c>
      <c r="D6" t="s">
        <v>123</v>
      </c>
      <c r="E6" s="52">
        <f>C6*Assumptions!$F$9</f>
        <v>35000</v>
      </c>
    </row>
    <row r="7" spans="2:5" x14ac:dyDescent="0.2">
      <c r="B7" s="8" t="s">
        <v>122</v>
      </c>
      <c r="E7" s="84">
        <v>30000</v>
      </c>
    </row>
    <row r="8" spans="2:5" x14ac:dyDescent="0.2">
      <c r="B8" s="43" t="s">
        <v>49</v>
      </c>
      <c r="C8" s="44"/>
      <c r="D8" s="44"/>
      <c r="E8" s="53">
        <f>SUM(E3:E7)</f>
        <v>147250</v>
      </c>
    </row>
    <row r="9" spans="2:5" x14ac:dyDescent="0.2">
      <c r="E9" s="34"/>
    </row>
    <row r="10" spans="2:5" x14ac:dyDescent="0.2">
      <c r="B10" s="385" t="s">
        <v>124</v>
      </c>
      <c r="C10" s="386"/>
      <c r="D10" s="386"/>
      <c r="E10" s="387"/>
    </row>
    <row r="11" spans="2:5" x14ac:dyDescent="0.2">
      <c r="B11" s="8" t="s">
        <v>125</v>
      </c>
      <c r="C11" s="66">
        <v>0</v>
      </c>
      <c r="D11" t="s">
        <v>130</v>
      </c>
      <c r="E11" s="38">
        <f>C11*Assumptions!$Q$4</f>
        <v>0</v>
      </c>
    </row>
    <row r="12" spans="2:5" x14ac:dyDescent="0.2">
      <c r="B12" s="317" t="s">
        <v>126</v>
      </c>
      <c r="C12" s="314">
        <v>0</v>
      </c>
      <c r="D12" s="315" t="s">
        <v>130</v>
      </c>
      <c r="E12" s="316">
        <f>C12*Assumptions!$Q$4</f>
        <v>0</v>
      </c>
    </row>
    <row r="13" spans="2:5" x14ac:dyDescent="0.2">
      <c r="B13" s="317" t="s">
        <v>384</v>
      </c>
      <c r="C13" s="314">
        <v>0</v>
      </c>
      <c r="D13" s="315" t="s">
        <v>130</v>
      </c>
      <c r="E13" s="316">
        <f>C13*Assumptions!$Q$4</f>
        <v>0</v>
      </c>
    </row>
    <row r="14" spans="2:5" x14ac:dyDescent="0.2">
      <c r="B14" s="8" t="s">
        <v>121</v>
      </c>
      <c r="C14" s="66">
        <v>0</v>
      </c>
      <c r="D14" t="s">
        <v>130</v>
      </c>
      <c r="E14" s="38">
        <f>C14*Assumptions!$Q$4</f>
        <v>0</v>
      </c>
    </row>
    <row r="15" spans="2:5" x14ac:dyDescent="0.2">
      <c r="B15" s="8" t="s">
        <v>127</v>
      </c>
      <c r="E15" s="84">
        <v>0</v>
      </c>
    </row>
    <row r="16" spans="2:5" x14ac:dyDescent="0.2">
      <c r="B16" s="8" t="s">
        <v>128</v>
      </c>
      <c r="E16" s="84">
        <v>0</v>
      </c>
    </row>
    <row r="17" spans="2:5" x14ac:dyDescent="0.2">
      <c r="B17" s="8" t="s">
        <v>129</v>
      </c>
      <c r="E17" s="84">
        <v>0</v>
      </c>
    </row>
    <row r="18" spans="2:5" x14ac:dyDescent="0.2">
      <c r="B18" s="43" t="s">
        <v>49</v>
      </c>
      <c r="C18" s="44"/>
      <c r="D18" s="44"/>
      <c r="E18" s="53">
        <f>SUM(E11:E17)</f>
        <v>0</v>
      </c>
    </row>
    <row r="19" spans="2:5" x14ac:dyDescent="0.2">
      <c r="E19" s="34"/>
    </row>
    <row r="20" spans="2:5" x14ac:dyDescent="0.2">
      <c r="B20" s="385" t="s">
        <v>131</v>
      </c>
      <c r="C20" s="386"/>
      <c r="D20" s="386"/>
      <c r="E20" s="387"/>
    </row>
    <row r="21" spans="2:5" x14ac:dyDescent="0.2">
      <c r="B21" s="8" t="s">
        <v>125</v>
      </c>
      <c r="C21" s="66">
        <v>0.01</v>
      </c>
      <c r="D21" t="s">
        <v>130</v>
      </c>
      <c r="E21" s="38">
        <f ca="1">C21*Assumptions!$Q$11</f>
        <v>208881.00605792561</v>
      </c>
    </row>
    <row r="22" spans="2:5" x14ac:dyDescent="0.2">
      <c r="B22" s="317" t="s">
        <v>126</v>
      </c>
      <c r="C22" s="314">
        <v>0.01</v>
      </c>
      <c r="D22" s="315" t="s">
        <v>130</v>
      </c>
      <c r="E22" s="316">
        <f ca="1">C22*Assumptions!$Q$11</f>
        <v>208881.00605792561</v>
      </c>
    </row>
    <row r="23" spans="2:5" x14ac:dyDescent="0.2">
      <c r="B23" s="317" t="s">
        <v>384</v>
      </c>
      <c r="C23" s="314">
        <v>5.0000000000000001E-4</v>
      </c>
      <c r="D23" s="315" t="s">
        <v>130</v>
      </c>
      <c r="E23" s="316">
        <f ca="1">C23*Assumptions!$Q$11</f>
        <v>10444.050302896279</v>
      </c>
    </row>
    <row r="24" spans="2:5" x14ac:dyDescent="0.2">
      <c r="B24" s="8" t="s">
        <v>121</v>
      </c>
      <c r="C24" s="66">
        <v>1.5E-3</v>
      </c>
      <c r="D24" t="s">
        <v>130</v>
      </c>
      <c r="E24" s="38">
        <f ca="1">C24*Assumptions!$Q$11</f>
        <v>31332.15090868884</v>
      </c>
    </row>
    <row r="25" spans="2:5" x14ac:dyDescent="0.2">
      <c r="B25" s="8" t="s">
        <v>127</v>
      </c>
      <c r="E25" s="84">
        <v>25000</v>
      </c>
    </row>
    <row r="26" spans="2:5" x14ac:dyDescent="0.2">
      <c r="B26" s="8" t="s">
        <v>128</v>
      </c>
      <c r="E26" s="84">
        <v>25000</v>
      </c>
    </row>
    <row r="27" spans="2:5" x14ac:dyDescent="0.2">
      <c r="B27" s="8" t="s">
        <v>129</v>
      </c>
      <c r="E27" s="84">
        <v>25000</v>
      </c>
    </row>
    <row r="28" spans="2:5" x14ac:dyDescent="0.2">
      <c r="B28" s="43" t="s">
        <v>49</v>
      </c>
      <c r="C28" s="44"/>
      <c r="D28" s="44"/>
      <c r="E28" s="53">
        <f ca="1">SUM(E21:E27)</f>
        <v>534538.21332743636</v>
      </c>
    </row>
    <row r="29" spans="2:5" x14ac:dyDescent="0.2">
      <c r="E29" s="34"/>
    </row>
    <row r="30" spans="2:5" x14ac:dyDescent="0.2">
      <c r="B30" s="385" t="s">
        <v>264</v>
      </c>
      <c r="C30" s="386"/>
      <c r="D30" s="386"/>
      <c r="E30" s="387"/>
    </row>
    <row r="31" spans="2:5" x14ac:dyDescent="0.2">
      <c r="B31" s="8" t="s">
        <v>270</v>
      </c>
      <c r="C31" s="66">
        <v>0.01</v>
      </c>
      <c r="D31" t="s">
        <v>273</v>
      </c>
      <c r="E31" s="38">
        <f ca="1">C31*Assumptions!$Q$17</f>
        <v>0</v>
      </c>
    </row>
    <row r="32" spans="2:5" x14ac:dyDescent="0.2">
      <c r="B32" s="8" t="s">
        <v>271</v>
      </c>
      <c r="C32" s="66">
        <v>5.0000000000000001E-3</v>
      </c>
      <c r="D32" t="s">
        <v>273</v>
      </c>
      <c r="E32" s="38">
        <f ca="1">C32*Assumptions!$Q$17</f>
        <v>0</v>
      </c>
    </row>
    <row r="33" spans="2:8" x14ac:dyDescent="0.2">
      <c r="B33" s="8" t="s">
        <v>121</v>
      </c>
      <c r="C33" s="66">
        <v>5.4999999999999997E-3</v>
      </c>
      <c r="D33" t="s">
        <v>273</v>
      </c>
      <c r="E33" s="38">
        <f ca="1">C33*Assumptions!$Q$17</f>
        <v>0</v>
      </c>
    </row>
    <row r="34" spans="2:8" x14ac:dyDescent="0.2">
      <c r="B34" s="8" t="s">
        <v>128</v>
      </c>
      <c r="E34" s="84">
        <v>0</v>
      </c>
    </row>
    <row r="35" spans="2:8" x14ac:dyDescent="0.2">
      <c r="B35" s="8" t="s">
        <v>272</v>
      </c>
      <c r="E35" s="84">
        <v>0</v>
      </c>
    </row>
    <row r="36" spans="2:8" x14ac:dyDescent="0.2">
      <c r="B36" s="43" t="s">
        <v>49</v>
      </c>
      <c r="C36" s="44"/>
      <c r="D36" s="44"/>
      <c r="E36" s="53">
        <f ca="1">SUM(E31:E35)</f>
        <v>0</v>
      </c>
    </row>
    <row r="37" spans="2:8" x14ac:dyDescent="0.2">
      <c r="E37" s="34"/>
    </row>
    <row r="38" spans="2:8" x14ac:dyDescent="0.2">
      <c r="B38" s="385" t="s">
        <v>265</v>
      </c>
      <c r="C38" s="386"/>
      <c r="D38" s="386"/>
      <c r="E38" s="387"/>
    </row>
    <row r="39" spans="2:8" x14ac:dyDescent="0.2">
      <c r="B39" s="8" t="s">
        <v>266</v>
      </c>
      <c r="C39" s="66">
        <f>IF(Assumptions!$Q$33="Yes",'Closing Costs'!H39,0)</f>
        <v>0</v>
      </c>
      <c r="D39" t="s">
        <v>269</v>
      </c>
      <c r="E39" s="38">
        <f>IF(Assumptions!$Q$24="No",0,C39*Assumptions!$Q$25)</f>
        <v>0</v>
      </c>
      <c r="H39" s="72"/>
    </row>
    <row r="40" spans="2:8" x14ac:dyDescent="0.2">
      <c r="B40" s="8" t="s">
        <v>267</v>
      </c>
      <c r="C40" s="66">
        <v>5.0000000000000001E-3</v>
      </c>
      <c r="D40" t="s">
        <v>269</v>
      </c>
      <c r="E40" s="38">
        <f>IF(Assumptions!$Q$24="No",0,C40*Assumptions!$Q$25)</f>
        <v>0</v>
      </c>
      <c r="H40" s="72"/>
    </row>
    <row r="41" spans="2:8" x14ac:dyDescent="0.2">
      <c r="B41" s="8" t="s">
        <v>121</v>
      </c>
      <c r="C41" s="66">
        <v>5.4999999999999997E-3</v>
      </c>
      <c r="D41" t="s">
        <v>269</v>
      </c>
      <c r="E41" s="38">
        <f>IF(Assumptions!$Q$24="No",0,C41*Assumptions!$Q$25)</f>
        <v>0</v>
      </c>
      <c r="H41" s="72"/>
    </row>
    <row r="42" spans="2:8" x14ac:dyDescent="0.2">
      <c r="B42" s="8" t="s">
        <v>268</v>
      </c>
      <c r="E42" s="84">
        <v>0</v>
      </c>
      <c r="H42" s="37"/>
    </row>
    <row r="43" spans="2:8" x14ac:dyDescent="0.2">
      <c r="B43" s="8" t="s">
        <v>129</v>
      </c>
      <c r="E43" s="84">
        <v>0</v>
      </c>
    </row>
    <row r="44" spans="2:8" x14ac:dyDescent="0.2">
      <c r="B44" s="43" t="s">
        <v>49</v>
      </c>
      <c r="C44" s="44"/>
      <c r="D44" s="44"/>
      <c r="E44" s="53">
        <f>SUM(E39:E43)</f>
        <v>0</v>
      </c>
    </row>
    <row r="45" spans="2:8" x14ac:dyDescent="0.2">
      <c r="E45" s="34"/>
    </row>
    <row r="46" spans="2:8" x14ac:dyDescent="0.2">
      <c r="B46" s="43" t="s">
        <v>132</v>
      </c>
      <c r="C46" s="44"/>
      <c r="D46" s="44"/>
      <c r="E46" s="53">
        <f ca="1">E8+E18+E28+E36+E44</f>
        <v>681788.21332743636</v>
      </c>
    </row>
    <row r="47" spans="2:8" x14ac:dyDescent="0.2">
      <c r="E47" s="34"/>
    </row>
    <row r="48" spans="2:8" x14ac:dyDescent="0.2">
      <c r="B48" s="385" t="s">
        <v>274</v>
      </c>
      <c r="C48" s="386"/>
      <c r="D48" s="386"/>
      <c r="E48" s="387"/>
    </row>
    <row r="49" spans="2:5" x14ac:dyDescent="0.2">
      <c r="B49" s="8" t="s">
        <v>125</v>
      </c>
      <c r="C49" s="66">
        <v>0.01</v>
      </c>
      <c r="D49" t="s">
        <v>130</v>
      </c>
      <c r="E49" s="38">
        <f>C49*Assumptions!$Q$37</f>
        <v>0</v>
      </c>
    </row>
    <row r="50" spans="2:5" x14ac:dyDescent="0.2">
      <c r="B50" s="8" t="s">
        <v>275</v>
      </c>
      <c r="C50" s="66">
        <v>5.0000000000000001E-3</v>
      </c>
      <c r="D50" t="s">
        <v>130</v>
      </c>
      <c r="E50" s="38">
        <f>C50*Assumptions!$Q$37</f>
        <v>0</v>
      </c>
    </row>
    <row r="51" spans="2:5" x14ac:dyDescent="0.2">
      <c r="B51" s="8" t="s">
        <v>128</v>
      </c>
      <c r="E51" s="84">
        <v>0</v>
      </c>
    </row>
    <row r="52" spans="2:5" x14ac:dyDescent="0.2">
      <c r="B52" s="8" t="s">
        <v>129</v>
      </c>
      <c r="E52" s="84">
        <v>0</v>
      </c>
    </row>
    <row r="53" spans="2:5" x14ac:dyDescent="0.2">
      <c r="B53" s="43" t="s">
        <v>49</v>
      </c>
      <c r="C53" s="44"/>
      <c r="D53" s="44"/>
      <c r="E53" s="53">
        <f>SUM(E49:E52)</f>
        <v>0</v>
      </c>
    </row>
  </sheetData>
  <mergeCells count="6">
    <mergeCell ref="B48:E48"/>
    <mergeCell ref="B2:E2"/>
    <mergeCell ref="B10:E10"/>
    <mergeCell ref="B20:E20"/>
    <mergeCell ref="B30:E30"/>
    <mergeCell ref="B38:E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9C59-18EA-4217-8CD4-F79438D1223B}">
  <dimension ref="B2:E29"/>
  <sheetViews>
    <sheetView showGridLines="0" topLeftCell="A2" zoomScale="150" workbookViewId="0">
      <selection activeCell="F24" sqref="F24"/>
    </sheetView>
  </sheetViews>
  <sheetFormatPr baseColWidth="10" defaultColWidth="8.83203125" defaultRowHeight="15" x14ac:dyDescent="0.2"/>
  <cols>
    <col min="2" max="2" width="23.33203125" bestFit="1" customWidth="1"/>
    <col min="5" max="5" width="33.83203125" bestFit="1" customWidth="1"/>
  </cols>
  <sheetData>
    <row r="2" spans="2:5" x14ac:dyDescent="0.2">
      <c r="B2" s="318" t="s">
        <v>385</v>
      </c>
      <c r="C2" s="319"/>
      <c r="D2" s="319"/>
      <c r="E2" s="320"/>
    </row>
    <row r="3" spans="2:5" x14ac:dyDescent="0.2">
      <c r="B3" s="321" t="s">
        <v>386</v>
      </c>
      <c r="C3" s="322"/>
      <c r="D3" s="322"/>
      <c r="E3" s="323">
        <f>'Construction Costs'!E3</f>
        <v>3500000</v>
      </c>
    </row>
    <row r="4" spans="2:5" x14ac:dyDescent="0.2">
      <c r="B4" s="321" t="s">
        <v>11</v>
      </c>
      <c r="C4" s="324"/>
      <c r="D4" s="324"/>
      <c r="E4" s="323">
        <f>'Construction Costs'!E11</f>
        <v>19519500</v>
      </c>
    </row>
    <row r="5" spans="2:5" x14ac:dyDescent="0.2">
      <c r="B5" s="321" t="s">
        <v>12</v>
      </c>
      <c r="C5" s="322" t="s">
        <v>387</v>
      </c>
      <c r="D5" s="325" t="s">
        <v>388</v>
      </c>
      <c r="E5" s="323">
        <f ca="1">IF(D5="Y",'Construction Costs'!E36-E6-E7,0)</f>
        <v>4351405.0927197775</v>
      </c>
    </row>
    <row r="6" spans="2:5" x14ac:dyDescent="0.2">
      <c r="B6" s="321" t="s">
        <v>389</v>
      </c>
      <c r="C6" s="322" t="s">
        <v>387</v>
      </c>
      <c r="D6" s="325" t="s">
        <v>388</v>
      </c>
      <c r="E6" s="323">
        <f ca="1">IF(D5="Y",'Construction Costs'!E31+'Construction Costs'!E32,0)</f>
        <v>2131440.8350101397</v>
      </c>
    </row>
    <row r="7" spans="2:5" x14ac:dyDescent="0.2">
      <c r="B7" s="321" t="s">
        <v>390</v>
      </c>
      <c r="C7" s="322" t="s">
        <v>387</v>
      </c>
      <c r="D7" s="325" t="s">
        <v>388</v>
      </c>
      <c r="E7" s="323">
        <f ca="1">IF(D5="Y",'Construction Costs'!E29,0)</f>
        <v>681788.21332743636</v>
      </c>
    </row>
    <row r="8" spans="2:5" x14ac:dyDescent="0.2">
      <c r="B8" s="321"/>
      <c r="C8" s="322"/>
      <c r="D8" s="322"/>
      <c r="E8" s="326"/>
    </row>
    <row r="9" spans="2:5" x14ac:dyDescent="0.2">
      <c r="B9" s="321" t="s">
        <v>391</v>
      </c>
      <c r="C9" s="322"/>
      <c r="D9" s="322"/>
      <c r="E9" s="327">
        <v>0.7</v>
      </c>
    </row>
    <row r="10" spans="2:5" x14ac:dyDescent="0.2">
      <c r="B10" s="321"/>
      <c r="C10" s="322"/>
      <c r="D10" s="322"/>
      <c r="E10" s="326"/>
    </row>
    <row r="11" spans="2:5" x14ac:dyDescent="0.2">
      <c r="B11" s="328" t="s">
        <v>392</v>
      </c>
      <c r="C11" s="329"/>
      <c r="D11" s="329"/>
      <c r="E11" s="330">
        <f ca="1">SUM(E3:E7)*E9</f>
        <v>21128893.89874015</v>
      </c>
    </row>
    <row r="12" spans="2:5" x14ac:dyDescent="0.2">
      <c r="B12" s="321"/>
      <c r="C12" s="322"/>
      <c r="D12" s="322"/>
      <c r="E12" s="326"/>
    </row>
    <row r="13" spans="2:5" x14ac:dyDescent="0.2">
      <c r="B13" s="331" t="s">
        <v>393</v>
      </c>
      <c r="C13" s="322"/>
      <c r="D13" s="322"/>
      <c r="E13" s="332" t="s">
        <v>394</v>
      </c>
    </row>
    <row r="14" spans="2:5" ht="19" x14ac:dyDescent="0.2">
      <c r="B14" s="333" t="s">
        <v>395</v>
      </c>
      <c r="C14" s="322"/>
      <c r="D14" s="322"/>
      <c r="E14" s="345">
        <v>0.37584499999999998</v>
      </c>
    </row>
    <row r="15" spans="2:5" ht="19" x14ac:dyDescent="0.2">
      <c r="B15" s="333" t="s">
        <v>396</v>
      </c>
      <c r="C15" s="322"/>
      <c r="D15" s="322"/>
      <c r="E15" s="345">
        <v>0.52401699999999996</v>
      </c>
    </row>
    <row r="16" spans="2:5" ht="19" x14ac:dyDescent="0.2">
      <c r="B16" s="333" t="s">
        <v>397</v>
      </c>
      <c r="C16" s="322"/>
      <c r="D16" s="322"/>
      <c r="E16" s="345">
        <v>0.92520000000000002</v>
      </c>
    </row>
    <row r="17" spans="2:5" ht="19" x14ac:dyDescent="0.2">
      <c r="B17" s="333" t="s">
        <v>398</v>
      </c>
      <c r="C17" s="322"/>
      <c r="D17" s="322"/>
      <c r="E17" s="345">
        <v>0.118023</v>
      </c>
    </row>
    <row r="18" spans="2:5" ht="19" x14ac:dyDescent="0.2">
      <c r="B18" s="333" t="s">
        <v>399</v>
      </c>
      <c r="C18" s="322"/>
      <c r="D18" s="322"/>
      <c r="E18" s="345">
        <v>0.10340000000000001</v>
      </c>
    </row>
    <row r="19" spans="2:5" x14ac:dyDescent="0.2">
      <c r="B19" s="333" t="s">
        <v>400</v>
      </c>
      <c r="C19" s="322"/>
      <c r="D19" s="322"/>
      <c r="E19" s="334">
        <v>0</v>
      </c>
    </row>
    <row r="20" spans="2:5" x14ac:dyDescent="0.2">
      <c r="B20" s="333" t="s">
        <v>400</v>
      </c>
      <c r="C20" s="322"/>
      <c r="D20" s="322"/>
      <c r="E20" s="334">
        <v>0</v>
      </c>
    </row>
    <row r="21" spans="2:5" x14ac:dyDescent="0.2">
      <c r="B21" s="333" t="s">
        <v>401</v>
      </c>
      <c r="C21" s="322"/>
      <c r="D21" s="322"/>
      <c r="E21" s="334">
        <v>0</v>
      </c>
    </row>
    <row r="22" spans="2:5" x14ac:dyDescent="0.2">
      <c r="B22" s="333" t="s">
        <v>402</v>
      </c>
      <c r="C22" s="322"/>
      <c r="D22" s="322"/>
      <c r="E22" s="334">
        <v>0</v>
      </c>
    </row>
    <row r="23" spans="2:5" x14ac:dyDescent="0.2">
      <c r="B23" s="333" t="s">
        <v>403</v>
      </c>
      <c r="C23" s="322"/>
      <c r="D23" s="322"/>
      <c r="E23" s="334">
        <v>0</v>
      </c>
    </row>
    <row r="24" spans="2:5" x14ac:dyDescent="0.2">
      <c r="B24" s="333" t="s">
        <v>404</v>
      </c>
      <c r="C24" s="322"/>
      <c r="D24" s="322"/>
      <c r="E24" s="334">
        <v>0</v>
      </c>
    </row>
    <row r="25" spans="2:5" x14ac:dyDescent="0.2">
      <c r="B25" s="333" t="s">
        <v>405</v>
      </c>
      <c r="C25" s="322"/>
      <c r="D25" s="322"/>
      <c r="E25" s="334">
        <v>0</v>
      </c>
    </row>
    <row r="26" spans="2:5" x14ac:dyDescent="0.2">
      <c r="B26" s="328" t="s">
        <v>49</v>
      </c>
      <c r="C26" s="335"/>
      <c r="D26" s="335"/>
      <c r="E26" s="336">
        <f>SUM(E14:E25)</f>
        <v>2.0464850000000001</v>
      </c>
    </row>
    <row r="27" spans="2:5" x14ac:dyDescent="0.2">
      <c r="B27" s="321"/>
      <c r="C27" s="322"/>
      <c r="D27" s="322"/>
      <c r="E27" s="326"/>
    </row>
    <row r="28" spans="2:5" x14ac:dyDescent="0.2">
      <c r="B28" s="337" t="s">
        <v>406</v>
      </c>
      <c r="C28" s="338"/>
      <c r="D28" s="338"/>
      <c r="E28" s="339">
        <f ca="1">E11*E26/100</f>
        <v>432399.64430363238</v>
      </c>
    </row>
    <row r="29" spans="2:5" x14ac:dyDescent="0.2">
      <c r="E29" s="34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706E-FAE8-46E8-957A-4AD8F73C7C03}">
  <dimension ref="B2:ET448"/>
  <sheetViews>
    <sheetView showGridLines="0" zoomScale="180" zoomScaleNormal="80" workbookViewId="0">
      <pane xSplit="2" ySplit="6" topLeftCell="C8" activePane="bottomRight" state="frozen"/>
      <selection pane="topRight" activeCell="C1" sqref="C1"/>
      <selection pane="bottomLeft" activeCell="A6" sqref="A6"/>
      <selection pane="bottomRight" activeCell="AV44" sqref="AV44"/>
    </sheetView>
  </sheetViews>
  <sheetFormatPr baseColWidth="10" defaultColWidth="8.83203125" defaultRowHeight="15" x14ac:dyDescent="0.2"/>
  <cols>
    <col min="1" max="1" width="3.1640625" customWidth="1"/>
    <col min="2" max="2" width="50.1640625" bestFit="1" customWidth="1"/>
    <col min="3" max="3" width="4.33203125" customWidth="1"/>
    <col min="4" max="4" width="14.83203125" style="36" customWidth="1"/>
    <col min="5" max="5" width="4.33203125" customWidth="1"/>
    <col min="6" max="6" width="13.33203125" bestFit="1" customWidth="1"/>
    <col min="7" max="17" width="12.1640625" bestFit="1" customWidth="1"/>
    <col min="18" max="26" width="13.5" bestFit="1" customWidth="1"/>
    <col min="27" max="38" width="12.5" bestFit="1" customWidth="1"/>
    <col min="39" max="65" width="13.33203125" bestFit="1" customWidth="1"/>
    <col min="66" max="66" width="14.1640625" bestFit="1" customWidth="1"/>
    <col min="67" max="78" width="12.5" bestFit="1" customWidth="1"/>
    <col min="79" max="150" width="11.5" bestFit="1" customWidth="1"/>
  </cols>
  <sheetData>
    <row r="2" spans="2:150" x14ac:dyDescent="0.2">
      <c r="B2" s="102" t="s">
        <v>113</v>
      </c>
    </row>
    <row r="3" spans="2:150" x14ac:dyDescent="0.2">
      <c r="B3" t="s">
        <v>114</v>
      </c>
      <c r="D3" s="100" t="s">
        <v>49</v>
      </c>
      <c r="F3" s="2">
        <v>1</v>
      </c>
      <c r="G3" s="2">
        <f>F3+1</f>
        <v>2</v>
      </c>
      <c r="H3" s="2">
        <f t="shared" ref="H3:BL3" si="0">G3+1</f>
        <v>3</v>
      </c>
      <c r="I3" s="2">
        <f t="shared" si="0"/>
        <v>4</v>
      </c>
      <c r="J3" s="2">
        <f t="shared" si="0"/>
        <v>5</v>
      </c>
      <c r="K3" s="2">
        <f t="shared" si="0"/>
        <v>6</v>
      </c>
      <c r="L3" s="2">
        <f t="shared" si="0"/>
        <v>7</v>
      </c>
      <c r="M3" s="2">
        <f t="shared" si="0"/>
        <v>8</v>
      </c>
      <c r="N3" s="2">
        <f t="shared" si="0"/>
        <v>9</v>
      </c>
      <c r="O3" s="2">
        <f t="shared" si="0"/>
        <v>10</v>
      </c>
      <c r="P3" s="2">
        <f t="shared" si="0"/>
        <v>11</v>
      </c>
      <c r="Q3" s="2">
        <f t="shared" si="0"/>
        <v>12</v>
      </c>
      <c r="R3" s="2">
        <f t="shared" si="0"/>
        <v>13</v>
      </c>
      <c r="S3" s="2">
        <f t="shared" si="0"/>
        <v>14</v>
      </c>
      <c r="T3" s="2">
        <f t="shared" si="0"/>
        <v>15</v>
      </c>
      <c r="U3" s="2">
        <f t="shared" si="0"/>
        <v>16</v>
      </c>
      <c r="V3" s="2">
        <f t="shared" si="0"/>
        <v>17</v>
      </c>
      <c r="W3" s="2">
        <f t="shared" si="0"/>
        <v>18</v>
      </c>
      <c r="X3" s="2">
        <f t="shared" si="0"/>
        <v>19</v>
      </c>
      <c r="Y3" s="2">
        <f t="shared" si="0"/>
        <v>20</v>
      </c>
      <c r="Z3" s="2">
        <f t="shared" si="0"/>
        <v>21</v>
      </c>
      <c r="AA3" s="2">
        <f t="shared" si="0"/>
        <v>22</v>
      </c>
      <c r="AB3" s="2">
        <f t="shared" si="0"/>
        <v>23</v>
      </c>
      <c r="AC3" s="2">
        <f t="shared" si="0"/>
        <v>24</v>
      </c>
      <c r="AD3" s="2">
        <f t="shared" si="0"/>
        <v>25</v>
      </c>
      <c r="AE3" s="2">
        <f t="shared" si="0"/>
        <v>26</v>
      </c>
      <c r="AF3" s="2">
        <f t="shared" si="0"/>
        <v>27</v>
      </c>
      <c r="AG3" s="2">
        <f t="shared" si="0"/>
        <v>28</v>
      </c>
      <c r="AH3" s="2">
        <f t="shared" si="0"/>
        <v>29</v>
      </c>
      <c r="AI3" s="2">
        <f t="shared" si="0"/>
        <v>30</v>
      </c>
      <c r="AJ3" s="2">
        <f t="shared" si="0"/>
        <v>31</v>
      </c>
      <c r="AK3" s="2">
        <f t="shared" si="0"/>
        <v>32</v>
      </c>
      <c r="AL3" s="2">
        <f t="shared" si="0"/>
        <v>33</v>
      </c>
      <c r="AM3" s="2">
        <f t="shared" si="0"/>
        <v>34</v>
      </c>
      <c r="AN3" s="2">
        <f t="shared" si="0"/>
        <v>35</v>
      </c>
      <c r="AO3" s="2">
        <f t="shared" si="0"/>
        <v>36</v>
      </c>
      <c r="AP3" s="2">
        <f t="shared" si="0"/>
        <v>37</v>
      </c>
      <c r="AQ3" s="2">
        <f t="shared" si="0"/>
        <v>38</v>
      </c>
      <c r="AR3" s="2">
        <f t="shared" si="0"/>
        <v>39</v>
      </c>
      <c r="AS3" s="2">
        <f t="shared" si="0"/>
        <v>40</v>
      </c>
      <c r="AT3" s="2">
        <f t="shared" si="0"/>
        <v>41</v>
      </c>
      <c r="AU3" s="2">
        <f t="shared" si="0"/>
        <v>42</v>
      </c>
      <c r="AV3" s="2">
        <f t="shared" si="0"/>
        <v>43</v>
      </c>
      <c r="AW3" s="2">
        <f t="shared" si="0"/>
        <v>44</v>
      </c>
      <c r="AX3" s="2">
        <f t="shared" si="0"/>
        <v>45</v>
      </c>
      <c r="AY3" s="2">
        <f t="shared" si="0"/>
        <v>46</v>
      </c>
      <c r="AZ3" s="2">
        <f t="shared" si="0"/>
        <v>47</v>
      </c>
      <c r="BA3" s="2">
        <f t="shared" si="0"/>
        <v>48</v>
      </c>
      <c r="BB3" s="2">
        <f t="shared" si="0"/>
        <v>49</v>
      </c>
      <c r="BC3" s="2">
        <f t="shared" si="0"/>
        <v>50</v>
      </c>
      <c r="BD3" s="2">
        <f t="shared" si="0"/>
        <v>51</v>
      </c>
      <c r="BE3" s="2">
        <f t="shared" si="0"/>
        <v>52</v>
      </c>
      <c r="BF3" s="2">
        <f t="shared" si="0"/>
        <v>53</v>
      </c>
      <c r="BG3" s="2">
        <f t="shared" si="0"/>
        <v>54</v>
      </c>
      <c r="BH3" s="2">
        <f t="shared" si="0"/>
        <v>55</v>
      </c>
      <c r="BI3" s="2">
        <f t="shared" si="0"/>
        <v>56</v>
      </c>
      <c r="BJ3" s="2">
        <f t="shared" si="0"/>
        <v>57</v>
      </c>
      <c r="BK3" s="2">
        <f t="shared" si="0"/>
        <v>58</v>
      </c>
      <c r="BL3" s="2">
        <f t="shared" si="0"/>
        <v>59</v>
      </c>
      <c r="BM3" s="2">
        <f t="shared" ref="BM3:BZ3" si="1">BL3+1</f>
        <v>60</v>
      </c>
      <c r="BN3" s="2">
        <f t="shared" si="1"/>
        <v>61</v>
      </c>
      <c r="BO3" s="2">
        <f t="shared" si="1"/>
        <v>62</v>
      </c>
      <c r="BP3" s="2">
        <f t="shared" si="1"/>
        <v>63</v>
      </c>
      <c r="BQ3" s="2">
        <f t="shared" si="1"/>
        <v>64</v>
      </c>
      <c r="BR3" s="2">
        <f t="shared" si="1"/>
        <v>65</v>
      </c>
      <c r="BS3" s="2">
        <f t="shared" si="1"/>
        <v>66</v>
      </c>
      <c r="BT3" s="2">
        <f t="shared" si="1"/>
        <v>67</v>
      </c>
      <c r="BU3" s="2">
        <f t="shared" si="1"/>
        <v>68</v>
      </c>
      <c r="BV3" s="2">
        <f t="shared" si="1"/>
        <v>69</v>
      </c>
      <c r="BW3" s="2">
        <f t="shared" si="1"/>
        <v>70</v>
      </c>
      <c r="BX3" s="2">
        <f t="shared" si="1"/>
        <v>71</v>
      </c>
      <c r="BY3" s="2">
        <f t="shared" si="1"/>
        <v>72</v>
      </c>
      <c r="BZ3" s="2">
        <f t="shared" si="1"/>
        <v>73</v>
      </c>
      <c r="CA3" s="2">
        <f t="shared" ref="CA3" si="2">BZ3+1</f>
        <v>74</v>
      </c>
      <c r="CB3" s="2">
        <f t="shared" ref="CB3" si="3">CA3+1</f>
        <v>75</v>
      </c>
      <c r="CC3" s="2">
        <f t="shared" ref="CC3" si="4">CB3+1</f>
        <v>76</v>
      </c>
      <c r="CD3" s="2">
        <f t="shared" ref="CD3" si="5">CC3+1</f>
        <v>77</v>
      </c>
      <c r="CE3" s="2">
        <f t="shared" ref="CE3" si="6">CD3+1</f>
        <v>78</v>
      </c>
      <c r="CF3" s="2">
        <f t="shared" ref="CF3" si="7">CE3+1</f>
        <v>79</v>
      </c>
      <c r="CG3" s="2">
        <f t="shared" ref="CG3" si="8">CF3+1</f>
        <v>80</v>
      </c>
      <c r="CH3" s="2">
        <f t="shared" ref="CH3" si="9">CG3+1</f>
        <v>81</v>
      </c>
      <c r="CI3" s="2">
        <f t="shared" ref="CI3" si="10">CH3+1</f>
        <v>82</v>
      </c>
      <c r="CJ3" s="2">
        <f t="shared" ref="CJ3" si="11">CI3+1</f>
        <v>83</v>
      </c>
      <c r="CK3" s="2">
        <f t="shared" ref="CK3" si="12">CJ3+1</f>
        <v>84</v>
      </c>
      <c r="CL3" s="2">
        <f t="shared" ref="CL3" si="13">CK3+1</f>
        <v>85</v>
      </c>
      <c r="CM3" s="2">
        <f t="shared" ref="CM3" si="14">CL3+1</f>
        <v>86</v>
      </c>
      <c r="CN3" s="2">
        <f t="shared" ref="CN3" si="15">CM3+1</f>
        <v>87</v>
      </c>
      <c r="CO3" s="2">
        <f t="shared" ref="CO3" si="16">CN3+1</f>
        <v>88</v>
      </c>
      <c r="CP3" s="2">
        <f t="shared" ref="CP3" si="17">CO3+1</f>
        <v>89</v>
      </c>
      <c r="CQ3" s="2">
        <f t="shared" ref="CQ3" si="18">CP3+1</f>
        <v>90</v>
      </c>
      <c r="CR3" s="2">
        <f t="shared" ref="CR3" si="19">CQ3+1</f>
        <v>91</v>
      </c>
      <c r="CS3" s="2">
        <f t="shared" ref="CS3" si="20">CR3+1</f>
        <v>92</v>
      </c>
      <c r="CT3" s="2">
        <f t="shared" ref="CT3" si="21">CS3+1</f>
        <v>93</v>
      </c>
      <c r="CU3" s="2">
        <f t="shared" ref="CU3" si="22">CT3+1</f>
        <v>94</v>
      </c>
      <c r="CV3" s="2">
        <f t="shared" ref="CV3" si="23">CU3+1</f>
        <v>95</v>
      </c>
      <c r="CW3" s="2">
        <f t="shared" ref="CW3" si="24">CV3+1</f>
        <v>96</v>
      </c>
      <c r="CX3" s="2">
        <f t="shared" ref="CX3" si="25">CW3+1</f>
        <v>97</v>
      </c>
      <c r="CY3" s="2">
        <f t="shared" ref="CY3" si="26">CX3+1</f>
        <v>98</v>
      </c>
      <c r="CZ3" s="2">
        <f t="shared" ref="CZ3" si="27">CY3+1</f>
        <v>99</v>
      </c>
      <c r="DA3" s="2">
        <f t="shared" ref="DA3" si="28">CZ3+1</f>
        <v>100</v>
      </c>
      <c r="DB3" s="2">
        <f t="shared" ref="DB3" si="29">DA3+1</f>
        <v>101</v>
      </c>
      <c r="DC3" s="2">
        <f t="shared" ref="DC3" si="30">DB3+1</f>
        <v>102</v>
      </c>
      <c r="DD3" s="2">
        <f t="shared" ref="DD3" si="31">DC3+1</f>
        <v>103</v>
      </c>
      <c r="DE3" s="2">
        <f t="shared" ref="DE3" si="32">DD3+1</f>
        <v>104</v>
      </c>
      <c r="DF3" s="2">
        <f t="shared" ref="DF3" si="33">DE3+1</f>
        <v>105</v>
      </c>
      <c r="DG3" s="2">
        <f t="shared" ref="DG3" si="34">DF3+1</f>
        <v>106</v>
      </c>
      <c r="DH3" s="2">
        <f t="shared" ref="DH3" si="35">DG3+1</f>
        <v>107</v>
      </c>
      <c r="DI3" s="2">
        <f t="shared" ref="DI3" si="36">DH3+1</f>
        <v>108</v>
      </c>
      <c r="DJ3" s="2">
        <f t="shared" ref="DJ3" si="37">DI3+1</f>
        <v>109</v>
      </c>
      <c r="DK3" s="2">
        <f t="shared" ref="DK3" si="38">DJ3+1</f>
        <v>110</v>
      </c>
      <c r="DL3" s="2">
        <f t="shared" ref="DL3" si="39">DK3+1</f>
        <v>111</v>
      </c>
      <c r="DM3" s="2">
        <f t="shared" ref="DM3" si="40">DL3+1</f>
        <v>112</v>
      </c>
      <c r="DN3" s="2">
        <f t="shared" ref="DN3" si="41">DM3+1</f>
        <v>113</v>
      </c>
      <c r="DO3" s="2">
        <f t="shared" ref="DO3" si="42">DN3+1</f>
        <v>114</v>
      </c>
      <c r="DP3" s="2">
        <f t="shared" ref="DP3" si="43">DO3+1</f>
        <v>115</v>
      </c>
      <c r="DQ3" s="2">
        <f t="shared" ref="DQ3" si="44">DP3+1</f>
        <v>116</v>
      </c>
      <c r="DR3" s="2">
        <f t="shared" ref="DR3" si="45">DQ3+1</f>
        <v>117</v>
      </c>
      <c r="DS3" s="2">
        <f t="shared" ref="DS3" si="46">DR3+1</f>
        <v>118</v>
      </c>
      <c r="DT3" s="2">
        <f t="shared" ref="DT3" si="47">DS3+1</f>
        <v>119</v>
      </c>
      <c r="DU3" s="2">
        <f t="shared" ref="DU3" si="48">DT3+1</f>
        <v>120</v>
      </c>
      <c r="DV3" s="2">
        <f t="shared" ref="DV3" si="49">DU3+1</f>
        <v>121</v>
      </c>
      <c r="DW3" s="2">
        <f t="shared" ref="DW3" si="50">DV3+1</f>
        <v>122</v>
      </c>
      <c r="DX3" s="2">
        <f t="shared" ref="DX3" si="51">DW3+1</f>
        <v>123</v>
      </c>
      <c r="DY3" s="2">
        <f t="shared" ref="DY3" si="52">DX3+1</f>
        <v>124</v>
      </c>
      <c r="DZ3" s="2">
        <f t="shared" ref="DZ3" si="53">DY3+1</f>
        <v>125</v>
      </c>
      <c r="EA3" s="2">
        <f t="shared" ref="EA3" si="54">DZ3+1</f>
        <v>126</v>
      </c>
      <c r="EB3" s="2">
        <f t="shared" ref="EB3" si="55">EA3+1</f>
        <v>127</v>
      </c>
      <c r="EC3" s="2">
        <f t="shared" ref="EC3" si="56">EB3+1</f>
        <v>128</v>
      </c>
      <c r="ED3" s="2">
        <f t="shared" ref="ED3" si="57">EC3+1</f>
        <v>129</v>
      </c>
      <c r="EE3" s="2">
        <f t="shared" ref="EE3" si="58">ED3+1</f>
        <v>130</v>
      </c>
      <c r="EF3" s="2">
        <f t="shared" ref="EF3" si="59">EE3+1</f>
        <v>131</v>
      </c>
      <c r="EG3" s="2">
        <f t="shared" ref="EG3" si="60">EF3+1</f>
        <v>132</v>
      </c>
      <c r="EH3" s="2">
        <f t="shared" ref="EH3" si="61">EG3+1</f>
        <v>133</v>
      </c>
      <c r="EI3" s="2">
        <f t="shared" ref="EI3" si="62">EH3+1</f>
        <v>134</v>
      </c>
      <c r="EJ3" s="2">
        <f t="shared" ref="EJ3" si="63">EI3+1</f>
        <v>135</v>
      </c>
      <c r="EK3" s="2">
        <f t="shared" ref="EK3" si="64">EJ3+1</f>
        <v>136</v>
      </c>
      <c r="EL3" s="2">
        <f t="shared" ref="EL3" si="65">EK3+1</f>
        <v>137</v>
      </c>
      <c r="EM3" s="2">
        <f t="shared" ref="EM3" si="66">EL3+1</f>
        <v>138</v>
      </c>
      <c r="EN3" s="2">
        <f t="shared" ref="EN3" si="67">EM3+1</f>
        <v>139</v>
      </c>
      <c r="EO3" s="2">
        <f t="shared" ref="EO3" si="68">EN3+1</f>
        <v>140</v>
      </c>
      <c r="EP3" s="2">
        <f t="shared" ref="EP3" si="69">EO3+1</f>
        <v>141</v>
      </c>
      <c r="EQ3" s="2">
        <f t="shared" ref="EQ3" si="70">EP3+1</f>
        <v>142</v>
      </c>
      <c r="ER3" s="2">
        <f t="shared" ref="ER3" si="71">EQ3+1</f>
        <v>143</v>
      </c>
      <c r="ES3" s="2">
        <f t="shared" ref="ES3" si="72">ER3+1</f>
        <v>144</v>
      </c>
      <c r="ET3" s="2">
        <f t="shared" ref="ET3" si="73">ES3+1</f>
        <v>145</v>
      </c>
    </row>
    <row r="4" spans="2:150" x14ac:dyDescent="0.2">
      <c r="B4" t="s">
        <v>115</v>
      </c>
      <c r="F4" s="1">
        <f>ROUNDUP(F3/12,0)</f>
        <v>1</v>
      </c>
      <c r="G4" s="1">
        <f t="shared" ref="G4:AV4" si="74">ROUNDUP(G3/12,0)</f>
        <v>1</v>
      </c>
      <c r="H4" s="1">
        <f t="shared" si="74"/>
        <v>1</v>
      </c>
      <c r="I4" s="1">
        <f t="shared" si="74"/>
        <v>1</v>
      </c>
      <c r="J4" s="1">
        <f t="shared" si="74"/>
        <v>1</v>
      </c>
      <c r="K4" s="1">
        <f t="shared" si="74"/>
        <v>1</v>
      </c>
      <c r="L4" s="1">
        <f t="shared" si="74"/>
        <v>1</v>
      </c>
      <c r="M4" s="1">
        <f t="shared" si="74"/>
        <v>1</v>
      </c>
      <c r="N4" s="1">
        <f t="shared" si="74"/>
        <v>1</v>
      </c>
      <c r="O4" s="1">
        <f t="shared" si="74"/>
        <v>1</v>
      </c>
      <c r="P4" s="1">
        <f t="shared" si="74"/>
        <v>1</v>
      </c>
      <c r="Q4" s="1">
        <f t="shared" si="74"/>
        <v>1</v>
      </c>
      <c r="R4" s="1">
        <f t="shared" si="74"/>
        <v>2</v>
      </c>
      <c r="S4" s="1">
        <f t="shared" si="74"/>
        <v>2</v>
      </c>
      <c r="T4" s="1">
        <f t="shared" si="74"/>
        <v>2</v>
      </c>
      <c r="U4" s="1">
        <f t="shared" si="74"/>
        <v>2</v>
      </c>
      <c r="V4" s="1">
        <f t="shared" si="74"/>
        <v>2</v>
      </c>
      <c r="W4" s="1">
        <f t="shared" si="74"/>
        <v>2</v>
      </c>
      <c r="X4" s="1">
        <f t="shared" si="74"/>
        <v>2</v>
      </c>
      <c r="Y4" s="1">
        <f t="shared" si="74"/>
        <v>2</v>
      </c>
      <c r="Z4" s="1">
        <f t="shared" si="74"/>
        <v>2</v>
      </c>
      <c r="AA4" s="1">
        <f t="shared" si="74"/>
        <v>2</v>
      </c>
      <c r="AB4" s="1">
        <f t="shared" si="74"/>
        <v>2</v>
      </c>
      <c r="AC4" s="1">
        <f t="shared" si="74"/>
        <v>2</v>
      </c>
      <c r="AD4" s="1">
        <f t="shared" si="74"/>
        <v>3</v>
      </c>
      <c r="AE4" s="1">
        <f t="shared" si="74"/>
        <v>3</v>
      </c>
      <c r="AF4" s="1">
        <f t="shared" si="74"/>
        <v>3</v>
      </c>
      <c r="AG4" s="1">
        <f t="shared" si="74"/>
        <v>3</v>
      </c>
      <c r="AH4" s="1">
        <f t="shared" si="74"/>
        <v>3</v>
      </c>
      <c r="AI4" s="1">
        <f t="shared" si="74"/>
        <v>3</v>
      </c>
      <c r="AJ4" s="1">
        <f t="shared" si="74"/>
        <v>3</v>
      </c>
      <c r="AK4" s="1">
        <f t="shared" si="74"/>
        <v>3</v>
      </c>
      <c r="AL4" s="1">
        <f t="shared" si="74"/>
        <v>3</v>
      </c>
      <c r="AM4" s="1">
        <f t="shared" si="74"/>
        <v>3</v>
      </c>
      <c r="AN4" s="1">
        <f t="shared" si="74"/>
        <v>3</v>
      </c>
      <c r="AO4" s="1">
        <f t="shared" si="74"/>
        <v>3</v>
      </c>
      <c r="AP4" s="1">
        <f t="shared" si="74"/>
        <v>4</v>
      </c>
      <c r="AQ4" s="1">
        <f t="shared" si="74"/>
        <v>4</v>
      </c>
      <c r="AR4" s="1">
        <f t="shared" si="74"/>
        <v>4</v>
      </c>
      <c r="AS4" s="1">
        <f t="shared" si="74"/>
        <v>4</v>
      </c>
      <c r="AT4" s="1">
        <f t="shared" si="74"/>
        <v>4</v>
      </c>
      <c r="AU4" s="1">
        <f t="shared" si="74"/>
        <v>4</v>
      </c>
      <c r="AV4" s="1">
        <f t="shared" si="74"/>
        <v>4</v>
      </c>
      <c r="AW4" s="1">
        <f t="shared" ref="AW4" si="75">ROUNDUP(AW3/12,0)</f>
        <v>4</v>
      </c>
      <c r="AX4" s="1">
        <f t="shared" ref="AX4" si="76">ROUNDUP(AX3/12,0)</f>
        <v>4</v>
      </c>
      <c r="AY4" s="1">
        <f t="shared" ref="AY4" si="77">ROUNDUP(AY3/12,0)</f>
        <v>4</v>
      </c>
      <c r="AZ4" s="1">
        <f t="shared" ref="AZ4" si="78">ROUNDUP(AZ3/12,0)</f>
        <v>4</v>
      </c>
      <c r="BA4" s="1">
        <f t="shared" ref="BA4" si="79">ROUNDUP(BA3/12,0)</f>
        <v>4</v>
      </c>
      <c r="BB4" s="1">
        <f t="shared" ref="BB4" si="80">ROUNDUP(BB3/12,0)</f>
        <v>5</v>
      </c>
      <c r="BC4" s="1">
        <f t="shared" ref="BC4" si="81">ROUNDUP(BC3/12,0)</f>
        <v>5</v>
      </c>
      <c r="BD4" s="1">
        <f t="shared" ref="BD4" si="82">ROUNDUP(BD3/12,0)</f>
        <v>5</v>
      </c>
      <c r="BE4" s="1">
        <f t="shared" ref="BE4" si="83">ROUNDUP(BE3/12,0)</f>
        <v>5</v>
      </c>
      <c r="BF4" s="1">
        <f t="shared" ref="BF4" si="84">ROUNDUP(BF3/12,0)</f>
        <v>5</v>
      </c>
      <c r="BG4" s="1">
        <f t="shared" ref="BG4" si="85">ROUNDUP(BG3/12,0)</f>
        <v>5</v>
      </c>
      <c r="BH4" s="1">
        <f t="shared" ref="BH4" si="86">ROUNDUP(BH3/12,0)</f>
        <v>5</v>
      </c>
      <c r="BI4" s="1">
        <f t="shared" ref="BI4" si="87">ROUNDUP(BI3/12,0)</f>
        <v>5</v>
      </c>
      <c r="BJ4" s="1">
        <f t="shared" ref="BJ4" si="88">ROUNDUP(BJ3/12,0)</f>
        <v>5</v>
      </c>
      <c r="BK4" s="1">
        <f t="shared" ref="BK4" si="89">ROUNDUP(BK3/12,0)</f>
        <v>5</v>
      </c>
      <c r="BL4" s="1">
        <f t="shared" ref="BL4" si="90">ROUNDUP(BL3/12,0)</f>
        <v>5</v>
      </c>
      <c r="BM4" s="1">
        <f t="shared" ref="BM4" si="91">ROUNDUP(BM3/12,0)</f>
        <v>5</v>
      </c>
      <c r="BN4" s="1">
        <f t="shared" ref="BN4" si="92">ROUNDUP(BN3/12,0)</f>
        <v>6</v>
      </c>
      <c r="BO4" s="1">
        <f t="shared" ref="BO4" si="93">ROUNDUP(BO3/12,0)</f>
        <v>6</v>
      </c>
      <c r="BP4" s="1">
        <f t="shared" ref="BP4" si="94">ROUNDUP(BP3/12,0)</f>
        <v>6</v>
      </c>
      <c r="BQ4" s="1">
        <f t="shared" ref="BQ4" si="95">ROUNDUP(BQ3/12,0)</f>
        <v>6</v>
      </c>
      <c r="BR4" s="1">
        <f t="shared" ref="BR4" si="96">ROUNDUP(BR3/12,0)</f>
        <v>6</v>
      </c>
      <c r="BS4" s="1">
        <f t="shared" ref="BS4" si="97">ROUNDUP(BS3/12,0)</f>
        <v>6</v>
      </c>
      <c r="BT4" s="1">
        <f t="shared" ref="BT4" si="98">ROUNDUP(BT3/12,0)</f>
        <v>6</v>
      </c>
      <c r="BU4" s="1">
        <f t="shared" ref="BU4" si="99">ROUNDUP(BU3/12,0)</f>
        <v>6</v>
      </c>
      <c r="BV4" s="1">
        <f t="shared" ref="BV4" si="100">ROUNDUP(BV3/12,0)</f>
        <v>6</v>
      </c>
      <c r="BW4" s="1">
        <f t="shared" ref="BW4" si="101">ROUNDUP(BW3/12,0)</f>
        <v>6</v>
      </c>
      <c r="BX4" s="1">
        <f t="shared" ref="BX4" si="102">ROUNDUP(BX3/12,0)</f>
        <v>6</v>
      </c>
      <c r="BY4" s="1">
        <f t="shared" ref="BY4" si="103">ROUNDUP(BY3/12,0)</f>
        <v>6</v>
      </c>
      <c r="BZ4" s="1">
        <f t="shared" ref="BZ4:EK4" si="104">ROUNDUP(BZ3/12,0)</f>
        <v>7</v>
      </c>
      <c r="CA4" s="1">
        <f t="shared" si="104"/>
        <v>7</v>
      </c>
      <c r="CB4" s="1">
        <f t="shared" si="104"/>
        <v>7</v>
      </c>
      <c r="CC4" s="1">
        <f t="shared" si="104"/>
        <v>7</v>
      </c>
      <c r="CD4" s="1">
        <f t="shared" si="104"/>
        <v>7</v>
      </c>
      <c r="CE4" s="1">
        <f t="shared" si="104"/>
        <v>7</v>
      </c>
      <c r="CF4" s="1">
        <f t="shared" si="104"/>
        <v>7</v>
      </c>
      <c r="CG4" s="1">
        <f t="shared" si="104"/>
        <v>7</v>
      </c>
      <c r="CH4" s="1">
        <f t="shared" si="104"/>
        <v>7</v>
      </c>
      <c r="CI4" s="1">
        <f t="shared" si="104"/>
        <v>7</v>
      </c>
      <c r="CJ4" s="1">
        <f t="shared" si="104"/>
        <v>7</v>
      </c>
      <c r="CK4" s="1">
        <f t="shared" si="104"/>
        <v>7</v>
      </c>
      <c r="CL4" s="1">
        <f t="shared" si="104"/>
        <v>8</v>
      </c>
      <c r="CM4" s="1">
        <f t="shared" si="104"/>
        <v>8</v>
      </c>
      <c r="CN4" s="1">
        <f t="shared" si="104"/>
        <v>8</v>
      </c>
      <c r="CO4" s="1">
        <f t="shared" si="104"/>
        <v>8</v>
      </c>
      <c r="CP4" s="1">
        <f t="shared" si="104"/>
        <v>8</v>
      </c>
      <c r="CQ4" s="1">
        <f t="shared" si="104"/>
        <v>8</v>
      </c>
      <c r="CR4" s="1">
        <f t="shared" si="104"/>
        <v>8</v>
      </c>
      <c r="CS4" s="1">
        <f t="shared" si="104"/>
        <v>8</v>
      </c>
      <c r="CT4" s="1">
        <f t="shared" si="104"/>
        <v>8</v>
      </c>
      <c r="CU4" s="1">
        <f t="shared" si="104"/>
        <v>8</v>
      </c>
      <c r="CV4" s="1">
        <f t="shared" si="104"/>
        <v>8</v>
      </c>
      <c r="CW4" s="1">
        <f t="shared" si="104"/>
        <v>8</v>
      </c>
      <c r="CX4" s="1">
        <f t="shared" si="104"/>
        <v>9</v>
      </c>
      <c r="CY4" s="1">
        <f t="shared" si="104"/>
        <v>9</v>
      </c>
      <c r="CZ4" s="1">
        <f t="shared" si="104"/>
        <v>9</v>
      </c>
      <c r="DA4" s="1">
        <f t="shared" si="104"/>
        <v>9</v>
      </c>
      <c r="DB4" s="1">
        <f t="shared" si="104"/>
        <v>9</v>
      </c>
      <c r="DC4" s="1">
        <f t="shared" si="104"/>
        <v>9</v>
      </c>
      <c r="DD4" s="1">
        <f t="shared" si="104"/>
        <v>9</v>
      </c>
      <c r="DE4" s="1">
        <f t="shared" si="104"/>
        <v>9</v>
      </c>
      <c r="DF4" s="1">
        <f t="shared" si="104"/>
        <v>9</v>
      </c>
      <c r="DG4" s="1">
        <f t="shared" si="104"/>
        <v>9</v>
      </c>
      <c r="DH4" s="1">
        <f t="shared" si="104"/>
        <v>9</v>
      </c>
      <c r="DI4" s="1">
        <f t="shared" si="104"/>
        <v>9</v>
      </c>
      <c r="DJ4" s="1">
        <f t="shared" si="104"/>
        <v>10</v>
      </c>
      <c r="DK4" s="1">
        <f t="shared" si="104"/>
        <v>10</v>
      </c>
      <c r="DL4" s="1">
        <f t="shared" si="104"/>
        <v>10</v>
      </c>
      <c r="DM4" s="1">
        <f t="shared" si="104"/>
        <v>10</v>
      </c>
      <c r="DN4" s="1">
        <f t="shared" si="104"/>
        <v>10</v>
      </c>
      <c r="DO4" s="1">
        <f t="shared" si="104"/>
        <v>10</v>
      </c>
      <c r="DP4" s="1">
        <f t="shared" si="104"/>
        <v>10</v>
      </c>
      <c r="DQ4" s="1">
        <f t="shared" si="104"/>
        <v>10</v>
      </c>
      <c r="DR4" s="1">
        <f t="shared" si="104"/>
        <v>10</v>
      </c>
      <c r="DS4" s="1">
        <f t="shared" si="104"/>
        <v>10</v>
      </c>
      <c r="DT4" s="1">
        <f t="shared" si="104"/>
        <v>10</v>
      </c>
      <c r="DU4" s="1">
        <f t="shared" si="104"/>
        <v>10</v>
      </c>
      <c r="DV4" s="1">
        <f t="shared" si="104"/>
        <v>11</v>
      </c>
      <c r="DW4" s="1">
        <f t="shared" si="104"/>
        <v>11</v>
      </c>
      <c r="DX4" s="1">
        <f t="shared" si="104"/>
        <v>11</v>
      </c>
      <c r="DY4" s="1">
        <f t="shared" si="104"/>
        <v>11</v>
      </c>
      <c r="DZ4" s="1">
        <f t="shared" si="104"/>
        <v>11</v>
      </c>
      <c r="EA4" s="1">
        <f t="shared" si="104"/>
        <v>11</v>
      </c>
      <c r="EB4" s="1">
        <f t="shared" si="104"/>
        <v>11</v>
      </c>
      <c r="EC4" s="1">
        <f t="shared" si="104"/>
        <v>11</v>
      </c>
      <c r="ED4" s="1">
        <f t="shared" si="104"/>
        <v>11</v>
      </c>
      <c r="EE4" s="1">
        <f t="shared" si="104"/>
        <v>11</v>
      </c>
      <c r="EF4" s="1">
        <f t="shared" si="104"/>
        <v>11</v>
      </c>
      <c r="EG4" s="1">
        <f t="shared" si="104"/>
        <v>11</v>
      </c>
      <c r="EH4" s="1">
        <f t="shared" si="104"/>
        <v>12</v>
      </c>
      <c r="EI4" s="1">
        <f t="shared" si="104"/>
        <v>12</v>
      </c>
      <c r="EJ4" s="1">
        <f t="shared" si="104"/>
        <v>12</v>
      </c>
      <c r="EK4" s="1">
        <f t="shared" si="104"/>
        <v>12</v>
      </c>
      <c r="EL4" s="1">
        <f t="shared" ref="EL4:ET4" si="105">ROUNDUP(EL3/12,0)</f>
        <v>12</v>
      </c>
      <c r="EM4" s="1">
        <f t="shared" si="105"/>
        <v>12</v>
      </c>
      <c r="EN4" s="1">
        <f t="shared" si="105"/>
        <v>12</v>
      </c>
      <c r="EO4" s="1">
        <f t="shared" si="105"/>
        <v>12</v>
      </c>
      <c r="EP4" s="1">
        <f t="shared" si="105"/>
        <v>12</v>
      </c>
      <c r="EQ4" s="1">
        <f t="shared" si="105"/>
        <v>12</v>
      </c>
      <c r="ER4" s="1">
        <f t="shared" si="105"/>
        <v>12</v>
      </c>
      <c r="ES4" s="1">
        <f t="shared" si="105"/>
        <v>12</v>
      </c>
      <c r="ET4" s="1">
        <f t="shared" si="105"/>
        <v>13</v>
      </c>
    </row>
    <row r="5" spans="2:150" x14ac:dyDescent="0.2">
      <c r="B5" t="s">
        <v>196</v>
      </c>
      <c r="F5" s="1">
        <f>IF(F6&gt;=Assumptions!$F$38,ROUNDUP(YEARFRAC(Assumptions!$F$38-1,'Draw Schedule'!F6),0),0)</f>
        <v>0</v>
      </c>
      <c r="G5" s="1">
        <f>IF(G6&gt;=Assumptions!$F$38,ROUNDUP(YEARFRAC(Assumptions!$F$38-1,'Draw Schedule'!G6),0),0)</f>
        <v>0</v>
      </c>
      <c r="H5" s="1">
        <f>IF(H6&gt;=Assumptions!$F$38,ROUNDUP(YEARFRAC(Assumptions!$F$38-1,'Draw Schedule'!H6),0),0)</f>
        <v>0</v>
      </c>
      <c r="I5" s="1">
        <f>IF(I6&gt;=Assumptions!$F$38,ROUNDUP(YEARFRAC(Assumptions!$F$38-1,'Draw Schedule'!I6),0),0)</f>
        <v>0</v>
      </c>
      <c r="J5" s="1">
        <f>IF(J6&gt;=Assumptions!$F$38,ROUNDUP(YEARFRAC(Assumptions!$F$38-1,'Draw Schedule'!J6),0),0)</f>
        <v>0</v>
      </c>
      <c r="K5" s="1">
        <f>IF(K6&gt;=Assumptions!$F$38,ROUNDUP(YEARFRAC(Assumptions!$F$38-1,'Draw Schedule'!K6),0),0)</f>
        <v>0</v>
      </c>
      <c r="L5" s="1">
        <f>IF(L6&gt;=Assumptions!$F$38,ROUNDUP(YEARFRAC(Assumptions!$F$38-1,'Draw Schedule'!L6),0),0)</f>
        <v>0</v>
      </c>
      <c r="M5" s="1">
        <f>IF(M6&gt;=Assumptions!$F$38,ROUNDUP(YEARFRAC(Assumptions!$F$38-1,'Draw Schedule'!M6),0),0)</f>
        <v>0</v>
      </c>
      <c r="N5" s="1">
        <f>IF(N6&gt;=Assumptions!$F$38,ROUNDUP(YEARFRAC(Assumptions!$F$38-1,'Draw Schedule'!N6),0),0)</f>
        <v>0</v>
      </c>
      <c r="O5" s="1">
        <f>IF(O6&gt;=Assumptions!$F$38,ROUNDUP(YEARFRAC(Assumptions!$F$38-1,'Draw Schedule'!O6),0),0)</f>
        <v>0</v>
      </c>
      <c r="P5" s="1">
        <f>IF(P6&gt;=Assumptions!$F$38,ROUNDUP(YEARFRAC(Assumptions!$F$38-1,'Draw Schedule'!P6),0),0)</f>
        <v>0</v>
      </c>
      <c r="Q5" s="1">
        <f>IF(Q6&gt;=Assumptions!$F$38,ROUNDUP(YEARFRAC(Assumptions!$F$38-1,'Draw Schedule'!Q6),0),0)</f>
        <v>0</v>
      </c>
      <c r="R5" s="1">
        <f>IF(R6&gt;=Assumptions!$F$38,ROUNDUP(YEARFRAC(Assumptions!$F$38-1,'Draw Schedule'!R6),0),0)</f>
        <v>0</v>
      </c>
      <c r="S5" s="1">
        <f>IF(S6&gt;=Assumptions!$F$38,ROUNDUP(YEARFRAC(Assumptions!$F$38-1,'Draw Schedule'!S6),0),0)</f>
        <v>0</v>
      </c>
      <c r="T5" s="1">
        <f>IF(T6&gt;=Assumptions!$F$38,ROUNDUP(YEARFRAC(Assumptions!$F$38-1,'Draw Schedule'!T6),0),0)</f>
        <v>0</v>
      </c>
      <c r="U5" s="1">
        <f>IF(U6&gt;=Assumptions!$F$38,ROUNDUP(YEARFRAC(Assumptions!$F$38-1,'Draw Schedule'!U6),0),0)</f>
        <v>0</v>
      </c>
      <c r="V5" s="1">
        <f>IF(V6&gt;=Assumptions!$F$38,ROUNDUP(YEARFRAC(Assumptions!$F$38-1,'Draw Schedule'!V6),0),0)</f>
        <v>0</v>
      </c>
      <c r="W5" s="1">
        <f>IF(W6&gt;=Assumptions!$F$38,ROUNDUP(YEARFRAC(Assumptions!$F$38-1,'Draw Schedule'!W6),0),0)</f>
        <v>0</v>
      </c>
      <c r="X5" s="1">
        <f>IF(X6&gt;=Assumptions!$F$38,ROUNDUP(YEARFRAC(Assumptions!$F$38-1,'Draw Schedule'!X6),0),0)</f>
        <v>0</v>
      </c>
      <c r="Y5" s="1">
        <f>IF(Y6&gt;=Assumptions!$F$38,ROUNDUP(YEARFRAC(Assumptions!$F$38-1,'Draw Schedule'!Y6),0),0)</f>
        <v>0</v>
      </c>
      <c r="Z5" s="1">
        <f>IF(Z6&gt;=Assumptions!$F$38,ROUNDUP(YEARFRAC(Assumptions!$F$38-1,'Draw Schedule'!Z6),0),0)</f>
        <v>0</v>
      </c>
      <c r="AA5" s="1">
        <f>IF(AA6&gt;=Assumptions!$F$38,ROUNDUP(YEARFRAC(Assumptions!$F$38-1,'Draw Schedule'!AA6),0),0)</f>
        <v>0</v>
      </c>
      <c r="AB5" s="1">
        <f>IF(AB6&gt;=Assumptions!$F$38,ROUNDUP(YEARFRAC(Assumptions!$F$38-1,'Draw Schedule'!AB6),0),0)</f>
        <v>0</v>
      </c>
      <c r="AC5" s="1">
        <f>IF(AC6&gt;=Assumptions!$F$38,ROUNDUP(YEARFRAC(Assumptions!$F$38-1,'Draw Schedule'!AC6),0),0)</f>
        <v>0</v>
      </c>
      <c r="AD5" s="1">
        <f>IF(AD6&gt;=Assumptions!$F$38,ROUNDUP(YEARFRAC(Assumptions!$F$38-1,'Draw Schedule'!AD6),0),0)</f>
        <v>0</v>
      </c>
      <c r="AE5" s="1">
        <f>IF(AE6&gt;=Assumptions!$F$38,ROUNDUP(YEARFRAC(Assumptions!$F$38-1,'Draw Schedule'!AE6),0),0)</f>
        <v>0</v>
      </c>
      <c r="AF5" s="1">
        <f>IF(AF6&gt;=Assumptions!$F$38,ROUNDUP(YEARFRAC(Assumptions!$F$38-1,'Draw Schedule'!AF6),0),0)</f>
        <v>0</v>
      </c>
      <c r="AG5" s="1">
        <f>IF(AG6&gt;=Assumptions!$F$38,ROUNDUP(YEARFRAC(Assumptions!$F$38-1,'Draw Schedule'!AG6),0),0)</f>
        <v>0</v>
      </c>
      <c r="AH5" s="1">
        <f>IF(AH6&gt;=Assumptions!$F$38,ROUNDUP(YEARFRAC(Assumptions!$F$38-1,'Draw Schedule'!AH6),0),0)</f>
        <v>0</v>
      </c>
      <c r="AI5" s="1">
        <f>IF(AI6&gt;=Assumptions!$F$38,ROUNDUP(YEARFRAC(Assumptions!$F$38-1,'Draw Schedule'!AI6),0),0)</f>
        <v>0</v>
      </c>
      <c r="AJ5" s="1">
        <f>IF(AJ6&gt;=Assumptions!$F$38,ROUNDUP(YEARFRAC(Assumptions!$F$38-1,'Draw Schedule'!AJ6),0),0)</f>
        <v>0</v>
      </c>
      <c r="AK5" s="1">
        <f>IF(AK6&gt;=Assumptions!$F$38,ROUNDUP(YEARFRAC(Assumptions!$F$38-1,'Draw Schedule'!AK6),0),0)</f>
        <v>0</v>
      </c>
      <c r="AL5" s="1">
        <f>IF(AL6&gt;=Assumptions!$F$38,ROUNDUP(YEARFRAC(Assumptions!$F$38-1,'Draw Schedule'!AL6),0),0)</f>
        <v>0</v>
      </c>
      <c r="AM5" s="1">
        <f>IF(AM6&gt;=Assumptions!$F$38,ROUNDUP(YEARFRAC(Assumptions!$F$38-1,'Draw Schedule'!AM6),0),0)</f>
        <v>0</v>
      </c>
      <c r="AN5" s="1">
        <f>IF(AN6&gt;=Assumptions!$F$38,ROUNDUP(YEARFRAC(Assumptions!$F$38-1,'Draw Schedule'!AN6),0),0)</f>
        <v>0</v>
      </c>
      <c r="AO5" s="1">
        <f>IF(AO6&gt;=Assumptions!$F$38,ROUNDUP(YEARFRAC(Assumptions!$F$38-1,'Draw Schedule'!AO6),0),0)</f>
        <v>1</v>
      </c>
      <c r="AP5" s="1">
        <f>IF(AP6&gt;=Assumptions!$F$38,ROUNDUP(YEARFRAC(Assumptions!$F$38-1,'Draw Schedule'!AP6),0),0)</f>
        <v>1</v>
      </c>
      <c r="AQ5" s="1">
        <f>IF(AQ6&gt;=Assumptions!$F$38,ROUNDUP(YEARFRAC(Assumptions!$F$38-1,'Draw Schedule'!AQ6),0),0)</f>
        <v>1</v>
      </c>
      <c r="AR5" s="1">
        <f>IF(AR6&gt;=Assumptions!$F$38,ROUNDUP(YEARFRAC(Assumptions!$F$38-1,'Draw Schedule'!AR6),0),0)</f>
        <v>1</v>
      </c>
      <c r="AS5" s="1">
        <f>IF(AS6&gt;=Assumptions!$F$38,ROUNDUP(YEARFRAC(Assumptions!$F$38-1,'Draw Schedule'!AS6),0),0)</f>
        <v>1</v>
      </c>
      <c r="AT5" s="1">
        <f>IF(AT6&gt;=Assumptions!$F$38,ROUNDUP(YEARFRAC(Assumptions!$F$38-1,'Draw Schedule'!AT6),0),0)</f>
        <v>1</v>
      </c>
      <c r="AU5" s="1">
        <f>IF(AU6&gt;=Assumptions!$F$38,ROUNDUP(YEARFRAC(Assumptions!$F$38-1,'Draw Schedule'!AU6),0),0)</f>
        <v>1</v>
      </c>
      <c r="AV5" s="1">
        <f>IF(AV6&gt;=Assumptions!$F$38,ROUNDUP(YEARFRAC(Assumptions!$F$38-1,'Draw Schedule'!AV6),0),0)</f>
        <v>1</v>
      </c>
      <c r="AW5" s="1">
        <f>IF(AW6&gt;=Assumptions!$F$38,ROUNDUP(YEARFRAC(Assumptions!$F$38-1,'Draw Schedule'!AW6),0),0)</f>
        <v>1</v>
      </c>
      <c r="AX5" s="1">
        <f>IF(AX6&gt;=Assumptions!$F$38,ROUNDUP(YEARFRAC(Assumptions!$F$38-1,'Draw Schedule'!AX6),0),0)</f>
        <v>1</v>
      </c>
      <c r="AY5" s="1">
        <f>IF(AY6&gt;=Assumptions!$F$38,ROUNDUP(YEARFRAC(Assumptions!$F$38-1,'Draw Schedule'!AY6),0),0)</f>
        <v>1</v>
      </c>
      <c r="AZ5" s="1">
        <f>IF(AZ6&gt;=Assumptions!$F$38,ROUNDUP(YEARFRAC(Assumptions!$F$38-1,'Draw Schedule'!AZ6),0),0)</f>
        <v>1</v>
      </c>
      <c r="BA5" s="1">
        <f>IF(BA6&gt;=Assumptions!$F$38,ROUNDUP(YEARFRAC(Assumptions!$F$38-1,'Draw Schedule'!BA6),0),0)</f>
        <v>2</v>
      </c>
      <c r="BB5" s="1">
        <f>IF(BB6&gt;=Assumptions!$F$38,ROUNDUP(YEARFRAC(Assumptions!$F$38-1,'Draw Schedule'!BB6),0),0)</f>
        <v>2</v>
      </c>
      <c r="BC5" s="1">
        <f>IF(BC6&gt;=Assumptions!$F$38,ROUNDUP(YEARFRAC(Assumptions!$F$38-1,'Draw Schedule'!BC6),0),0)</f>
        <v>2</v>
      </c>
      <c r="BD5" s="1">
        <f>IF(BD6&gt;=Assumptions!$F$38,ROUNDUP(YEARFRAC(Assumptions!$F$38-1,'Draw Schedule'!BD6),0),0)</f>
        <v>2</v>
      </c>
      <c r="BE5" s="1">
        <f>IF(BE6&gt;=Assumptions!$F$38,ROUNDUP(YEARFRAC(Assumptions!$F$38-1,'Draw Schedule'!BE6),0),0)</f>
        <v>2</v>
      </c>
      <c r="BF5" s="1">
        <f>IF(BF6&gt;=Assumptions!$F$38,ROUNDUP(YEARFRAC(Assumptions!$F$38-1,'Draw Schedule'!BF6),0),0)</f>
        <v>2</v>
      </c>
      <c r="BG5" s="1">
        <f>IF(BG6&gt;=Assumptions!$F$38,ROUNDUP(YEARFRAC(Assumptions!$F$38-1,'Draw Schedule'!BG6),0),0)</f>
        <v>2</v>
      </c>
      <c r="BH5" s="1">
        <f>IF(BH6&gt;=Assumptions!$F$38,ROUNDUP(YEARFRAC(Assumptions!$F$38-1,'Draw Schedule'!BH6),0),0)</f>
        <v>2</v>
      </c>
      <c r="BI5" s="1">
        <f>IF(BI6&gt;=Assumptions!$F$38,ROUNDUP(YEARFRAC(Assumptions!$F$38-1,'Draw Schedule'!BI6),0),0)</f>
        <v>2</v>
      </c>
      <c r="BJ5" s="1">
        <f>IF(BJ6&gt;=Assumptions!$F$38,ROUNDUP(YEARFRAC(Assumptions!$F$38-1,'Draw Schedule'!BJ6),0),0)</f>
        <v>2</v>
      </c>
      <c r="BK5" s="1">
        <f>IF(BK6&gt;=Assumptions!$F$38,ROUNDUP(YEARFRAC(Assumptions!$F$38-1,'Draw Schedule'!BK6),0),0)</f>
        <v>2</v>
      </c>
      <c r="BL5" s="1">
        <f>IF(BL6&gt;=Assumptions!$F$38,ROUNDUP(YEARFRAC(Assumptions!$F$38-1,'Draw Schedule'!BL6),0),0)</f>
        <v>2</v>
      </c>
      <c r="BM5" s="1">
        <f>IF(BM6&gt;=Assumptions!$F$38,ROUNDUP(YEARFRAC(Assumptions!$F$38-1,'Draw Schedule'!BM6),0),0)</f>
        <v>3</v>
      </c>
      <c r="BN5" s="1">
        <f>IF(BN6&gt;=Assumptions!$F$38,ROUNDUP(YEARFRAC(Assumptions!$F$38-1,'Draw Schedule'!BN6),0),0)</f>
        <v>3</v>
      </c>
      <c r="BO5" s="1">
        <f>IF(BO6&gt;=Assumptions!$F$38,ROUNDUP(YEARFRAC(Assumptions!$F$38-1,'Draw Schedule'!BO6),0),0)</f>
        <v>3</v>
      </c>
      <c r="BP5" s="1">
        <f>IF(BP6&gt;=Assumptions!$F$38,ROUNDUP(YEARFRAC(Assumptions!$F$38-1,'Draw Schedule'!BP6),0),0)</f>
        <v>3</v>
      </c>
      <c r="BQ5" s="1">
        <f>IF(BQ6&gt;=Assumptions!$F$38,ROUNDUP(YEARFRAC(Assumptions!$F$38-1,'Draw Schedule'!BQ6),0),0)</f>
        <v>3</v>
      </c>
      <c r="BR5" s="1">
        <f>IF(BR6&gt;=Assumptions!$F$38,ROUNDUP(YEARFRAC(Assumptions!$F$38-1,'Draw Schedule'!BR6),0),0)</f>
        <v>3</v>
      </c>
      <c r="BS5" s="1">
        <f>IF(BS6&gt;=Assumptions!$F$38,ROUNDUP(YEARFRAC(Assumptions!$F$38-1,'Draw Schedule'!BS6),0),0)</f>
        <v>3</v>
      </c>
      <c r="BT5" s="1">
        <f>IF(BT6&gt;=Assumptions!$F$38,ROUNDUP(YEARFRAC(Assumptions!$F$38-1,'Draw Schedule'!BT6),0),0)</f>
        <v>3</v>
      </c>
      <c r="BU5" s="1">
        <f>IF(BU6&gt;=Assumptions!$F$38,ROUNDUP(YEARFRAC(Assumptions!$F$38-1,'Draw Schedule'!BU6),0),0)</f>
        <v>3</v>
      </c>
      <c r="BV5" s="1">
        <f>IF(BV6&gt;=Assumptions!$F$38,ROUNDUP(YEARFRAC(Assumptions!$F$38-1,'Draw Schedule'!BV6),0),0)</f>
        <v>3</v>
      </c>
      <c r="BW5" s="1">
        <f>IF(BW6&gt;=Assumptions!$F$38,ROUNDUP(YEARFRAC(Assumptions!$F$38-1,'Draw Schedule'!BW6),0),0)</f>
        <v>3</v>
      </c>
      <c r="BX5" s="1">
        <f>IF(BX6&gt;=Assumptions!$F$38,ROUNDUP(YEARFRAC(Assumptions!$F$38-1,'Draw Schedule'!BX6),0),0)</f>
        <v>3</v>
      </c>
      <c r="BY5" s="1">
        <f>IF(BY6&gt;=Assumptions!$F$38,ROUNDUP(YEARFRAC(Assumptions!$F$38-1,'Draw Schedule'!BY6),0),0)</f>
        <v>4</v>
      </c>
      <c r="BZ5" s="1">
        <f>IF(BZ6&gt;=Assumptions!$F$38,ROUNDUP(YEARFRAC(Assumptions!$F$38-1,'Draw Schedule'!BZ6),0),0)</f>
        <v>4</v>
      </c>
      <c r="CA5" s="1">
        <f>IF(CA6&gt;=Assumptions!$F$38,ROUNDUP(YEARFRAC(Assumptions!$F$38-1,'Draw Schedule'!CA6),0),0)</f>
        <v>4</v>
      </c>
      <c r="CB5" s="1">
        <f>IF(CB6&gt;=Assumptions!$F$38,ROUNDUP(YEARFRAC(Assumptions!$F$38-1,'Draw Schedule'!CB6),0),0)</f>
        <v>4</v>
      </c>
      <c r="CC5" s="1">
        <f>IF(CC6&gt;=Assumptions!$F$38,ROUNDUP(YEARFRAC(Assumptions!$F$38-1,'Draw Schedule'!CC6),0),0)</f>
        <v>4</v>
      </c>
      <c r="CD5" s="1">
        <f>IF(CD6&gt;=Assumptions!$F$38,ROUNDUP(YEARFRAC(Assumptions!$F$38-1,'Draw Schedule'!CD6),0),0)</f>
        <v>4</v>
      </c>
      <c r="CE5" s="1">
        <f>IF(CE6&gt;=Assumptions!$F$38,ROUNDUP(YEARFRAC(Assumptions!$F$38-1,'Draw Schedule'!CE6),0),0)</f>
        <v>4</v>
      </c>
      <c r="CF5" s="1">
        <f>IF(CF6&gt;=Assumptions!$F$38,ROUNDUP(YEARFRAC(Assumptions!$F$38-1,'Draw Schedule'!CF6),0),0)</f>
        <v>4</v>
      </c>
      <c r="CG5" s="1">
        <f>IF(CG6&gt;=Assumptions!$F$38,ROUNDUP(YEARFRAC(Assumptions!$F$38-1,'Draw Schedule'!CG6),0),0)</f>
        <v>4</v>
      </c>
      <c r="CH5" s="1">
        <f>IF(CH6&gt;=Assumptions!$F$38,ROUNDUP(YEARFRAC(Assumptions!$F$38-1,'Draw Schedule'!CH6),0),0)</f>
        <v>4</v>
      </c>
      <c r="CI5" s="1">
        <f>IF(CI6&gt;=Assumptions!$F$38,ROUNDUP(YEARFRAC(Assumptions!$F$38-1,'Draw Schedule'!CI6),0),0)</f>
        <v>4</v>
      </c>
      <c r="CJ5" s="1">
        <f>IF(CJ6&gt;=Assumptions!$F$38,ROUNDUP(YEARFRAC(Assumptions!$F$38-1,'Draw Schedule'!CJ6),0),0)</f>
        <v>4</v>
      </c>
      <c r="CK5" s="1">
        <f>IF(CK6&gt;=Assumptions!$F$38,ROUNDUP(YEARFRAC(Assumptions!$F$38-1,'Draw Schedule'!CK6),0),0)</f>
        <v>5</v>
      </c>
      <c r="CL5" s="1">
        <f>IF(CL6&gt;=Assumptions!$F$38,ROUNDUP(YEARFRAC(Assumptions!$F$38-1,'Draw Schedule'!CL6),0),0)</f>
        <v>5</v>
      </c>
      <c r="CM5" s="1">
        <f>IF(CM6&gt;=Assumptions!$F$38,ROUNDUP(YEARFRAC(Assumptions!$F$38-1,'Draw Schedule'!CM6),0),0)</f>
        <v>5</v>
      </c>
      <c r="CN5" s="1">
        <f>IF(CN6&gt;=Assumptions!$F$38,ROUNDUP(YEARFRAC(Assumptions!$F$38-1,'Draw Schedule'!CN6),0),0)</f>
        <v>5</v>
      </c>
      <c r="CO5" s="1">
        <f>IF(CO6&gt;=Assumptions!$F$38,ROUNDUP(YEARFRAC(Assumptions!$F$38-1,'Draw Schedule'!CO6),0),0)</f>
        <v>5</v>
      </c>
      <c r="CP5" s="1">
        <f>IF(CP6&gt;=Assumptions!$F$38,ROUNDUP(YEARFRAC(Assumptions!$F$38-1,'Draw Schedule'!CP6),0),0)</f>
        <v>5</v>
      </c>
      <c r="CQ5" s="1">
        <f>IF(CQ6&gt;=Assumptions!$F$38,ROUNDUP(YEARFRAC(Assumptions!$F$38-1,'Draw Schedule'!CQ6),0),0)</f>
        <v>5</v>
      </c>
      <c r="CR5" s="1">
        <f>IF(CR6&gt;=Assumptions!$F$38,ROUNDUP(YEARFRAC(Assumptions!$F$38-1,'Draw Schedule'!CR6),0),0)</f>
        <v>5</v>
      </c>
      <c r="CS5" s="1">
        <f>IF(CS6&gt;=Assumptions!$F$38,ROUNDUP(YEARFRAC(Assumptions!$F$38-1,'Draw Schedule'!CS6),0),0)</f>
        <v>5</v>
      </c>
      <c r="CT5" s="1">
        <f>IF(CT6&gt;=Assumptions!$F$38,ROUNDUP(YEARFRAC(Assumptions!$F$38-1,'Draw Schedule'!CT6),0),0)</f>
        <v>5</v>
      </c>
      <c r="CU5" s="1">
        <f>IF(CU6&gt;=Assumptions!$F$38,ROUNDUP(YEARFRAC(Assumptions!$F$38-1,'Draw Schedule'!CU6),0),0)</f>
        <v>5</v>
      </c>
      <c r="CV5" s="1">
        <f>IF(CV6&gt;=Assumptions!$F$38,ROUNDUP(YEARFRAC(Assumptions!$F$38-1,'Draw Schedule'!CV6),0),0)</f>
        <v>5</v>
      </c>
      <c r="CW5" s="1">
        <f>IF(CW6&gt;=Assumptions!$F$38,ROUNDUP(YEARFRAC(Assumptions!$F$38-1,'Draw Schedule'!CW6),0),0)</f>
        <v>6</v>
      </c>
      <c r="CX5" s="1">
        <f>IF(CX6&gt;=Assumptions!$F$38,ROUNDUP(YEARFRAC(Assumptions!$F$38-1,'Draw Schedule'!CX6),0),0)</f>
        <v>6</v>
      </c>
      <c r="CY5" s="1">
        <f>IF(CY6&gt;=Assumptions!$F$38,ROUNDUP(YEARFRAC(Assumptions!$F$38-1,'Draw Schedule'!CY6),0),0)</f>
        <v>6</v>
      </c>
      <c r="CZ5" s="1">
        <f>IF(CZ6&gt;=Assumptions!$F$38,ROUNDUP(YEARFRAC(Assumptions!$F$38-1,'Draw Schedule'!CZ6),0),0)</f>
        <v>6</v>
      </c>
      <c r="DA5" s="1">
        <f>IF(DA6&gt;=Assumptions!$F$38,ROUNDUP(YEARFRAC(Assumptions!$F$38-1,'Draw Schedule'!DA6),0),0)</f>
        <v>6</v>
      </c>
      <c r="DB5" s="1">
        <f>IF(DB6&gt;=Assumptions!$F$38,ROUNDUP(YEARFRAC(Assumptions!$F$38-1,'Draw Schedule'!DB6),0),0)</f>
        <v>6</v>
      </c>
      <c r="DC5" s="1">
        <f>IF(DC6&gt;=Assumptions!$F$38,ROUNDUP(YEARFRAC(Assumptions!$F$38-1,'Draw Schedule'!DC6),0),0)</f>
        <v>6</v>
      </c>
      <c r="DD5" s="1">
        <f>IF(DD6&gt;=Assumptions!$F$38,ROUNDUP(YEARFRAC(Assumptions!$F$38-1,'Draw Schedule'!DD6),0),0)</f>
        <v>6</v>
      </c>
      <c r="DE5" s="1">
        <f>IF(DE6&gt;=Assumptions!$F$38,ROUNDUP(YEARFRAC(Assumptions!$F$38-1,'Draw Schedule'!DE6),0),0)</f>
        <v>6</v>
      </c>
      <c r="DF5" s="1">
        <f>IF(DF6&gt;=Assumptions!$F$38,ROUNDUP(YEARFRAC(Assumptions!$F$38-1,'Draw Schedule'!DF6),0),0)</f>
        <v>6</v>
      </c>
      <c r="DG5" s="1">
        <f>IF(DG6&gt;=Assumptions!$F$38,ROUNDUP(YEARFRAC(Assumptions!$F$38-1,'Draw Schedule'!DG6),0),0)</f>
        <v>6</v>
      </c>
      <c r="DH5" s="1">
        <f>IF(DH6&gt;=Assumptions!$F$38,ROUNDUP(YEARFRAC(Assumptions!$F$38-1,'Draw Schedule'!DH6),0),0)</f>
        <v>6</v>
      </c>
      <c r="DI5" s="1">
        <f>IF(DI6&gt;=Assumptions!$F$38,ROUNDUP(YEARFRAC(Assumptions!$F$38-1,'Draw Schedule'!DI6),0),0)</f>
        <v>7</v>
      </c>
      <c r="DJ5" s="1">
        <f>IF(DJ6&gt;=Assumptions!$F$38,ROUNDUP(YEARFRAC(Assumptions!$F$38-1,'Draw Schedule'!DJ6),0),0)</f>
        <v>7</v>
      </c>
      <c r="DK5" s="1">
        <f>IF(DK6&gt;=Assumptions!$F$38,ROUNDUP(YEARFRAC(Assumptions!$F$38-1,'Draw Schedule'!DK6),0),0)</f>
        <v>7</v>
      </c>
      <c r="DL5" s="1">
        <f>IF(DL6&gt;=Assumptions!$F$38,ROUNDUP(YEARFRAC(Assumptions!$F$38-1,'Draw Schedule'!DL6),0),0)</f>
        <v>7</v>
      </c>
      <c r="DM5" s="1">
        <f>IF(DM6&gt;=Assumptions!$F$38,ROUNDUP(YEARFRAC(Assumptions!$F$38-1,'Draw Schedule'!DM6),0),0)</f>
        <v>7</v>
      </c>
      <c r="DN5" s="1">
        <f>IF(DN6&gt;=Assumptions!$F$38,ROUNDUP(YEARFRAC(Assumptions!$F$38-1,'Draw Schedule'!DN6),0),0)</f>
        <v>7</v>
      </c>
      <c r="DO5" s="1">
        <f>IF(DO6&gt;=Assumptions!$F$38,ROUNDUP(YEARFRAC(Assumptions!$F$38-1,'Draw Schedule'!DO6),0),0)</f>
        <v>7</v>
      </c>
      <c r="DP5" s="1">
        <f>IF(DP6&gt;=Assumptions!$F$38,ROUNDUP(YEARFRAC(Assumptions!$F$38-1,'Draw Schedule'!DP6),0),0)</f>
        <v>7</v>
      </c>
      <c r="DQ5" s="1">
        <f>IF(DQ6&gt;=Assumptions!$F$38,ROUNDUP(YEARFRAC(Assumptions!$F$38-1,'Draw Schedule'!DQ6),0),0)</f>
        <v>7</v>
      </c>
      <c r="DR5" s="1">
        <f>IF(DR6&gt;=Assumptions!$F$38,ROUNDUP(YEARFRAC(Assumptions!$F$38-1,'Draw Schedule'!DR6),0),0)</f>
        <v>7</v>
      </c>
      <c r="DS5" s="1">
        <f>IF(DS6&gt;=Assumptions!$F$38,ROUNDUP(YEARFRAC(Assumptions!$F$38-1,'Draw Schedule'!DS6),0),0)</f>
        <v>7</v>
      </c>
      <c r="DT5" s="1">
        <f>IF(DT6&gt;=Assumptions!$F$38,ROUNDUP(YEARFRAC(Assumptions!$F$38-1,'Draw Schedule'!DT6),0),0)</f>
        <v>7</v>
      </c>
      <c r="DU5" s="1">
        <f>IF(DU6&gt;=Assumptions!$F$38,ROUNDUP(YEARFRAC(Assumptions!$F$38-1,'Draw Schedule'!DU6),0),0)</f>
        <v>8</v>
      </c>
      <c r="DV5" s="1">
        <f>IF(DV6&gt;=Assumptions!$F$38,ROUNDUP(YEARFRAC(Assumptions!$F$38-1,'Draw Schedule'!DV6),0),0)</f>
        <v>8</v>
      </c>
      <c r="DW5" s="1">
        <f>IF(DW6&gt;=Assumptions!$F$38,ROUNDUP(YEARFRAC(Assumptions!$F$38-1,'Draw Schedule'!DW6),0),0)</f>
        <v>8</v>
      </c>
      <c r="DX5" s="1">
        <f>IF(DX6&gt;=Assumptions!$F$38,ROUNDUP(YEARFRAC(Assumptions!$F$38-1,'Draw Schedule'!DX6),0),0)</f>
        <v>8</v>
      </c>
      <c r="DY5" s="1">
        <f>IF(DY6&gt;=Assumptions!$F$38,ROUNDUP(YEARFRAC(Assumptions!$F$38-1,'Draw Schedule'!DY6),0),0)</f>
        <v>8</v>
      </c>
      <c r="DZ5" s="1">
        <f>IF(DZ6&gt;=Assumptions!$F$38,ROUNDUP(YEARFRAC(Assumptions!$F$38-1,'Draw Schedule'!DZ6),0),0)</f>
        <v>8</v>
      </c>
      <c r="EA5" s="1">
        <f>IF(EA6&gt;=Assumptions!$F$38,ROUNDUP(YEARFRAC(Assumptions!$F$38-1,'Draw Schedule'!EA6),0),0)</f>
        <v>8</v>
      </c>
      <c r="EB5" s="1">
        <f>IF(EB6&gt;=Assumptions!$F$38,ROUNDUP(YEARFRAC(Assumptions!$F$38-1,'Draw Schedule'!EB6),0),0)</f>
        <v>8</v>
      </c>
      <c r="EC5" s="1">
        <f>IF(EC6&gt;=Assumptions!$F$38,ROUNDUP(YEARFRAC(Assumptions!$F$38-1,'Draw Schedule'!EC6),0),0)</f>
        <v>8</v>
      </c>
      <c r="ED5" s="1">
        <f>IF(ED6&gt;=Assumptions!$F$38,ROUNDUP(YEARFRAC(Assumptions!$F$38-1,'Draw Schedule'!ED6),0),0)</f>
        <v>8</v>
      </c>
      <c r="EE5" s="1">
        <f>IF(EE6&gt;=Assumptions!$F$38,ROUNDUP(YEARFRAC(Assumptions!$F$38-1,'Draw Schedule'!EE6),0),0)</f>
        <v>8</v>
      </c>
      <c r="EF5" s="1">
        <f>IF(EF6&gt;=Assumptions!$F$38,ROUNDUP(YEARFRAC(Assumptions!$F$38-1,'Draw Schedule'!EF6),0),0)</f>
        <v>8</v>
      </c>
      <c r="EG5" s="1">
        <f>IF(EG6&gt;=Assumptions!$F$38,ROUNDUP(YEARFRAC(Assumptions!$F$38-1,'Draw Schedule'!EG6),0),0)</f>
        <v>9</v>
      </c>
      <c r="EH5" s="1">
        <f>IF(EH6&gt;=Assumptions!$F$38,ROUNDUP(YEARFRAC(Assumptions!$F$38-1,'Draw Schedule'!EH6),0),0)</f>
        <v>9</v>
      </c>
      <c r="EI5" s="1">
        <f>IF(EI6&gt;=Assumptions!$F$38,ROUNDUP(YEARFRAC(Assumptions!$F$38-1,'Draw Schedule'!EI6),0),0)</f>
        <v>9</v>
      </c>
      <c r="EJ5" s="1">
        <f>IF(EJ6&gt;=Assumptions!$F$38,ROUNDUP(YEARFRAC(Assumptions!$F$38-1,'Draw Schedule'!EJ6),0),0)</f>
        <v>9</v>
      </c>
      <c r="EK5" s="1">
        <f>IF(EK6&gt;=Assumptions!$F$38,ROUNDUP(YEARFRAC(Assumptions!$F$38-1,'Draw Schedule'!EK6),0),0)</f>
        <v>9</v>
      </c>
      <c r="EL5" s="1">
        <f>IF(EL6&gt;=Assumptions!$F$38,ROUNDUP(YEARFRAC(Assumptions!$F$38-1,'Draw Schedule'!EL6),0),0)</f>
        <v>9</v>
      </c>
      <c r="EM5" s="1">
        <f>IF(EM6&gt;=Assumptions!$F$38,ROUNDUP(YEARFRAC(Assumptions!$F$38-1,'Draw Schedule'!EM6),0),0)</f>
        <v>9</v>
      </c>
      <c r="EN5" s="1">
        <f>IF(EN6&gt;=Assumptions!$F$38,ROUNDUP(YEARFRAC(Assumptions!$F$38-1,'Draw Schedule'!EN6),0),0)</f>
        <v>9</v>
      </c>
      <c r="EO5" s="1">
        <f>IF(EO6&gt;=Assumptions!$F$38,ROUNDUP(YEARFRAC(Assumptions!$F$38-1,'Draw Schedule'!EO6),0),0)</f>
        <v>9</v>
      </c>
      <c r="EP5" s="1">
        <f>IF(EP6&gt;=Assumptions!$F$38,ROUNDUP(YEARFRAC(Assumptions!$F$38-1,'Draw Schedule'!EP6),0),0)</f>
        <v>9</v>
      </c>
      <c r="EQ5" s="1">
        <f>IF(EQ6&gt;=Assumptions!$F$38,ROUNDUP(YEARFRAC(Assumptions!$F$38-1,'Draw Schedule'!EQ6),0),0)</f>
        <v>9</v>
      </c>
      <c r="ER5" s="1">
        <f>IF(ER6&gt;=Assumptions!$F$38,ROUNDUP(YEARFRAC(Assumptions!$F$38-1,'Draw Schedule'!ER6),0),0)</f>
        <v>9</v>
      </c>
      <c r="ES5" s="1">
        <f>IF(ES6&gt;=Assumptions!$F$38,ROUNDUP(YEARFRAC(Assumptions!$F$38-1,'Draw Schedule'!ES6),0),0)</f>
        <v>10</v>
      </c>
      <c r="ET5" s="1">
        <f>IF(ET6&gt;=Assumptions!$F$38,ROUNDUP(YEARFRAC(Assumptions!$F$38-1,'Draw Schedule'!ET6),0),0)</f>
        <v>10</v>
      </c>
    </row>
    <row r="6" spans="2:150" x14ac:dyDescent="0.2">
      <c r="B6" t="s">
        <v>116</v>
      </c>
      <c r="F6" s="101">
        <f>Assumptions!F35</f>
        <v>46023</v>
      </c>
      <c r="G6" s="101">
        <f>EDATE(F6,1)</f>
        <v>46054</v>
      </c>
      <c r="H6" s="101">
        <f t="shared" ref="H6:BL6" si="106">EDATE(G6,1)</f>
        <v>46082</v>
      </c>
      <c r="I6" s="101">
        <f t="shared" si="106"/>
        <v>46113</v>
      </c>
      <c r="J6" s="101">
        <f t="shared" si="106"/>
        <v>46143</v>
      </c>
      <c r="K6" s="101">
        <f t="shared" si="106"/>
        <v>46174</v>
      </c>
      <c r="L6" s="101">
        <f t="shared" si="106"/>
        <v>46204</v>
      </c>
      <c r="M6" s="101">
        <f t="shared" si="106"/>
        <v>46235</v>
      </c>
      <c r="N6" s="101">
        <f t="shared" si="106"/>
        <v>46266</v>
      </c>
      <c r="O6" s="101">
        <f t="shared" si="106"/>
        <v>46296</v>
      </c>
      <c r="P6" s="101">
        <f t="shared" si="106"/>
        <v>46327</v>
      </c>
      <c r="Q6" s="101">
        <f t="shared" si="106"/>
        <v>46357</v>
      </c>
      <c r="R6" s="101">
        <f t="shared" si="106"/>
        <v>46388</v>
      </c>
      <c r="S6" s="101">
        <f t="shared" si="106"/>
        <v>46419</v>
      </c>
      <c r="T6" s="101">
        <f t="shared" si="106"/>
        <v>46447</v>
      </c>
      <c r="U6" s="101">
        <f t="shared" si="106"/>
        <v>46478</v>
      </c>
      <c r="V6" s="101">
        <f t="shared" si="106"/>
        <v>46508</v>
      </c>
      <c r="W6" s="101">
        <f t="shared" si="106"/>
        <v>46539</v>
      </c>
      <c r="X6" s="101">
        <f t="shared" si="106"/>
        <v>46569</v>
      </c>
      <c r="Y6" s="101">
        <f t="shared" si="106"/>
        <v>46600</v>
      </c>
      <c r="Z6" s="101">
        <f t="shared" si="106"/>
        <v>46631</v>
      </c>
      <c r="AA6" s="101">
        <f t="shared" si="106"/>
        <v>46661</v>
      </c>
      <c r="AB6" s="101">
        <f t="shared" si="106"/>
        <v>46692</v>
      </c>
      <c r="AC6" s="101">
        <f t="shared" si="106"/>
        <v>46722</v>
      </c>
      <c r="AD6" s="101">
        <f t="shared" si="106"/>
        <v>46753</v>
      </c>
      <c r="AE6" s="101">
        <f t="shared" si="106"/>
        <v>46784</v>
      </c>
      <c r="AF6" s="101">
        <f t="shared" si="106"/>
        <v>46813</v>
      </c>
      <c r="AG6" s="101">
        <f t="shared" si="106"/>
        <v>46844</v>
      </c>
      <c r="AH6" s="101">
        <f t="shared" si="106"/>
        <v>46874</v>
      </c>
      <c r="AI6" s="101">
        <f t="shared" si="106"/>
        <v>46905</v>
      </c>
      <c r="AJ6" s="101">
        <f t="shared" si="106"/>
        <v>46935</v>
      </c>
      <c r="AK6" s="101">
        <f t="shared" si="106"/>
        <v>46966</v>
      </c>
      <c r="AL6" s="101">
        <f t="shared" si="106"/>
        <v>46997</v>
      </c>
      <c r="AM6" s="101">
        <f t="shared" si="106"/>
        <v>47027</v>
      </c>
      <c r="AN6" s="101">
        <f t="shared" si="106"/>
        <v>47058</v>
      </c>
      <c r="AO6" s="101">
        <f t="shared" si="106"/>
        <v>47088</v>
      </c>
      <c r="AP6" s="101">
        <f t="shared" si="106"/>
        <v>47119</v>
      </c>
      <c r="AQ6" s="101">
        <f t="shared" si="106"/>
        <v>47150</v>
      </c>
      <c r="AR6" s="101">
        <f t="shared" si="106"/>
        <v>47178</v>
      </c>
      <c r="AS6" s="101">
        <f t="shared" si="106"/>
        <v>47209</v>
      </c>
      <c r="AT6" s="101">
        <f t="shared" si="106"/>
        <v>47239</v>
      </c>
      <c r="AU6" s="101">
        <f t="shared" si="106"/>
        <v>47270</v>
      </c>
      <c r="AV6" s="101">
        <f t="shared" si="106"/>
        <v>47300</v>
      </c>
      <c r="AW6" s="101">
        <f t="shared" si="106"/>
        <v>47331</v>
      </c>
      <c r="AX6" s="101">
        <f t="shared" si="106"/>
        <v>47362</v>
      </c>
      <c r="AY6" s="101">
        <f t="shared" si="106"/>
        <v>47392</v>
      </c>
      <c r="AZ6" s="101">
        <f t="shared" si="106"/>
        <v>47423</v>
      </c>
      <c r="BA6" s="101">
        <f t="shared" si="106"/>
        <v>47453</v>
      </c>
      <c r="BB6" s="101">
        <f t="shared" si="106"/>
        <v>47484</v>
      </c>
      <c r="BC6" s="101">
        <f t="shared" si="106"/>
        <v>47515</v>
      </c>
      <c r="BD6" s="101">
        <f t="shared" si="106"/>
        <v>47543</v>
      </c>
      <c r="BE6" s="101">
        <f t="shared" si="106"/>
        <v>47574</v>
      </c>
      <c r="BF6" s="101">
        <f t="shared" si="106"/>
        <v>47604</v>
      </c>
      <c r="BG6" s="101">
        <f t="shared" si="106"/>
        <v>47635</v>
      </c>
      <c r="BH6" s="101">
        <f t="shared" si="106"/>
        <v>47665</v>
      </c>
      <c r="BI6" s="101">
        <f t="shared" si="106"/>
        <v>47696</v>
      </c>
      <c r="BJ6" s="101">
        <f t="shared" si="106"/>
        <v>47727</v>
      </c>
      <c r="BK6" s="101">
        <f t="shared" si="106"/>
        <v>47757</v>
      </c>
      <c r="BL6" s="101">
        <f t="shared" si="106"/>
        <v>47788</v>
      </c>
      <c r="BM6" s="101">
        <f t="shared" ref="BM6:BZ6" si="107">EDATE(BL6,1)</f>
        <v>47818</v>
      </c>
      <c r="BN6" s="101">
        <f t="shared" si="107"/>
        <v>47849</v>
      </c>
      <c r="BO6" s="101">
        <f t="shared" si="107"/>
        <v>47880</v>
      </c>
      <c r="BP6" s="101">
        <f t="shared" si="107"/>
        <v>47908</v>
      </c>
      <c r="BQ6" s="101">
        <f t="shared" si="107"/>
        <v>47939</v>
      </c>
      <c r="BR6" s="101">
        <f t="shared" si="107"/>
        <v>47969</v>
      </c>
      <c r="BS6" s="101">
        <f t="shared" si="107"/>
        <v>48000</v>
      </c>
      <c r="BT6" s="101">
        <f t="shared" si="107"/>
        <v>48030</v>
      </c>
      <c r="BU6" s="101">
        <f t="shared" si="107"/>
        <v>48061</v>
      </c>
      <c r="BV6" s="101">
        <f t="shared" si="107"/>
        <v>48092</v>
      </c>
      <c r="BW6" s="101">
        <f t="shared" si="107"/>
        <v>48122</v>
      </c>
      <c r="BX6" s="101">
        <f t="shared" si="107"/>
        <v>48153</v>
      </c>
      <c r="BY6" s="101">
        <f t="shared" si="107"/>
        <v>48183</v>
      </c>
      <c r="BZ6" s="101">
        <f t="shared" si="107"/>
        <v>48214</v>
      </c>
      <c r="CA6" s="101">
        <f t="shared" ref="CA6" si="108">EDATE(BZ6,1)</f>
        <v>48245</v>
      </c>
      <c r="CB6" s="101">
        <f t="shared" ref="CB6" si="109">EDATE(CA6,1)</f>
        <v>48274</v>
      </c>
      <c r="CC6" s="101">
        <f t="shared" ref="CC6" si="110">EDATE(CB6,1)</f>
        <v>48305</v>
      </c>
      <c r="CD6" s="101">
        <f t="shared" ref="CD6" si="111">EDATE(CC6,1)</f>
        <v>48335</v>
      </c>
      <c r="CE6" s="101">
        <f t="shared" ref="CE6" si="112">EDATE(CD6,1)</f>
        <v>48366</v>
      </c>
      <c r="CF6" s="101">
        <f t="shared" ref="CF6" si="113">EDATE(CE6,1)</f>
        <v>48396</v>
      </c>
      <c r="CG6" s="101">
        <f t="shared" ref="CG6" si="114">EDATE(CF6,1)</f>
        <v>48427</v>
      </c>
      <c r="CH6" s="101">
        <f t="shared" ref="CH6" si="115">EDATE(CG6,1)</f>
        <v>48458</v>
      </c>
      <c r="CI6" s="101">
        <f t="shared" ref="CI6" si="116">EDATE(CH6,1)</f>
        <v>48488</v>
      </c>
      <c r="CJ6" s="101">
        <f t="shared" ref="CJ6" si="117">EDATE(CI6,1)</f>
        <v>48519</v>
      </c>
      <c r="CK6" s="101">
        <f t="shared" ref="CK6" si="118">EDATE(CJ6,1)</f>
        <v>48549</v>
      </c>
      <c r="CL6" s="101">
        <f t="shared" ref="CL6" si="119">EDATE(CK6,1)</f>
        <v>48580</v>
      </c>
      <c r="CM6" s="101">
        <f t="shared" ref="CM6" si="120">EDATE(CL6,1)</f>
        <v>48611</v>
      </c>
      <c r="CN6" s="101">
        <f t="shared" ref="CN6" si="121">EDATE(CM6,1)</f>
        <v>48639</v>
      </c>
      <c r="CO6" s="101">
        <f t="shared" ref="CO6" si="122">EDATE(CN6,1)</f>
        <v>48670</v>
      </c>
      <c r="CP6" s="101">
        <f t="shared" ref="CP6" si="123">EDATE(CO6,1)</f>
        <v>48700</v>
      </c>
      <c r="CQ6" s="101">
        <f t="shared" ref="CQ6" si="124">EDATE(CP6,1)</f>
        <v>48731</v>
      </c>
      <c r="CR6" s="101">
        <f t="shared" ref="CR6" si="125">EDATE(CQ6,1)</f>
        <v>48761</v>
      </c>
      <c r="CS6" s="101">
        <f t="shared" ref="CS6" si="126">EDATE(CR6,1)</f>
        <v>48792</v>
      </c>
      <c r="CT6" s="101">
        <f t="shared" ref="CT6" si="127">EDATE(CS6,1)</f>
        <v>48823</v>
      </c>
      <c r="CU6" s="101">
        <f t="shared" ref="CU6" si="128">EDATE(CT6,1)</f>
        <v>48853</v>
      </c>
      <c r="CV6" s="101">
        <f t="shared" ref="CV6" si="129">EDATE(CU6,1)</f>
        <v>48884</v>
      </c>
      <c r="CW6" s="101">
        <f t="shared" ref="CW6" si="130">EDATE(CV6,1)</f>
        <v>48914</v>
      </c>
      <c r="CX6" s="101">
        <f t="shared" ref="CX6" si="131">EDATE(CW6,1)</f>
        <v>48945</v>
      </c>
      <c r="CY6" s="101">
        <f t="shared" ref="CY6" si="132">EDATE(CX6,1)</f>
        <v>48976</v>
      </c>
      <c r="CZ6" s="101">
        <f t="shared" ref="CZ6" si="133">EDATE(CY6,1)</f>
        <v>49004</v>
      </c>
      <c r="DA6" s="101">
        <f t="shared" ref="DA6" si="134">EDATE(CZ6,1)</f>
        <v>49035</v>
      </c>
      <c r="DB6" s="101">
        <f t="shared" ref="DB6" si="135">EDATE(DA6,1)</f>
        <v>49065</v>
      </c>
      <c r="DC6" s="101">
        <f t="shared" ref="DC6" si="136">EDATE(DB6,1)</f>
        <v>49096</v>
      </c>
      <c r="DD6" s="101">
        <f t="shared" ref="DD6" si="137">EDATE(DC6,1)</f>
        <v>49126</v>
      </c>
      <c r="DE6" s="101">
        <f t="shared" ref="DE6" si="138">EDATE(DD6,1)</f>
        <v>49157</v>
      </c>
      <c r="DF6" s="101">
        <f t="shared" ref="DF6" si="139">EDATE(DE6,1)</f>
        <v>49188</v>
      </c>
      <c r="DG6" s="101">
        <f t="shared" ref="DG6" si="140">EDATE(DF6,1)</f>
        <v>49218</v>
      </c>
      <c r="DH6" s="101">
        <f t="shared" ref="DH6" si="141">EDATE(DG6,1)</f>
        <v>49249</v>
      </c>
      <c r="DI6" s="101">
        <f t="shared" ref="DI6" si="142">EDATE(DH6,1)</f>
        <v>49279</v>
      </c>
      <c r="DJ6" s="101">
        <f t="shared" ref="DJ6" si="143">EDATE(DI6,1)</f>
        <v>49310</v>
      </c>
      <c r="DK6" s="101">
        <f t="shared" ref="DK6" si="144">EDATE(DJ6,1)</f>
        <v>49341</v>
      </c>
      <c r="DL6" s="101">
        <f t="shared" ref="DL6" si="145">EDATE(DK6,1)</f>
        <v>49369</v>
      </c>
      <c r="DM6" s="101">
        <f t="shared" ref="DM6" si="146">EDATE(DL6,1)</f>
        <v>49400</v>
      </c>
      <c r="DN6" s="101">
        <f t="shared" ref="DN6" si="147">EDATE(DM6,1)</f>
        <v>49430</v>
      </c>
      <c r="DO6" s="101">
        <f t="shared" ref="DO6" si="148">EDATE(DN6,1)</f>
        <v>49461</v>
      </c>
      <c r="DP6" s="101">
        <f t="shared" ref="DP6" si="149">EDATE(DO6,1)</f>
        <v>49491</v>
      </c>
      <c r="DQ6" s="101">
        <f t="shared" ref="DQ6" si="150">EDATE(DP6,1)</f>
        <v>49522</v>
      </c>
      <c r="DR6" s="101">
        <f t="shared" ref="DR6" si="151">EDATE(DQ6,1)</f>
        <v>49553</v>
      </c>
      <c r="DS6" s="101">
        <f t="shared" ref="DS6" si="152">EDATE(DR6,1)</f>
        <v>49583</v>
      </c>
      <c r="DT6" s="101">
        <f t="shared" ref="DT6" si="153">EDATE(DS6,1)</f>
        <v>49614</v>
      </c>
      <c r="DU6" s="101">
        <f t="shared" ref="DU6" si="154">EDATE(DT6,1)</f>
        <v>49644</v>
      </c>
      <c r="DV6" s="101">
        <f t="shared" ref="DV6" si="155">EDATE(DU6,1)</f>
        <v>49675</v>
      </c>
      <c r="DW6" s="101">
        <f t="shared" ref="DW6" si="156">EDATE(DV6,1)</f>
        <v>49706</v>
      </c>
      <c r="DX6" s="101">
        <f t="shared" ref="DX6" si="157">EDATE(DW6,1)</f>
        <v>49735</v>
      </c>
      <c r="DY6" s="101">
        <f t="shared" ref="DY6" si="158">EDATE(DX6,1)</f>
        <v>49766</v>
      </c>
      <c r="DZ6" s="101">
        <f t="shared" ref="DZ6" si="159">EDATE(DY6,1)</f>
        <v>49796</v>
      </c>
      <c r="EA6" s="101">
        <f t="shared" ref="EA6" si="160">EDATE(DZ6,1)</f>
        <v>49827</v>
      </c>
      <c r="EB6" s="101">
        <f t="shared" ref="EB6" si="161">EDATE(EA6,1)</f>
        <v>49857</v>
      </c>
      <c r="EC6" s="101">
        <f t="shared" ref="EC6" si="162">EDATE(EB6,1)</f>
        <v>49888</v>
      </c>
      <c r="ED6" s="101">
        <f t="shared" ref="ED6" si="163">EDATE(EC6,1)</f>
        <v>49919</v>
      </c>
      <c r="EE6" s="101">
        <f t="shared" ref="EE6" si="164">EDATE(ED6,1)</f>
        <v>49949</v>
      </c>
      <c r="EF6" s="101">
        <f t="shared" ref="EF6" si="165">EDATE(EE6,1)</f>
        <v>49980</v>
      </c>
      <c r="EG6" s="101">
        <f t="shared" ref="EG6" si="166">EDATE(EF6,1)</f>
        <v>50010</v>
      </c>
      <c r="EH6" s="101">
        <f t="shared" ref="EH6" si="167">EDATE(EG6,1)</f>
        <v>50041</v>
      </c>
      <c r="EI6" s="101">
        <f t="shared" ref="EI6" si="168">EDATE(EH6,1)</f>
        <v>50072</v>
      </c>
      <c r="EJ6" s="101">
        <f t="shared" ref="EJ6" si="169">EDATE(EI6,1)</f>
        <v>50100</v>
      </c>
      <c r="EK6" s="101">
        <f t="shared" ref="EK6" si="170">EDATE(EJ6,1)</f>
        <v>50131</v>
      </c>
      <c r="EL6" s="101">
        <f t="shared" ref="EL6" si="171">EDATE(EK6,1)</f>
        <v>50161</v>
      </c>
      <c r="EM6" s="101">
        <f t="shared" ref="EM6" si="172">EDATE(EL6,1)</f>
        <v>50192</v>
      </c>
      <c r="EN6" s="101">
        <f t="shared" ref="EN6" si="173">EDATE(EM6,1)</f>
        <v>50222</v>
      </c>
      <c r="EO6" s="101">
        <f t="shared" ref="EO6" si="174">EDATE(EN6,1)</f>
        <v>50253</v>
      </c>
      <c r="EP6" s="101">
        <f t="shared" ref="EP6" si="175">EDATE(EO6,1)</f>
        <v>50284</v>
      </c>
      <c r="EQ6" s="101">
        <f t="shared" ref="EQ6" si="176">EDATE(EP6,1)</f>
        <v>50314</v>
      </c>
      <c r="ER6" s="101">
        <f t="shared" ref="ER6" si="177">EDATE(EQ6,1)</f>
        <v>50345</v>
      </c>
      <c r="ES6" s="101">
        <f t="shared" ref="ES6" si="178">EDATE(ER6,1)</f>
        <v>50375</v>
      </c>
      <c r="ET6" s="101">
        <f t="shared" ref="ET6" si="179">EDATE(ES6,1)</f>
        <v>50406</v>
      </c>
    </row>
    <row r="8" spans="2:150" x14ac:dyDescent="0.2">
      <c r="B8" s="83" t="s">
        <v>46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spans="2:150" x14ac:dyDescent="0.2">
      <c r="B9" t="s">
        <v>9</v>
      </c>
      <c r="D9" s="242">
        <f>SUM(F9:ET9)</f>
        <v>-3500000</v>
      </c>
      <c r="F9" s="242">
        <f>-IF(F$6=Assumptions!$F$35,Assumptions!$F$9,0)</f>
        <v>-3500000</v>
      </c>
      <c r="G9" s="242">
        <f>IF(G6=Assumptions!$F$35,Assumptions!$F$9,0)</f>
        <v>0</v>
      </c>
      <c r="H9" s="242">
        <f>IF(H6=Assumptions!$F$35,Assumptions!$F$9,0)</f>
        <v>0</v>
      </c>
      <c r="I9" s="242">
        <f>IF(I6=Assumptions!$F$35,Assumptions!$F$9,0)</f>
        <v>0</v>
      </c>
      <c r="J9" s="242">
        <f>IF(J6=Assumptions!$F$35,Assumptions!$F$9,0)</f>
        <v>0</v>
      </c>
      <c r="K9" s="242">
        <f>IF(K6=Assumptions!$F$35,Assumptions!$F$9,0)</f>
        <v>0</v>
      </c>
      <c r="L9" s="242">
        <f>IF(L6=Assumptions!$F$35,Assumptions!$F$9,0)</f>
        <v>0</v>
      </c>
      <c r="M9" s="242">
        <f>IF(M6=Assumptions!$F$35,Assumptions!$F$9,0)</f>
        <v>0</v>
      </c>
      <c r="N9" s="242">
        <f>IF(N6=Assumptions!$F$35,Assumptions!$F$9,0)</f>
        <v>0</v>
      </c>
      <c r="O9" s="242">
        <f>IF(O6=Assumptions!$F$35,Assumptions!$F$9,0)</f>
        <v>0</v>
      </c>
      <c r="P9" s="242">
        <f>IF(P6=Assumptions!$F$35,Assumptions!$F$9,0)</f>
        <v>0</v>
      </c>
      <c r="Q9" s="242">
        <f>IF(Q6=Assumptions!$F$35,Assumptions!$F$9,0)</f>
        <v>0</v>
      </c>
      <c r="R9" s="242">
        <f>IF(R6=Assumptions!$F$35,Assumptions!$F$9,0)</f>
        <v>0</v>
      </c>
      <c r="S9" s="242">
        <f>IF(S6=Assumptions!$F$35,Assumptions!$F$9,0)</f>
        <v>0</v>
      </c>
      <c r="T9" s="242">
        <f>IF(T6=Assumptions!$F$35,Assumptions!$F$9,0)</f>
        <v>0</v>
      </c>
      <c r="U9" s="242">
        <f>IF(U6=Assumptions!$F$35,Assumptions!$F$9,0)</f>
        <v>0</v>
      </c>
      <c r="V9" s="242">
        <f>IF(V6=Assumptions!$F$35,Assumptions!$F$9,0)</f>
        <v>0</v>
      </c>
      <c r="W9" s="242">
        <f>IF(W6=Assumptions!$F$35,Assumptions!$F$9,0)</f>
        <v>0</v>
      </c>
      <c r="X9" s="242">
        <f>IF(X6=Assumptions!$F$35,Assumptions!$F$9,0)</f>
        <v>0</v>
      </c>
      <c r="Y9" s="242">
        <f>IF(Y6=Assumptions!$F$35,Assumptions!$F$9,0)</f>
        <v>0</v>
      </c>
      <c r="Z9" s="242">
        <f>IF(Z6=Assumptions!$F$35,Assumptions!$F$9,0)</f>
        <v>0</v>
      </c>
      <c r="AA9" s="242">
        <f>IF(AA6=Assumptions!$F$35,Assumptions!$F$9,0)</f>
        <v>0</v>
      </c>
      <c r="AB9" s="242">
        <f>IF(AB6=Assumptions!$F$35,Assumptions!$F$9,0)</f>
        <v>0</v>
      </c>
      <c r="AC9" s="242">
        <f>IF(AC6=Assumptions!$F$35,Assumptions!$F$9,0)</f>
        <v>0</v>
      </c>
      <c r="AD9" s="242">
        <f>IF(AD6=Assumptions!$F$35,Assumptions!$F$9,0)</f>
        <v>0</v>
      </c>
      <c r="AE9" s="242">
        <f>IF(AE6=Assumptions!$F$35,Assumptions!$F$9,0)</f>
        <v>0</v>
      </c>
      <c r="AF9" s="242">
        <f>IF(AF6=Assumptions!$F$35,Assumptions!$F$9,0)</f>
        <v>0</v>
      </c>
      <c r="AG9" s="242">
        <f>IF(AG6=Assumptions!$F$35,Assumptions!$F$9,0)</f>
        <v>0</v>
      </c>
      <c r="AH9" s="242">
        <f>IF(AH6=Assumptions!$F$35,Assumptions!$F$9,0)</f>
        <v>0</v>
      </c>
      <c r="AI9" s="242">
        <f>IF(AI6=Assumptions!$F$35,Assumptions!$F$9,0)</f>
        <v>0</v>
      </c>
      <c r="AJ9" s="242">
        <f>IF(AJ6=Assumptions!$F$35,Assumptions!$F$9,0)</f>
        <v>0</v>
      </c>
      <c r="AK9" s="242">
        <f>IF(AK6=Assumptions!$F$35,Assumptions!$F$9,0)</f>
        <v>0</v>
      </c>
      <c r="AL9" s="242">
        <f>IF(AL6=Assumptions!$F$35,Assumptions!$F$9,0)</f>
        <v>0</v>
      </c>
      <c r="AM9" s="242">
        <f>IF(AM6=Assumptions!$F$35,Assumptions!$F$9,0)</f>
        <v>0</v>
      </c>
      <c r="AN9" s="242">
        <f>IF(AN6=Assumptions!$F$35,Assumptions!$F$9,0)</f>
        <v>0</v>
      </c>
      <c r="AO9" s="242">
        <f>IF(AO6=Assumptions!$F$35,Assumptions!$F$9,0)</f>
        <v>0</v>
      </c>
      <c r="AP9" s="242">
        <f>IF(AP6=Assumptions!$F$35,Assumptions!$F$9,0)</f>
        <v>0</v>
      </c>
      <c r="AQ9" s="242">
        <f>IF(AQ6=Assumptions!$F$35,Assumptions!$F$9,0)</f>
        <v>0</v>
      </c>
      <c r="AR9" s="242">
        <f>IF(AR6=Assumptions!$F$35,Assumptions!$F$9,0)</f>
        <v>0</v>
      </c>
      <c r="AS9" s="242">
        <f>IF(AS6=Assumptions!$F$35,Assumptions!$F$9,0)</f>
        <v>0</v>
      </c>
      <c r="AT9" s="242">
        <f>IF(AT6=Assumptions!$F$35,Assumptions!$F$9,0)</f>
        <v>0</v>
      </c>
      <c r="AU9" s="242">
        <f>IF(AU6=Assumptions!$F$35,Assumptions!$F$9,0)</f>
        <v>0</v>
      </c>
      <c r="AV9" s="242">
        <f>IF(AV6=Assumptions!$F$35,Assumptions!$F$9,0)</f>
        <v>0</v>
      </c>
      <c r="AW9" s="242">
        <f>IF(AW6=Assumptions!$F$35,Assumptions!$F$9,0)</f>
        <v>0</v>
      </c>
      <c r="AX9" s="242">
        <f>IF(AX6=Assumptions!$F$35,Assumptions!$F$9,0)</f>
        <v>0</v>
      </c>
      <c r="AY9" s="242">
        <f>IF(AY6=Assumptions!$F$35,Assumptions!$F$9,0)</f>
        <v>0</v>
      </c>
      <c r="AZ9" s="242">
        <f>IF(AZ6=Assumptions!$F$35,Assumptions!$F$9,0)</f>
        <v>0</v>
      </c>
      <c r="BA9" s="242">
        <f>IF(BA6=Assumptions!$F$35,Assumptions!$F$9,0)</f>
        <v>0</v>
      </c>
      <c r="BB9" s="242">
        <f>IF(BB6=Assumptions!$F$35,Assumptions!$F$9,0)</f>
        <v>0</v>
      </c>
      <c r="BC9" s="242">
        <f>IF(BC6=Assumptions!$F$35,Assumptions!$F$9,0)</f>
        <v>0</v>
      </c>
      <c r="BD9" s="242">
        <f>IF(BD6=Assumptions!$F$35,Assumptions!$F$9,0)</f>
        <v>0</v>
      </c>
      <c r="BE9" s="242">
        <f>IF(BE6=Assumptions!$F$35,Assumptions!$F$9,0)</f>
        <v>0</v>
      </c>
      <c r="BF9" s="242">
        <f>IF(BF6=Assumptions!$F$35,Assumptions!$F$9,0)</f>
        <v>0</v>
      </c>
      <c r="BG9" s="242">
        <f>IF(BG6=Assumptions!$F$35,Assumptions!$F$9,0)</f>
        <v>0</v>
      </c>
      <c r="BH9" s="242">
        <f>IF(BH6=Assumptions!$F$35,Assumptions!$F$9,0)</f>
        <v>0</v>
      </c>
      <c r="BI9" s="242">
        <f>IF(BI6=Assumptions!$F$35,Assumptions!$F$9,0)</f>
        <v>0</v>
      </c>
      <c r="BJ9" s="242">
        <f>IF(BJ6=Assumptions!$F$35,Assumptions!$F$9,0)</f>
        <v>0</v>
      </c>
      <c r="BK9" s="242">
        <f>IF(BK6=Assumptions!$F$35,Assumptions!$F$9,0)</f>
        <v>0</v>
      </c>
      <c r="BL9" s="242">
        <f>IF(BL6=Assumptions!$F$35,Assumptions!$F$9,0)</f>
        <v>0</v>
      </c>
      <c r="BM9" s="242">
        <f>IF(BM6=Assumptions!$F$35,Assumptions!$F$9,0)</f>
        <v>0</v>
      </c>
      <c r="BN9" s="242">
        <f>IF(BN6=Assumptions!$F$35,Assumptions!$F$9,0)</f>
        <v>0</v>
      </c>
      <c r="BO9" s="242">
        <f>IF(BO6=Assumptions!$F$35,Assumptions!$F$9,0)</f>
        <v>0</v>
      </c>
      <c r="BP9" s="242">
        <f>IF(BP6=Assumptions!$F$35,Assumptions!$F$9,0)</f>
        <v>0</v>
      </c>
      <c r="BQ9" s="242">
        <f>IF(BQ6=Assumptions!$F$35,Assumptions!$F$9,0)</f>
        <v>0</v>
      </c>
      <c r="BR9" s="242">
        <f>IF(BR6=Assumptions!$F$35,Assumptions!$F$9,0)</f>
        <v>0</v>
      </c>
      <c r="BS9" s="242">
        <f>IF(BS6=Assumptions!$F$35,Assumptions!$F$9,0)</f>
        <v>0</v>
      </c>
      <c r="BT9" s="242">
        <f>IF(BT6=Assumptions!$F$35,Assumptions!$F$9,0)</f>
        <v>0</v>
      </c>
      <c r="BU9" s="242">
        <f>IF(BU6=Assumptions!$F$35,Assumptions!$F$9,0)</f>
        <v>0</v>
      </c>
      <c r="BV9" s="242">
        <f>IF(BV6=Assumptions!$F$35,Assumptions!$F$9,0)</f>
        <v>0</v>
      </c>
      <c r="BW9" s="242">
        <f>IF(BW6=Assumptions!$F$35,Assumptions!$F$9,0)</f>
        <v>0</v>
      </c>
      <c r="BX9" s="242">
        <f>IF(BX6=Assumptions!$F$35,Assumptions!$F$9,0)</f>
        <v>0</v>
      </c>
      <c r="BY9" s="242">
        <f>IF(BY6=Assumptions!$F$35,Assumptions!$F$9,0)</f>
        <v>0</v>
      </c>
      <c r="BZ9" s="242">
        <f>IF(BZ6=Assumptions!$F$35,Assumptions!$F$9,0)</f>
        <v>0</v>
      </c>
      <c r="CA9" s="242">
        <f>IF(CA6=Assumptions!$F$35,Assumptions!$F$9,0)</f>
        <v>0</v>
      </c>
      <c r="CB9" s="242">
        <f>IF(CB6=Assumptions!$F$35,Assumptions!$F$9,0)</f>
        <v>0</v>
      </c>
      <c r="CC9" s="242">
        <f>IF(CC6=Assumptions!$F$35,Assumptions!$F$9,0)</f>
        <v>0</v>
      </c>
      <c r="CD9" s="242">
        <f>IF(CD6=Assumptions!$F$35,Assumptions!$F$9,0)</f>
        <v>0</v>
      </c>
      <c r="CE9" s="242">
        <f>IF(CE6=Assumptions!$F$35,Assumptions!$F$9,0)</f>
        <v>0</v>
      </c>
      <c r="CF9" s="242">
        <f>IF(CF6=Assumptions!$F$35,Assumptions!$F$9,0)</f>
        <v>0</v>
      </c>
      <c r="CG9" s="242">
        <f>IF(CG6=Assumptions!$F$35,Assumptions!$F$9,0)</f>
        <v>0</v>
      </c>
      <c r="CH9" s="242">
        <f>IF(CH6=Assumptions!$F$35,Assumptions!$F$9,0)</f>
        <v>0</v>
      </c>
      <c r="CI9" s="242">
        <f>IF(CI6=Assumptions!$F$35,Assumptions!$F$9,0)</f>
        <v>0</v>
      </c>
      <c r="CJ9" s="242">
        <f>IF(CJ6=Assumptions!$F$35,Assumptions!$F$9,0)</f>
        <v>0</v>
      </c>
      <c r="CK9" s="242">
        <f>IF(CK6=Assumptions!$F$35,Assumptions!$F$9,0)</f>
        <v>0</v>
      </c>
      <c r="CL9" s="242">
        <f>IF(CL6=Assumptions!$F$35,Assumptions!$F$9,0)</f>
        <v>0</v>
      </c>
      <c r="CM9" s="242">
        <f>IF(CM6=Assumptions!$F$35,Assumptions!$F$9,0)</f>
        <v>0</v>
      </c>
      <c r="CN9" s="242">
        <f>IF(CN6=Assumptions!$F$35,Assumptions!$F$9,0)</f>
        <v>0</v>
      </c>
      <c r="CO9" s="242">
        <f>IF(CO6=Assumptions!$F$35,Assumptions!$F$9,0)</f>
        <v>0</v>
      </c>
      <c r="CP9" s="242">
        <f>IF(CP6=Assumptions!$F$35,Assumptions!$F$9,0)</f>
        <v>0</v>
      </c>
      <c r="CQ9" s="242">
        <f>IF(CQ6=Assumptions!$F$35,Assumptions!$F$9,0)</f>
        <v>0</v>
      </c>
      <c r="CR9" s="242">
        <f>IF(CR6=Assumptions!$F$35,Assumptions!$F$9,0)</f>
        <v>0</v>
      </c>
      <c r="CS9" s="242">
        <f>IF(CS6=Assumptions!$F$35,Assumptions!$F$9,0)</f>
        <v>0</v>
      </c>
      <c r="CT9" s="242">
        <f>IF(CT6=Assumptions!$F$35,Assumptions!$F$9,0)</f>
        <v>0</v>
      </c>
      <c r="CU9" s="242">
        <f>IF(CU6=Assumptions!$F$35,Assumptions!$F$9,0)</f>
        <v>0</v>
      </c>
      <c r="CV9" s="242">
        <f>IF(CV6=Assumptions!$F$35,Assumptions!$F$9,0)</f>
        <v>0</v>
      </c>
      <c r="CW9" s="242">
        <f>IF(CW6=Assumptions!$F$35,Assumptions!$F$9,0)</f>
        <v>0</v>
      </c>
      <c r="CX9" s="242">
        <f>IF(CX6=Assumptions!$F$35,Assumptions!$F$9,0)</f>
        <v>0</v>
      </c>
      <c r="CY9" s="242">
        <f>IF(CY6=Assumptions!$F$35,Assumptions!$F$9,0)</f>
        <v>0</v>
      </c>
      <c r="CZ9" s="242">
        <f>IF(CZ6=Assumptions!$F$35,Assumptions!$F$9,0)</f>
        <v>0</v>
      </c>
      <c r="DA9" s="242">
        <f>IF(DA6=Assumptions!$F$35,Assumptions!$F$9,0)</f>
        <v>0</v>
      </c>
      <c r="DB9" s="242">
        <f>IF(DB6=Assumptions!$F$35,Assumptions!$F$9,0)</f>
        <v>0</v>
      </c>
      <c r="DC9" s="242">
        <f>IF(DC6=Assumptions!$F$35,Assumptions!$F$9,0)</f>
        <v>0</v>
      </c>
      <c r="DD9" s="242">
        <f>IF(DD6=Assumptions!$F$35,Assumptions!$F$9,0)</f>
        <v>0</v>
      </c>
      <c r="DE9" s="242">
        <f>IF(DE6=Assumptions!$F$35,Assumptions!$F$9,0)</f>
        <v>0</v>
      </c>
      <c r="DF9" s="242">
        <f>IF(DF6=Assumptions!$F$35,Assumptions!$F$9,0)</f>
        <v>0</v>
      </c>
      <c r="DG9" s="242">
        <f>IF(DG6=Assumptions!$F$35,Assumptions!$F$9,0)</f>
        <v>0</v>
      </c>
      <c r="DH9" s="242">
        <f>IF(DH6=Assumptions!$F$35,Assumptions!$F$9,0)</f>
        <v>0</v>
      </c>
      <c r="DI9" s="242">
        <f>IF(DI6=Assumptions!$F$35,Assumptions!$F$9,0)</f>
        <v>0</v>
      </c>
      <c r="DJ9" s="242">
        <f>IF(DJ6=Assumptions!$F$35,Assumptions!$F$9,0)</f>
        <v>0</v>
      </c>
      <c r="DK9" s="242">
        <f>IF(DK6=Assumptions!$F$35,Assumptions!$F$9,0)</f>
        <v>0</v>
      </c>
      <c r="DL9" s="242">
        <f>IF(DL6=Assumptions!$F$35,Assumptions!$F$9,0)</f>
        <v>0</v>
      </c>
      <c r="DM9" s="242">
        <f>IF(DM6=Assumptions!$F$35,Assumptions!$F$9,0)</f>
        <v>0</v>
      </c>
      <c r="DN9" s="242">
        <f>IF(DN6=Assumptions!$F$35,Assumptions!$F$9,0)</f>
        <v>0</v>
      </c>
      <c r="DO9" s="242">
        <f>IF(DO6=Assumptions!$F$35,Assumptions!$F$9,0)</f>
        <v>0</v>
      </c>
      <c r="DP9" s="242">
        <f>IF(DP6=Assumptions!$F$35,Assumptions!$F$9,0)</f>
        <v>0</v>
      </c>
      <c r="DQ9" s="242">
        <f>IF(DQ6=Assumptions!$F$35,Assumptions!$F$9,0)</f>
        <v>0</v>
      </c>
      <c r="DR9" s="242">
        <f>IF(DR6=Assumptions!$F$35,Assumptions!$F$9,0)</f>
        <v>0</v>
      </c>
      <c r="DS9" s="242">
        <f>IF(DS6=Assumptions!$F$35,Assumptions!$F$9,0)</f>
        <v>0</v>
      </c>
      <c r="DT9" s="242">
        <f>IF(DT6=Assumptions!$F$35,Assumptions!$F$9,0)</f>
        <v>0</v>
      </c>
      <c r="DU9" s="242">
        <f>IF(DU6=Assumptions!$F$35,Assumptions!$F$9,0)</f>
        <v>0</v>
      </c>
      <c r="DV9" s="242">
        <f>IF(DV6=Assumptions!$F$35,Assumptions!$F$9,0)</f>
        <v>0</v>
      </c>
      <c r="DW9" s="242">
        <f>IF(DW6=Assumptions!$F$35,Assumptions!$F$9,0)</f>
        <v>0</v>
      </c>
      <c r="DX9" s="242">
        <f>IF(DX6=Assumptions!$F$35,Assumptions!$F$9,0)</f>
        <v>0</v>
      </c>
      <c r="DY9" s="242">
        <f>IF(DY6=Assumptions!$F$35,Assumptions!$F$9,0)</f>
        <v>0</v>
      </c>
      <c r="DZ9" s="242">
        <f>IF(DZ6=Assumptions!$F$35,Assumptions!$F$9,0)</f>
        <v>0</v>
      </c>
      <c r="EA9" s="242">
        <f>IF(EA6=Assumptions!$F$35,Assumptions!$F$9,0)</f>
        <v>0</v>
      </c>
      <c r="EB9" s="242">
        <f>IF(EB6=Assumptions!$F$35,Assumptions!$F$9,0)</f>
        <v>0</v>
      </c>
      <c r="EC9" s="242">
        <f>IF(EC6=Assumptions!$F$35,Assumptions!$F$9,0)</f>
        <v>0</v>
      </c>
      <c r="ED9" s="242">
        <f>IF(ED6=Assumptions!$F$35,Assumptions!$F$9,0)</f>
        <v>0</v>
      </c>
      <c r="EE9" s="242">
        <f>IF(EE6=Assumptions!$F$35,Assumptions!$F$9,0)</f>
        <v>0</v>
      </c>
      <c r="EF9" s="242">
        <f>IF(EF6=Assumptions!$F$35,Assumptions!$F$9,0)</f>
        <v>0</v>
      </c>
      <c r="EG9" s="242">
        <f>IF(EG6=Assumptions!$F$35,Assumptions!$F$9,0)</f>
        <v>0</v>
      </c>
      <c r="EH9" s="242">
        <f>IF(EH6=Assumptions!$F$35,Assumptions!$F$9,0)</f>
        <v>0</v>
      </c>
      <c r="EI9" s="242">
        <f>IF(EI6=Assumptions!$F$35,Assumptions!$F$9,0)</f>
        <v>0</v>
      </c>
      <c r="EJ9" s="242">
        <f>IF(EJ6=Assumptions!$F$35,Assumptions!$F$9,0)</f>
        <v>0</v>
      </c>
      <c r="EK9" s="242">
        <f>IF(EK6=Assumptions!$F$35,Assumptions!$F$9,0)</f>
        <v>0</v>
      </c>
      <c r="EL9" s="242">
        <f>IF(EL6=Assumptions!$F$35,Assumptions!$F$9,0)</f>
        <v>0</v>
      </c>
      <c r="EM9" s="242">
        <f>IF(EM6=Assumptions!$F$35,Assumptions!$F$9,0)</f>
        <v>0</v>
      </c>
      <c r="EN9" s="242">
        <f>IF(EN6=Assumptions!$F$35,Assumptions!$F$9,0)</f>
        <v>0</v>
      </c>
      <c r="EO9" s="242">
        <f>IF(EO6=Assumptions!$F$35,Assumptions!$F$9,0)</f>
        <v>0</v>
      </c>
      <c r="EP9" s="242">
        <f>IF(EP6=Assumptions!$F$35,Assumptions!$F$9,0)</f>
        <v>0</v>
      </c>
      <c r="EQ9" s="242">
        <f>IF(EQ6=Assumptions!$F$35,Assumptions!$F$9,0)</f>
        <v>0</v>
      </c>
      <c r="ER9" s="242">
        <f>IF(ER6=Assumptions!$F$35,Assumptions!$F$9,0)</f>
        <v>0</v>
      </c>
      <c r="ES9" s="242">
        <f>IF(ES6=Assumptions!$F$35,Assumptions!$F$9,0)</f>
        <v>0</v>
      </c>
      <c r="ET9" s="242">
        <f>IF(ET6=Assumptions!$F$35,Assumptions!$F$9,0)</f>
        <v>0</v>
      </c>
    </row>
    <row r="10" spans="2:150" x14ac:dyDescent="0.2">
      <c r="B10" t="s">
        <v>117</v>
      </c>
      <c r="D10" s="242">
        <f t="shared" ref="D10:D16" ca="1" si="180">SUM(F10:ET10)</f>
        <v>-681788.21332742623</v>
      </c>
      <c r="F10" s="242">
        <f>-(IF(F$6=Assumptions!$F$35,'Closing Costs'!$E$8,0)+IF(F$6=Assumptions!$P$5,'Closing Costs'!$E$18,0)+IF(F$6=Assumptions!$P$12,'Closing Costs'!$E$28,0)+IF(F$6=Assumptions!$P$18,'Closing Costs'!$E$36,0)+IF(F$6=Assumptions!$P$26,'Closing Costs'!$E$44,0))</f>
        <v>-147250</v>
      </c>
      <c r="G10" s="242">
        <f>-(IF(G$6=Assumptions!$F$35,'Closing Costs'!$E$8,0)+IF(G$6=Assumptions!$P$5,'Closing Costs'!$E$18,0)+IF(G$6=Assumptions!$P$12,'Closing Costs'!$E$28,0)+IF(G$6=Assumptions!$P$18,'Closing Costs'!$E$36,0)+IF(G$6=Assumptions!$P$26,'Closing Costs'!$E$44,0))</f>
        <v>0</v>
      </c>
      <c r="H10" s="242">
        <f>-(IF(H$6=Assumptions!$F$35,'Closing Costs'!$E$8,0)+IF(H$6=Assumptions!$P$5,'Closing Costs'!$E$18,0)+IF(H$6=Assumptions!$P$12,'Closing Costs'!$E$28,0)+IF(H$6=Assumptions!$P$18,'Closing Costs'!$E$36,0)+IF(H$6=Assumptions!$P$26,'Closing Costs'!$E$44,0))</f>
        <v>0</v>
      </c>
      <c r="I10" s="242">
        <f>-(IF(I$6=Assumptions!$F$35,'Closing Costs'!$E$8,0)+IF(I$6=Assumptions!$P$5,'Closing Costs'!$E$18,0)+IF(I$6=Assumptions!$P$12,'Closing Costs'!$E$28,0)+IF(I$6=Assumptions!$P$18,'Closing Costs'!$E$36,0)+IF(I$6=Assumptions!$P$26,'Closing Costs'!$E$44,0))</f>
        <v>0</v>
      </c>
      <c r="J10" s="242">
        <f>-(IF(J$6=Assumptions!$F$35,'Closing Costs'!$E$8,0)+IF(J$6=Assumptions!$P$5,'Closing Costs'!$E$18,0)+IF(J$6=Assumptions!$P$12,'Closing Costs'!$E$28,0)+IF(J$6=Assumptions!$P$18,'Closing Costs'!$E$36,0)+IF(J$6=Assumptions!$P$26,'Closing Costs'!$E$44,0))</f>
        <v>0</v>
      </c>
      <c r="K10" s="242">
        <f>-(IF(K$6=Assumptions!$F$35,'Closing Costs'!$E$8,0)+IF(K$6=Assumptions!$P$5,'Closing Costs'!$E$18,0)+IF(K$6=Assumptions!$P$12,'Closing Costs'!$E$28,0)+IF(K$6=Assumptions!$P$18,'Closing Costs'!$E$36,0)+IF(K$6=Assumptions!$P$26,'Closing Costs'!$E$44,0))</f>
        <v>0</v>
      </c>
      <c r="L10" s="242">
        <f>-(IF(L$6=Assumptions!$F$35,'Closing Costs'!$E$8,0)+IF(L$6=Assumptions!$P$5,'Closing Costs'!$E$18,0)+IF(L$6=Assumptions!$P$12,'Closing Costs'!$E$28,0)+IF(L$6=Assumptions!$P$18,'Closing Costs'!$E$36,0)+IF(L$6=Assumptions!$P$26,'Closing Costs'!$E$44,0))</f>
        <v>0</v>
      </c>
      <c r="M10" s="242">
        <f>-(IF(M$6=Assumptions!$F$35,'Closing Costs'!$E$8,0)+IF(M$6=Assumptions!$P$5,'Closing Costs'!$E$18,0)+IF(M$6=Assumptions!$P$12,'Closing Costs'!$E$28,0)+IF(M$6=Assumptions!$P$18,'Closing Costs'!$E$36,0)+IF(M$6=Assumptions!$P$26,'Closing Costs'!$E$44,0))</f>
        <v>0</v>
      </c>
      <c r="N10" s="242">
        <f>-(IF(N$6=Assumptions!$F$35,'Closing Costs'!$E$8,0)+IF(N$6=Assumptions!$P$5,'Closing Costs'!$E$18,0)+IF(N$6=Assumptions!$P$12,'Closing Costs'!$E$28,0)+IF(N$6=Assumptions!$P$18,'Closing Costs'!$E$36,0)+IF(N$6=Assumptions!$P$26,'Closing Costs'!$E$44,0))</f>
        <v>0</v>
      </c>
      <c r="O10" s="242">
        <f>-(IF(O$6=Assumptions!$F$35,'Closing Costs'!$E$8,0)+IF(O$6=Assumptions!$P$5,'Closing Costs'!$E$18,0)+IF(O$6=Assumptions!$P$12,'Closing Costs'!$E$28,0)+IF(O$6=Assumptions!$P$18,'Closing Costs'!$E$36,0)+IF(O$6=Assumptions!$P$26,'Closing Costs'!$E$44,0))</f>
        <v>0</v>
      </c>
      <c r="P10" s="242">
        <f>-(IF(P$6=Assumptions!$F$35,'Closing Costs'!$E$8,0)+IF(P$6=Assumptions!$P$5,'Closing Costs'!$E$18,0)+IF(P$6=Assumptions!$P$12,'Closing Costs'!$E$28,0)+IF(P$6=Assumptions!$P$18,'Closing Costs'!$E$36,0)+IF(P$6=Assumptions!$P$26,'Closing Costs'!$E$44,0))</f>
        <v>0</v>
      </c>
      <c r="Q10" s="242">
        <f>-(IF(Q$6=Assumptions!$F$35,'Closing Costs'!$E$8,0)+IF(Q$6=Assumptions!$P$5,'Closing Costs'!$E$18,0)+IF(Q$6=Assumptions!$P$12,'Closing Costs'!$E$28,0)+IF(Q$6=Assumptions!$P$18,'Closing Costs'!$E$36,0)+IF(Q$6=Assumptions!$P$26,'Closing Costs'!$E$44,0))</f>
        <v>0</v>
      </c>
      <c r="R10" s="242">
        <f ca="1">-(IF(R$6=Assumptions!$F$35,'Closing Costs'!$E$8,0)+IF(R$6=Assumptions!$P$5,'Closing Costs'!$E$18,0)+IF(R$6=Assumptions!$P$12,'Closing Costs'!$E$28,0)+IF(R$6=Assumptions!$P$18,'Closing Costs'!$E$36,0)+IF(R$6=Assumptions!$P$26,'Closing Costs'!$E$44,0))</f>
        <v>0</v>
      </c>
      <c r="S10" s="242">
        <f>-(IF(S$6=Assumptions!$F$35,'Closing Costs'!$E$8,0)+IF(S$6=Assumptions!$P$5,'Closing Costs'!$E$18,0)+IF(S$6=Assumptions!$P$12,'Closing Costs'!$E$28,0)+IF(S$6=Assumptions!$P$18,'Closing Costs'!$E$36,0)+IF(S$6=Assumptions!$P$26,'Closing Costs'!$E$44,0))</f>
        <v>0</v>
      </c>
      <c r="T10" s="242">
        <f>-(IF(T$6=Assumptions!$F$35,'Closing Costs'!$E$8,0)+IF(T$6=Assumptions!$P$5,'Closing Costs'!$E$18,0)+IF(T$6=Assumptions!$P$12,'Closing Costs'!$E$28,0)+IF(T$6=Assumptions!$P$18,'Closing Costs'!$E$36,0)+IF(T$6=Assumptions!$P$26,'Closing Costs'!$E$44,0))</f>
        <v>0</v>
      </c>
      <c r="U10" s="242">
        <f>-(IF(U$6=Assumptions!$F$35,'Closing Costs'!$E$8,0)+IF(U$6=Assumptions!$P$5,'Closing Costs'!$E$18,0)+IF(U$6=Assumptions!$P$12,'Closing Costs'!$E$28,0)+IF(U$6=Assumptions!$P$18,'Closing Costs'!$E$36,0)+IF(U$6=Assumptions!$P$26,'Closing Costs'!$E$44,0))</f>
        <v>0</v>
      </c>
      <c r="V10" s="242">
        <f>-(IF(V$6=Assumptions!$F$35,'Closing Costs'!$E$8,0)+IF(V$6=Assumptions!$P$5,'Closing Costs'!$E$18,0)+IF(V$6=Assumptions!$P$12,'Closing Costs'!$E$28,0)+IF(V$6=Assumptions!$P$18,'Closing Costs'!$E$36,0)+IF(V$6=Assumptions!$P$26,'Closing Costs'!$E$44,0))</f>
        <v>0</v>
      </c>
      <c r="W10" s="242">
        <f>-(IF(W$6=Assumptions!$F$35,'Closing Costs'!$E$8,0)+IF(W$6=Assumptions!$P$5,'Closing Costs'!$E$18,0)+IF(W$6=Assumptions!$P$12,'Closing Costs'!$E$28,0)+IF(W$6=Assumptions!$P$18,'Closing Costs'!$E$36,0)+IF(W$6=Assumptions!$P$26,'Closing Costs'!$E$44,0))</f>
        <v>0</v>
      </c>
      <c r="X10" s="242">
        <f ca="1">-(IF(X$6=Assumptions!$F$35,'Closing Costs'!$E$8,0)+IF(X$6=Assumptions!$P$5,'Closing Costs'!$E$18,0)+IF(X$6=Assumptions!$P$12,'Closing Costs'!$E$28,0)+IF(X$6=Assumptions!$P$18,'Closing Costs'!$E$36,0)+IF(X$6=Assumptions!$P$26,'Closing Costs'!$E$44,0))</f>
        <v>-534538.21332743636</v>
      </c>
      <c r="Y10" s="242">
        <f>-(IF(Y$6=Assumptions!$F$35,'Closing Costs'!$E$8,0)+IF(Y$6=Assumptions!$P$5,'Closing Costs'!$E$18,0)+IF(Y$6=Assumptions!$P$12,'Closing Costs'!$E$28,0)+IF(Y$6=Assumptions!$P$18,'Closing Costs'!$E$36,0)+IF(Y$6=Assumptions!$P$26,'Closing Costs'!$E$44,0))</f>
        <v>0</v>
      </c>
      <c r="Z10" s="242">
        <f>-(IF(Z$6=Assumptions!$F$35,'Closing Costs'!$E$8,0)+IF(Z$6=Assumptions!$P$5,'Closing Costs'!$E$18,0)+IF(Z$6=Assumptions!$P$12,'Closing Costs'!$E$28,0)+IF(Z$6=Assumptions!$P$18,'Closing Costs'!$E$36,0)+IF(Z$6=Assumptions!$P$26,'Closing Costs'!$E$44,0))</f>
        <v>0</v>
      </c>
      <c r="AA10" s="242">
        <f>-(IF(AA$6=Assumptions!$F$35,'Closing Costs'!$E$8,0)+IF(AA$6=Assumptions!$P$5,'Closing Costs'!$E$18,0)+IF(AA$6=Assumptions!$P$12,'Closing Costs'!$E$28,0)+IF(AA$6=Assumptions!$P$18,'Closing Costs'!$E$36,0)+IF(AA$6=Assumptions!$P$26,'Closing Costs'!$E$44,0))</f>
        <v>0</v>
      </c>
      <c r="AB10" s="242">
        <f>-(IF(AB$6=Assumptions!$F$35,'Closing Costs'!$E$8,0)+IF(AB$6=Assumptions!$P$5,'Closing Costs'!$E$18,0)+IF(AB$6=Assumptions!$P$12,'Closing Costs'!$E$28,0)+IF(AB$6=Assumptions!$P$18,'Closing Costs'!$E$36,0)+IF(AB$6=Assumptions!$P$26,'Closing Costs'!$E$44,0))</f>
        <v>0</v>
      </c>
      <c r="AC10" s="242">
        <f>-(IF(AC$6=Assumptions!$F$35,'Closing Costs'!$E$8,0)+IF(AC$6=Assumptions!$P$5,'Closing Costs'!$E$18,0)+IF(AC$6=Assumptions!$P$12,'Closing Costs'!$E$28,0)+IF(AC$6=Assumptions!$P$18,'Closing Costs'!$E$36,0)+IF(AC$6=Assumptions!$P$26,'Closing Costs'!$E$44,0))</f>
        <v>0</v>
      </c>
      <c r="AD10" s="242">
        <f>-(IF(AD$6=Assumptions!$F$35,'Closing Costs'!$E$8,0)+IF(AD$6=Assumptions!$P$5,'Closing Costs'!$E$18,0)+IF(AD$6=Assumptions!$P$12,'Closing Costs'!$E$28,0)+IF(AD$6=Assumptions!$P$18,'Closing Costs'!$E$36,0)+IF(AD$6=Assumptions!$P$26,'Closing Costs'!$E$44,0))</f>
        <v>0</v>
      </c>
      <c r="AE10" s="242">
        <f>-(IF(AE$6=Assumptions!$F$35,'Closing Costs'!$E$8,0)+IF(AE$6=Assumptions!$P$5,'Closing Costs'!$E$18,0)+IF(AE$6=Assumptions!$P$12,'Closing Costs'!$E$28,0)+IF(AE$6=Assumptions!$P$18,'Closing Costs'!$E$36,0)+IF(AE$6=Assumptions!$P$26,'Closing Costs'!$E$44,0))</f>
        <v>0</v>
      </c>
      <c r="AF10" s="242">
        <f>-(IF(AF$6=Assumptions!$F$35,'Closing Costs'!$E$8,0)+IF(AF$6=Assumptions!$P$5,'Closing Costs'!$E$18,0)+IF(AF$6=Assumptions!$P$12,'Closing Costs'!$E$28,0)+IF(AF$6=Assumptions!$P$18,'Closing Costs'!$E$36,0)+IF(AF$6=Assumptions!$P$26,'Closing Costs'!$E$44,0))</f>
        <v>0</v>
      </c>
      <c r="AG10" s="242">
        <f>-(IF(AG$6=Assumptions!$F$35,'Closing Costs'!$E$8,0)+IF(AG$6=Assumptions!$P$5,'Closing Costs'!$E$18,0)+IF(AG$6=Assumptions!$P$12,'Closing Costs'!$E$28,0)+IF(AG$6=Assumptions!$P$18,'Closing Costs'!$E$36,0)+IF(AG$6=Assumptions!$P$26,'Closing Costs'!$E$44,0))</f>
        <v>0</v>
      </c>
      <c r="AH10" s="242">
        <f>-(IF(AH$6=Assumptions!$F$35,'Closing Costs'!$E$8,0)+IF(AH$6=Assumptions!$P$5,'Closing Costs'!$E$18,0)+IF(AH$6=Assumptions!$P$12,'Closing Costs'!$E$28,0)+IF(AH$6=Assumptions!$P$18,'Closing Costs'!$E$36,0)+IF(AH$6=Assumptions!$P$26,'Closing Costs'!$E$44,0))</f>
        <v>0</v>
      </c>
      <c r="AI10" s="242">
        <f>-(IF(AI$6=Assumptions!$F$35,'Closing Costs'!$E$8,0)+IF(AI$6=Assumptions!$P$5,'Closing Costs'!$E$18,0)+IF(AI$6=Assumptions!$P$12,'Closing Costs'!$E$28,0)+IF(AI$6=Assumptions!$P$18,'Closing Costs'!$E$36,0)+IF(AI$6=Assumptions!$P$26,'Closing Costs'!$E$44,0))</f>
        <v>0</v>
      </c>
      <c r="AJ10" s="242">
        <f>-(IF(AJ$6=Assumptions!$F$35,'Closing Costs'!$E$8,0)+IF(AJ$6=Assumptions!$P$5,'Closing Costs'!$E$18,0)+IF(AJ$6=Assumptions!$P$12,'Closing Costs'!$E$28,0)+IF(AJ$6=Assumptions!$P$18,'Closing Costs'!$E$36,0)+IF(AJ$6=Assumptions!$P$26,'Closing Costs'!$E$44,0))</f>
        <v>0</v>
      </c>
      <c r="AK10" s="242">
        <f>-(IF(AK$6=Assumptions!$F$35,'Closing Costs'!$E$8,0)+IF(AK$6=Assumptions!$P$5,'Closing Costs'!$E$18,0)+IF(AK$6=Assumptions!$P$12,'Closing Costs'!$E$28,0)+IF(AK$6=Assumptions!$P$18,'Closing Costs'!$E$36,0)+IF(AK$6=Assumptions!$P$26,'Closing Costs'!$E$44,0))</f>
        <v>0</v>
      </c>
      <c r="AL10" s="242">
        <f>-(IF(AL$6=Assumptions!$F$35,'Closing Costs'!$E$8,0)+IF(AL$6=Assumptions!$P$5,'Closing Costs'!$E$18,0)+IF(AL$6=Assumptions!$P$12,'Closing Costs'!$E$28,0)+IF(AL$6=Assumptions!$P$18,'Closing Costs'!$E$36,0)+IF(AL$6=Assumptions!$P$26,'Closing Costs'!$E$44,0))</f>
        <v>0</v>
      </c>
      <c r="AM10" s="242">
        <f>-(IF(AM$6=Assumptions!$F$35,'Closing Costs'!$E$8,0)+IF(AM$6=Assumptions!$P$5,'Closing Costs'!$E$18,0)+IF(AM$6=Assumptions!$P$12,'Closing Costs'!$E$28,0)+IF(AM$6=Assumptions!$P$18,'Closing Costs'!$E$36,0)+IF(AM$6=Assumptions!$P$26,'Closing Costs'!$E$44,0))</f>
        <v>0</v>
      </c>
      <c r="AN10" s="242">
        <f>-(IF(AN$6=Assumptions!$F$35,'Closing Costs'!$E$8,0)+IF(AN$6=Assumptions!$P$5,'Closing Costs'!$E$18,0)+IF(AN$6=Assumptions!$P$12,'Closing Costs'!$E$28,0)+IF(AN$6=Assumptions!$P$18,'Closing Costs'!$E$36,0)+IF(AN$6=Assumptions!$P$26,'Closing Costs'!$E$44,0))</f>
        <v>0</v>
      </c>
      <c r="AO10" s="242">
        <f>-(IF(AO$6=Assumptions!$F$35,'Closing Costs'!$E$8,0)+IF(AO$6=Assumptions!$P$5,'Closing Costs'!$E$18,0)+IF(AO$6=Assumptions!$P$12,'Closing Costs'!$E$28,0)+IF(AO$6=Assumptions!$P$18,'Closing Costs'!$E$36,0)+IF(AO$6=Assumptions!$P$26,'Closing Costs'!$E$44,0))</f>
        <v>0</v>
      </c>
      <c r="AP10" s="242">
        <f>-(IF(AP$6=Assumptions!$F$35,'Closing Costs'!$E$8,0)+IF(AP$6=Assumptions!$P$5,'Closing Costs'!$E$18,0)+IF(AP$6=Assumptions!$P$12,'Closing Costs'!$E$28,0)+IF(AP$6=Assumptions!$P$18,'Closing Costs'!$E$36,0)+IF(AP$6=Assumptions!$P$26,'Closing Costs'!$E$44,0))</f>
        <v>0</v>
      </c>
      <c r="AQ10" s="242">
        <f>-(IF(AQ$6=Assumptions!$F$35,'Closing Costs'!$E$8,0)+IF(AQ$6=Assumptions!$P$5,'Closing Costs'!$E$18,0)+IF(AQ$6=Assumptions!$P$12,'Closing Costs'!$E$28,0)+IF(AQ$6=Assumptions!$P$18,'Closing Costs'!$E$36,0)+IF(AQ$6=Assumptions!$P$26,'Closing Costs'!$E$44,0))</f>
        <v>0</v>
      </c>
      <c r="AR10" s="242">
        <f>-(IF(AR$6=Assumptions!$F$35,'Closing Costs'!$E$8,0)+IF(AR$6=Assumptions!$P$5,'Closing Costs'!$E$18,0)+IF(AR$6=Assumptions!$P$12,'Closing Costs'!$E$28,0)+IF(AR$6=Assumptions!$P$18,'Closing Costs'!$E$36,0)+IF(AR$6=Assumptions!$P$26,'Closing Costs'!$E$44,0))</f>
        <v>0</v>
      </c>
      <c r="AS10" s="242">
        <f>-(IF(AS$6=Assumptions!$F$35,'Closing Costs'!$E$8,0)+IF(AS$6=Assumptions!$P$5,'Closing Costs'!$E$18,0)+IF(AS$6=Assumptions!$P$12,'Closing Costs'!$E$28,0)+IF(AS$6=Assumptions!$P$18,'Closing Costs'!$E$36,0)+IF(AS$6=Assumptions!$P$26,'Closing Costs'!$E$44,0))</f>
        <v>0</v>
      </c>
      <c r="AT10" s="242">
        <f>-(IF(AT$6=Assumptions!$F$35,'Closing Costs'!$E$8,0)+IF(AT$6=Assumptions!$P$5,'Closing Costs'!$E$18,0)+IF(AT$6=Assumptions!$P$12,'Closing Costs'!$E$28,0)+IF(AT$6=Assumptions!$P$18,'Closing Costs'!$E$36,0)+IF(AT$6=Assumptions!$P$26,'Closing Costs'!$E$44,0))</f>
        <v>0</v>
      </c>
      <c r="AU10" s="242">
        <f>-(IF(AU$6=Assumptions!$F$35,'Closing Costs'!$E$8,0)+IF(AU$6=Assumptions!$P$5,'Closing Costs'!$E$18,0)+IF(AU$6=Assumptions!$P$12,'Closing Costs'!$E$28,0)+IF(AU$6=Assumptions!$P$18,'Closing Costs'!$E$36,0)+IF(AU$6=Assumptions!$P$26,'Closing Costs'!$E$44,0))</f>
        <v>0</v>
      </c>
      <c r="AV10" s="242">
        <f>-(IF(AV$6=Assumptions!$F$35,'Closing Costs'!$E$8,0)+IF(AV$6=Assumptions!$P$5,'Closing Costs'!$E$18,0)+IF(AV$6=Assumptions!$P$12,'Closing Costs'!$E$28,0)+IF(AV$6=Assumptions!$P$18,'Closing Costs'!$E$36,0)+IF(AV$6=Assumptions!$P$26,'Closing Costs'!$E$44,0))</f>
        <v>0</v>
      </c>
      <c r="AW10" s="242">
        <f>-(IF(AW$6=Assumptions!$F$35,'Closing Costs'!$E$8,0)+IF(AW$6=Assumptions!$P$5,'Closing Costs'!$E$18,0)+IF(AW$6=Assumptions!$P$12,'Closing Costs'!$E$28,0)+IF(AW$6=Assumptions!$P$18,'Closing Costs'!$E$36,0)+IF(AW$6=Assumptions!$P$26,'Closing Costs'!$E$44,0))</f>
        <v>0</v>
      </c>
      <c r="AX10" s="242">
        <f>-(IF(AX$6=Assumptions!$F$35,'Closing Costs'!$E$8,0)+IF(AX$6=Assumptions!$P$5,'Closing Costs'!$E$18,0)+IF(AX$6=Assumptions!$P$12,'Closing Costs'!$E$28,0)+IF(AX$6=Assumptions!$P$18,'Closing Costs'!$E$36,0)+IF(AX$6=Assumptions!$P$26,'Closing Costs'!$E$44,0))</f>
        <v>0</v>
      </c>
      <c r="AY10" s="242">
        <f>-(IF(AY$6=Assumptions!$F$35,'Closing Costs'!$E$8,0)+IF(AY$6=Assumptions!$P$5,'Closing Costs'!$E$18,0)+IF(AY$6=Assumptions!$P$12,'Closing Costs'!$E$28,0)+IF(AY$6=Assumptions!$P$18,'Closing Costs'!$E$36,0)+IF(AY$6=Assumptions!$P$26,'Closing Costs'!$E$44,0))</f>
        <v>0</v>
      </c>
      <c r="AZ10" s="242">
        <f>-(IF(AZ$6=Assumptions!$F$35,'Closing Costs'!$E$8,0)+IF(AZ$6=Assumptions!$P$5,'Closing Costs'!$E$18,0)+IF(AZ$6=Assumptions!$P$12,'Closing Costs'!$E$28,0)+IF(AZ$6=Assumptions!$P$18,'Closing Costs'!$E$36,0)+IF(AZ$6=Assumptions!$P$26,'Closing Costs'!$E$44,0))</f>
        <v>0</v>
      </c>
      <c r="BA10" s="242">
        <f>-(IF(BA$6=Assumptions!$F$35,'Closing Costs'!$E$8,0)+IF(BA$6=Assumptions!$P$5,'Closing Costs'!$E$18,0)+IF(BA$6=Assumptions!$P$12,'Closing Costs'!$E$28,0)+IF(BA$6=Assumptions!$P$18,'Closing Costs'!$E$36,0)+IF(BA$6=Assumptions!$P$26,'Closing Costs'!$E$44,0))</f>
        <v>0</v>
      </c>
      <c r="BB10" s="242">
        <f>-(IF(BB$6=Assumptions!$F$35,'Closing Costs'!$E$8,0)+IF(BB$6=Assumptions!$P$5,'Closing Costs'!$E$18,0)+IF(BB$6=Assumptions!$P$12,'Closing Costs'!$E$28,0)+IF(BB$6=Assumptions!$P$18,'Closing Costs'!$E$36,0)+IF(BB$6=Assumptions!$P$26,'Closing Costs'!$E$44,0))</f>
        <v>0</v>
      </c>
      <c r="BC10" s="242">
        <f>-(IF(BC$6=Assumptions!$F$35,'Closing Costs'!$E$8,0)+IF(BC$6=Assumptions!$P$5,'Closing Costs'!$E$18,0)+IF(BC$6=Assumptions!$P$12,'Closing Costs'!$E$28,0)+IF(BC$6=Assumptions!$P$18,'Closing Costs'!$E$36,0)+IF(BC$6=Assumptions!$P$26,'Closing Costs'!$E$44,0))</f>
        <v>0</v>
      </c>
      <c r="BD10" s="242">
        <f>-(IF(BD$6=Assumptions!$F$35,'Closing Costs'!$E$8,0)+IF(BD$6=Assumptions!$P$5,'Closing Costs'!$E$18,0)+IF(BD$6=Assumptions!$P$12,'Closing Costs'!$E$28,0)+IF(BD$6=Assumptions!$P$18,'Closing Costs'!$E$36,0)+IF(BD$6=Assumptions!$P$26,'Closing Costs'!$E$44,0))</f>
        <v>0</v>
      </c>
      <c r="BE10" s="242">
        <f>-(IF(BE$6=Assumptions!$F$35,'Closing Costs'!$E$8,0)+IF(BE$6=Assumptions!$P$5,'Closing Costs'!$E$18,0)+IF(BE$6=Assumptions!$P$12,'Closing Costs'!$E$28,0)+IF(BE$6=Assumptions!$P$18,'Closing Costs'!$E$36,0)+IF(BE$6=Assumptions!$P$26,'Closing Costs'!$E$44,0))</f>
        <v>0</v>
      </c>
      <c r="BF10" s="242">
        <f>-(IF(BF$6=Assumptions!$F$35,'Closing Costs'!$E$8,0)+IF(BF$6=Assumptions!$P$5,'Closing Costs'!$E$18,0)+IF(BF$6=Assumptions!$P$12,'Closing Costs'!$E$28,0)+IF(BF$6=Assumptions!$P$18,'Closing Costs'!$E$36,0)+IF(BF$6=Assumptions!$P$26,'Closing Costs'!$E$44,0))</f>
        <v>0</v>
      </c>
      <c r="BG10" s="242">
        <f>-(IF(BG$6=Assumptions!$F$35,'Closing Costs'!$E$8,0)+IF(BG$6=Assumptions!$P$5,'Closing Costs'!$E$18,0)+IF(BG$6=Assumptions!$P$12,'Closing Costs'!$E$28,0)+IF(BG$6=Assumptions!$P$18,'Closing Costs'!$E$36,0)+IF(BG$6=Assumptions!$P$26,'Closing Costs'!$E$44,0))</f>
        <v>0</v>
      </c>
      <c r="BH10" s="242">
        <f>-(IF(BH$6=Assumptions!$F$35,'Closing Costs'!$E$8,0)+IF(BH$6=Assumptions!$P$5,'Closing Costs'!$E$18,0)+IF(BH$6=Assumptions!$P$12,'Closing Costs'!$E$28,0)+IF(BH$6=Assumptions!$P$18,'Closing Costs'!$E$36,0)+IF(BH$6=Assumptions!$P$26,'Closing Costs'!$E$44,0))</f>
        <v>0</v>
      </c>
      <c r="BI10" s="242">
        <f>-(IF(BI$6=Assumptions!$F$35,'Closing Costs'!$E$8,0)+IF(BI$6=Assumptions!$P$5,'Closing Costs'!$E$18,0)+IF(BI$6=Assumptions!$P$12,'Closing Costs'!$E$28,0)+IF(BI$6=Assumptions!$P$18,'Closing Costs'!$E$36,0)+IF(BI$6=Assumptions!$P$26,'Closing Costs'!$E$44,0))</f>
        <v>0</v>
      </c>
      <c r="BJ10" s="242">
        <f>-(IF(BJ$6=Assumptions!$F$35,'Closing Costs'!$E$8,0)+IF(BJ$6=Assumptions!$P$5,'Closing Costs'!$E$18,0)+IF(BJ$6=Assumptions!$P$12,'Closing Costs'!$E$28,0)+IF(BJ$6=Assumptions!$P$18,'Closing Costs'!$E$36,0)+IF(BJ$6=Assumptions!$P$26,'Closing Costs'!$E$44,0))</f>
        <v>0</v>
      </c>
      <c r="BK10" s="242">
        <f>-(IF(BK$6=Assumptions!$F$35,'Closing Costs'!$E$8,0)+IF(BK$6=Assumptions!$P$5,'Closing Costs'!$E$18,0)+IF(BK$6=Assumptions!$P$12,'Closing Costs'!$E$28,0)+IF(BK$6=Assumptions!$P$18,'Closing Costs'!$E$36,0)+IF(BK$6=Assumptions!$P$26,'Closing Costs'!$E$44,0))</f>
        <v>0</v>
      </c>
      <c r="BL10" s="242">
        <f>-(IF(BL$6=Assumptions!$F$35,'Closing Costs'!$E$8,0)+IF(BL$6=Assumptions!$P$5,'Closing Costs'!$E$18,0)+IF(BL$6=Assumptions!$P$12,'Closing Costs'!$E$28,0)+IF(BL$6=Assumptions!$P$18,'Closing Costs'!$E$36,0)+IF(BL$6=Assumptions!$P$26,'Closing Costs'!$E$44,0))</f>
        <v>0</v>
      </c>
      <c r="BM10" s="242">
        <f>-(IF(BM$6=Assumptions!$F$35,'Closing Costs'!$E$8,0)+IF(BM$6=Assumptions!$P$5,'Closing Costs'!$E$18,0)+IF(BM$6=Assumptions!$P$12,'Closing Costs'!$E$28,0)+IF(BM$6=Assumptions!$P$18,'Closing Costs'!$E$36,0)+IF(BM$6=Assumptions!$P$26,'Closing Costs'!$E$44,0))</f>
        <v>0</v>
      </c>
      <c r="BN10" s="242">
        <f>-(IF(BN$6=Assumptions!$F$35,'Closing Costs'!$E$8,0)+IF(BN$6=Assumptions!$P$5,'Closing Costs'!$E$18,0)+IF(BN$6=Assumptions!$P$12,'Closing Costs'!$E$28,0)+IF(BN$6=Assumptions!$P$18,'Closing Costs'!$E$36,0)+IF(BN$6=Assumptions!$P$26,'Closing Costs'!$E$44,0))</f>
        <v>0</v>
      </c>
      <c r="BO10" s="242">
        <f>-(IF(BO$6=Assumptions!$F$35,'Closing Costs'!$E$8,0)+IF(BO$6=Assumptions!$P$5,'Closing Costs'!$E$18,0)+IF(BO$6=Assumptions!$P$12,'Closing Costs'!$E$28,0)+IF(BO$6=Assumptions!$P$18,'Closing Costs'!$E$36,0)+IF(BO$6=Assumptions!$P$26,'Closing Costs'!$E$44,0))</f>
        <v>0</v>
      </c>
      <c r="BP10" s="242">
        <f>-(IF(BP$6=Assumptions!$F$35,'Closing Costs'!$E$8,0)+IF(BP$6=Assumptions!$P$5,'Closing Costs'!$E$18,0)+IF(BP$6=Assumptions!$P$12,'Closing Costs'!$E$28,0)+IF(BP$6=Assumptions!$P$18,'Closing Costs'!$E$36,0)+IF(BP$6=Assumptions!$P$26,'Closing Costs'!$E$44,0))</f>
        <v>0</v>
      </c>
      <c r="BQ10" s="242">
        <f>-(IF(BQ$6=Assumptions!$F$35,'Closing Costs'!$E$8,0)+IF(BQ$6=Assumptions!$P$5,'Closing Costs'!$E$18,0)+IF(BQ$6=Assumptions!$P$12,'Closing Costs'!$E$28,0)+IF(BQ$6=Assumptions!$P$18,'Closing Costs'!$E$36,0)+IF(BQ$6=Assumptions!$P$26,'Closing Costs'!$E$44,0))</f>
        <v>0</v>
      </c>
      <c r="BR10" s="242">
        <f>-(IF(BR$6=Assumptions!$F$35,'Closing Costs'!$E$8,0)+IF(BR$6=Assumptions!$P$5,'Closing Costs'!$E$18,0)+IF(BR$6=Assumptions!$P$12,'Closing Costs'!$E$28,0)+IF(BR$6=Assumptions!$P$18,'Closing Costs'!$E$36,0)+IF(BR$6=Assumptions!$P$26,'Closing Costs'!$E$44,0))</f>
        <v>0</v>
      </c>
      <c r="BS10" s="242">
        <f>-(IF(BS$6=Assumptions!$F$35,'Closing Costs'!$E$8,0)+IF(BS$6=Assumptions!$P$5,'Closing Costs'!$E$18,0)+IF(BS$6=Assumptions!$P$12,'Closing Costs'!$E$28,0)+IF(BS$6=Assumptions!$P$18,'Closing Costs'!$E$36,0)+IF(BS$6=Assumptions!$P$26,'Closing Costs'!$E$44,0))</f>
        <v>0</v>
      </c>
      <c r="BT10" s="242">
        <f>-(IF(BT$6=Assumptions!$F$35,'Closing Costs'!$E$8,0)+IF(BT$6=Assumptions!$P$5,'Closing Costs'!$E$18,0)+IF(BT$6=Assumptions!$P$12,'Closing Costs'!$E$28,0)+IF(BT$6=Assumptions!$P$18,'Closing Costs'!$E$36,0)+IF(BT$6=Assumptions!$P$26,'Closing Costs'!$E$44,0))</f>
        <v>0</v>
      </c>
      <c r="BU10" s="242">
        <f>-(IF(BU$6=Assumptions!$F$35,'Closing Costs'!$E$8,0)+IF(BU$6=Assumptions!$P$5,'Closing Costs'!$E$18,0)+IF(BU$6=Assumptions!$P$12,'Closing Costs'!$E$28,0)+IF(BU$6=Assumptions!$P$18,'Closing Costs'!$E$36,0)+IF(BU$6=Assumptions!$P$26,'Closing Costs'!$E$44,0))</f>
        <v>0</v>
      </c>
      <c r="BV10" s="242">
        <f>-(IF(BV$6=Assumptions!$F$35,'Closing Costs'!$E$8,0)+IF(BV$6=Assumptions!$P$5,'Closing Costs'!$E$18,0)+IF(BV$6=Assumptions!$P$12,'Closing Costs'!$E$28,0)+IF(BV$6=Assumptions!$P$18,'Closing Costs'!$E$36,0)+IF(BV$6=Assumptions!$P$26,'Closing Costs'!$E$44,0))</f>
        <v>0</v>
      </c>
      <c r="BW10" s="242">
        <f>-(IF(BW$6=Assumptions!$F$35,'Closing Costs'!$E$8,0)+IF(BW$6=Assumptions!$P$5,'Closing Costs'!$E$18,0)+IF(BW$6=Assumptions!$P$12,'Closing Costs'!$E$28,0)+IF(BW$6=Assumptions!$P$18,'Closing Costs'!$E$36,0)+IF(BW$6=Assumptions!$P$26,'Closing Costs'!$E$44,0))</f>
        <v>0</v>
      </c>
      <c r="BX10" s="242">
        <f>-(IF(BX$6=Assumptions!$F$35,'Closing Costs'!$E$8,0)+IF(BX$6=Assumptions!$P$5,'Closing Costs'!$E$18,0)+IF(BX$6=Assumptions!$P$12,'Closing Costs'!$E$28,0)+IF(BX$6=Assumptions!$P$18,'Closing Costs'!$E$36,0)+IF(BX$6=Assumptions!$P$26,'Closing Costs'!$E$44,0))</f>
        <v>0</v>
      </c>
      <c r="BY10" s="242">
        <f>-(IF(BY$6=Assumptions!$F$35,'Closing Costs'!$E$8,0)+IF(BY$6=Assumptions!$P$5,'Closing Costs'!$E$18,0)+IF(BY$6=Assumptions!$P$12,'Closing Costs'!$E$28,0)+IF(BY$6=Assumptions!$P$18,'Closing Costs'!$E$36,0)+IF(BY$6=Assumptions!$P$26,'Closing Costs'!$E$44,0))</f>
        <v>0</v>
      </c>
      <c r="BZ10" s="242">
        <f>-(IF(BZ$6=Assumptions!$F$35,'Closing Costs'!$E$8,0)+IF(BZ$6=Assumptions!$P$5,'Closing Costs'!$E$18,0)+IF(BZ$6=Assumptions!$P$12,'Closing Costs'!$E$28,0)+IF(BZ$6=Assumptions!$P$18,'Closing Costs'!$E$36,0)+IF(BZ$6=Assumptions!$P$26,'Closing Costs'!$E$44,0))</f>
        <v>0</v>
      </c>
      <c r="CA10" s="242">
        <f>-(IF(CA$6=Assumptions!$F$35,'Closing Costs'!$E$8,0)+IF(CA$6=Assumptions!$P$5,'Closing Costs'!$E$18,0)+IF(CA$6=Assumptions!$P$12,'Closing Costs'!$E$28,0)+IF(CA$6=Assumptions!$P$18,'Closing Costs'!$E$36,0)+IF(CA$6=Assumptions!$P$26,'Closing Costs'!$E$44,0))</f>
        <v>0</v>
      </c>
      <c r="CB10" s="242">
        <f>-(IF(CB$6=Assumptions!$F$35,'Closing Costs'!$E$8,0)+IF(CB$6=Assumptions!$P$5,'Closing Costs'!$E$18,0)+IF(CB$6=Assumptions!$P$12,'Closing Costs'!$E$28,0)+IF(CB$6=Assumptions!$P$18,'Closing Costs'!$E$36,0)+IF(CB$6=Assumptions!$P$26,'Closing Costs'!$E$44,0))</f>
        <v>0</v>
      </c>
      <c r="CC10" s="242">
        <f>-(IF(CC$6=Assumptions!$F$35,'Closing Costs'!$E$8,0)+IF(CC$6=Assumptions!$P$5,'Closing Costs'!$E$18,0)+IF(CC$6=Assumptions!$P$12,'Closing Costs'!$E$28,0)+IF(CC$6=Assumptions!$P$18,'Closing Costs'!$E$36,0)+IF(CC$6=Assumptions!$P$26,'Closing Costs'!$E$44,0))</f>
        <v>0</v>
      </c>
      <c r="CD10" s="242">
        <f>-(IF(CD$6=Assumptions!$F$35,'Closing Costs'!$E$8,0)+IF(CD$6=Assumptions!$P$5,'Closing Costs'!$E$18,0)+IF(CD$6=Assumptions!$P$12,'Closing Costs'!$E$28,0)+IF(CD$6=Assumptions!$P$18,'Closing Costs'!$E$36,0)+IF(CD$6=Assumptions!$P$26,'Closing Costs'!$E$44,0))</f>
        <v>0</v>
      </c>
      <c r="CE10" s="242">
        <f>-(IF(CE$6=Assumptions!$F$35,'Closing Costs'!$E$8,0)+IF(CE$6=Assumptions!$P$5,'Closing Costs'!$E$18,0)+IF(CE$6=Assumptions!$P$12,'Closing Costs'!$E$28,0)+IF(CE$6=Assumptions!$P$18,'Closing Costs'!$E$36,0)+IF(CE$6=Assumptions!$P$26,'Closing Costs'!$E$44,0))</f>
        <v>0</v>
      </c>
      <c r="CF10" s="242">
        <f>-(IF(CF$6=Assumptions!$F$35,'Closing Costs'!$E$8,0)+IF(CF$6=Assumptions!$P$5,'Closing Costs'!$E$18,0)+IF(CF$6=Assumptions!$P$12,'Closing Costs'!$E$28,0)+IF(CF$6=Assumptions!$P$18,'Closing Costs'!$E$36,0)+IF(CF$6=Assumptions!$P$26,'Closing Costs'!$E$44,0))</f>
        <v>0</v>
      </c>
      <c r="CG10" s="242">
        <f>-(IF(CG$6=Assumptions!$F$35,'Closing Costs'!$E$8,0)+IF(CG$6=Assumptions!$P$5,'Closing Costs'!$E$18,0)+IF(CG$6=Assumptions!$P$12,'Closing Costs'!$E$28,0)+IF(CG$6=Assumptions!$P$18,'Closing Costs'!$E$36,0)+IF(CG$6=Assumptions!$P$26,'Closing Costs'!$E$44,0))</f>
        <v>0</v>
      </c>
      <c r="CH10" s="242">
        <f>-(IF(CH$6=Assumptions!$F$35,'Closing Costs'!$E$8,0)+IF(CH$6=Assumptions!$P$5,'Closing Costs'!$E$18,0)+IF(CH$6=Assumptions!$P$12,'Closing Costs'!$E$28,0)+IF(CH$6=Assumptions!$P$18,'Closing Costs'!$E$36,0)+IF(CH$6=Assumptions!$P$26,'Closing Costs'!$E$44,0))</f>
        <v>0</v>
      </c>
      <c r="CI10" s="242">
        <f>-(IF(CI$6=Assumptions!$F$35,'Closing Costs'!$E$8,0)+IF(CI$6=Assumptions!$P$5,'Closing Costs'!$E$18,0)+IF(CI$6=Assumptions!$P$12,'Closing Costs'!$E$28,0)+IF(CI$6=Assumptions!$P$18,'Closing Costs'!$E$36,0)+IF(CI$6=Assumptions!$P$26,'Closing Costs'!$E$44,0))</f>
        <v>0</v>
      </c>
      <c r="CJ10" s="242">
        <f>-(IF(CJ$6=Assumptions!$F$35,'Closing Costs'!$E$8,0)+IF(CJ$6=Assumptions!$P$5,'Closing Costs'!$E$18,0)+IF(CJ$6=Assumptions!$P$12,'Closing Costs'!$E$28,0)+IF(CJ$6=Assumptions!$P$18,'Closing Costs'!$E$36,0)+IF(CJ$6=Assumptions!$P$26,'Closing Costs'!$E$44,0))</f>
        <v>0</v>
      </c>
      <c r="CK10" s="242">
        <f>-(IF(CK$6=Assumptions!$F$35,'Closing Costs'!$E$8,0)+IF(CK$6=Assumptions!$P$5,'Closing Costs'!$E$18,0)+IF(CK$6=Assumptions!$P$12,'Closing Costs'!$E$28,0)+IF(CK$6=Assumptions!$P$18,'Closing Costs'!$E$36,0)+IF(CK$6=Assumptions!$P$26,'Closing Costs'!$E$44,0))</f>
        <v>0</v>
      </c>
      <c r="CL10" s="242">
        <f>-(IF(CL$6=Assumptions!$F$35,'Closing Costs'!$E$8,0)+IF(CL$6=Assumptions!$P$5,'Closing Costs'!$E$18,0)+IF(CL$6=Assumptions!$P$12,'Closing Costs'!$E$28,0)+IF(CL$6=Assumptions!$P$18,'Closing Costs'!$E$36,0)+IF(CL$6=Assumptions!$P$26,'Closing Costs'!$E$44,0))</f>
        <v>0</v>
      </c>
      <c r="CM10" s="242">
        <f>-(IF(CM$6=Assumptions!$F$35,'Closing Costs'!$E$8,0)+IF(CM$6=Assumptions!$P$5,'Closing Costs'!$E$18,0)+IF(CM$6=Assumptions!$P$12,'Closing Costs'!$E$28,0)+IF(CM$6=Assumptions!$P$18,'Closing Costs'!$E$36,0)+IF(CM$6=Assumptions!$P$26,'Closing Costs'!$E$44,0))</f>
        <v>0</v>
      </c>
      <c r="CN10" s="242">
        <f>-(IF(CN$6=Assumptions!$F$35,'Closing Costs'!$E$8,0)+IF(CN$6=Assumptions!$P$5,'Closing Costs'!$E$18,0)+IF(CN$6=Assumptions!$P$12,'Closing Costs'!$E$28,0)+IF(CN$6=Assumptions!$P$18,'Closing Costs'!$E$36,0)+IF(CN$6=Assumptions!$P$26,'Closing Costs'!$E$44,0))</f>
        <v>0</v>
      </c>
      <c r="CO10" s="242">
        <f>-(IF(CO$6=Assumptions!$F$35,'Closing Costs'!$E$8,0)+IF(CO$6=Assumptions!$P$5,'Closing Costs'!$E$18,0)+IF(CO$6=Assumptions!$P$12,'Closing Costs'!$E$28,0)+IF(CO$6=Assumptions!$P$18,'Closing Costs'!$E$36,0)+IF(CO$6=Assumptions!$P$26,'Closing Costs'!$E$44,0))</f>
        <v>0</v>
      </c>
      <c r="CP10" s="242">
        <f>-(IF(CP$6=Assumptions!$F$35,'Closing Costs'!$E$8,0)+IF(CP$6=Assumptions!$P$5,'Closing Costs'!$E$18,0)+IF(CP$6=Assumptions!$P$12,'Closing Costs'!$E$28,0)+IF(CP$6=Assumptions!$P$18,'Closing Costs'!$E$36,0)+IF(CP$6=Assumptions!$P$26,'Closing Costs'!$E$44,0))</f>
        <v>0</v>
      </c>
      <c r="CQ10" s="242">
        <f>-(IF(CQ$6=Assumptions!$F$35,'Closing Costs'!$E$8,0)+IF(CQ$6=Assumptions!$P$5,'Closing Costs'!$E$18,0)+IF(CQ$6=Assumptions!$P$12,'Closing Costs'!$E$28,0)+IF(CQ$6=Assumptions!$P$18,'Closing Costs'!$E$36,0)+IF(CQ$6=Assumptions!$P$26,'Closing Costs'!$E$44,0))</f>
        <v>0</v>
      </c>
      <c r="CR10" s="242">
        <f>-(IF(CR$6=Assumptions!$F$35,'Closing Costs'!$E$8,0)+IF(CR$6=Assumptions!$P$5,'Closing Costs'!$E$18,0)+IF(CR$6=Assumptions!$P$12,'Closing Costs'!$E$28,0)+IF(CR$6=Assumptions!$P$18,'Closing Costs'!$E$36,0)+IF(CR$6=Assumptions!$P$26,'Closing Costs'!$E$44,0))</f>
        <v>0</v>
      </c>
      <c r="CS10" s="242">
        <f>-(IF(CS$6=Assumptions!$F$35,'Closing Costs'!$E$8,0)+IF(CS$6=Assumptions!$P$5,'Closing Costs'!$E$18,0)+IF(CS$6=Assumptions!$P$12,'Closing Costs'!$E$28,0)+IF(CS$6=Assumptions!$P$18,'Closing Costs'!$E$36,0)+IF(CS$6=Assumptions!$P$26,'Closing Costs'!$E$44,0))</f>
        <v>0</v>
      </c>
      <c r="CT10" s="242">
        <f>-(IF(CT$6=Assumptions!$F$35,'Closing Costs'!$E$8,0)+IF(CT$6=Assumptions!$P$5,'Closing Costs'!$E$18,0)+IF(CT$6=Assumptions!$P$12,'Closing Costs'!$E$28,0)+IF(CT$6=Assumptions!$P$18,'Closing Costs'!$E$36,0)+IF(CT$6=Assumptions!$P$26,'Closing Costs'!$E$44,0))</f>
        <v>0</v>
      </c>
      <c r="CU10" s="242">
        <f>-(IF(CU$6=Assumptions!$F$35,'Closing Costs'!$E$8,0)+IF(CU$6=Assumptions!$P$5,'Closing Costs'!$E$18,0)+IF(CU$6=Assumptions!$P$12,'Closing Costs'!$E$28,0)+IF(CU$6=Assumptions!$P$18,'Closing Costs'!$E$36,0)+IF(CU$6=Assumptions!$P$26,'Closing Costs'!$E$44,0))</f>
        <v>0</v>
      </c>
      <c r="CV10" s="242">
        <f>-(IF(CV$6=Assumptions!$F$35,'Closing Costs'!$E$8,0)+IF(CV$6=Assumptions!$P$5,'Closing Costs'!$E$18,0)+IF(CV$6=Assumptions!$P$12,'Closing Costs'!$E$28,0)+IF(CV$6=Assumptions!$P$18,'Closing Costs'!$E$36,0)+IF(CV$6=Assumptions!$P$26,'Closing Costs'!$E$44,0))</f>
        <v>0</v>
      </c>
      <c r="CW10" s="242">
        <f>-(IF(CW$6=Assumptions!$F$35,'Closing Costs'!$E$8,0)+IF(CW$6=Assumptions!$P$5,'Closing Costs'!$E$18,0)+IF(CW$6=Assumptions!$P$12,'Closing Costs'!$E$28,0)+IF(CW$6=Assumptions!$P$18,'Closing Costs'!$E$36,0)+IF(CW$6=Assumptions!$P$26,'Closing Costs'!$E$44,0))</f>
        <v>0</v>
      </c>
      <c r="CX10" s="242">
        <f>-(IF(CX$6=Assumptions!$F$35,'Closing Costs'!$E$8,0)+IF(CX$6=Assumptions!$P$5,'Closing Costs'!$E$18,0)+IF(CX$6=Assumptions!$P$12,'Closing Costs'!$E$28,0)+IF(CX$6=Assumptions!$P$18,'Closing Costs'!$E$36,0)+IF(CX$6=Assumptions!$P$26,'Closing Costs'!$E$44,0))</f>
        <v>0</v>
      </c>
      <c r="CY10" s="242">
        <f>-(IF(CY$6=Assumptions!$F$35,'Closing Costs'!$E$8,0)+IF(CY$6=Assumptions!$P$5,'Closing Costs'!$E$18,0)+IF(CY$6=Assumptions!$P$12,'Closing Costs'!$E$28,0)+IF(CY$6=Assumptions!$P$18,'Closing Costs'!$E$36,0)+IF(CY$6=Assumptions!$P$26,'Closing Costs'!$E$44,0))</f>
        <v>0</v>
      </c>
      <c r="CZ10" s="242">
        <f>-(IF(CZ$6=Assumptions!$F$35,'Closing Costs'!$E$8,0)+IF(CZ$6=Assumptions!$P$5,'Closing Costs'!$E$18,0)+IF(CZ$6=Assumptions!$P$12,'Closing Costs'!$E$28,0)+IF(CZ$6=Assumptions!$P$18,'Closing Costs'!$E$36,0)+IF(CZ$6=Assumptions!$P$26,'Closing Costs'!$E$44,0))</f>
        <v>0</v>
      </c>
      <c r="DA10" s="242">
        <f>-(IF(DA$6=Assumptions!$F$35,'Closing Costs'!$E$8,0)+IF(DA$6=Assumptions!$P$5,'Closing Costs'!$E$18,0)+IF(DA$6=Assumptions!$P$12,'Closing Costs'!$E$28,0)+IF(DA$6=Assumptions!$P$18,'Closing Costs'!$E$36,0)+IF(DA$6=Assumptions!$P$26,'Closing Costs'!$E$44,0))</f>
        <v>0</v>
      </c>
      <c r="DB10" s="242">
        <f>-(IF(DB$6=Assumptions!$F$35,'Closing Costs'!$E$8,0)+IF(DB$6=Assumptions!$P$5,'Closing Costs'!$E$18,0)+IF(DB$6=Assumptions!$P$12,'Closing Costs'!$E$28,0)+IF(DB$6=Assumptions!$P$18,'Closing Costs'!$E$36,0)+IF(DB$6=Assumptions!$P$26,'Closing Costs'!$E$44,0))</f>
        <v>0</v>
      </c>
      <c r="DC10" s="242">
        <f>-(IF(DC$6=Assumptions!$F$35,'Closing Costs'!$E$8,0)+IF(DC$6=Assumptions!$P$5,'Closing Costs'!$E$18,0)+IF(DC$6=Assumptions!$P$12,'Closing Costs'!$E$28,0)+IF(DC$6=Assumptions!$P$18,'Closing Costs'!$E$36,0)+IF(DC$6=Assumptions!$P$26,'Closing Costs'!$E$44,0))</f>
        <v>0</v>
      </c>
      <c r="DD10" s="242">
        <f>-(IF(DD$6=Assumptions!$F$35,'Closing Costs'!$E$8,0)+IF(DD$6=Assumptions!$P$5,'Closing Costs'!$E$18,0)+IF(DD$6=Assumptions!$P$12,'Closing Costs'!$E$28,0)+IF(DD$6=Assumptions!$P$18,'Closing Costs'!$E$36,0)+IF(DD$6=Assumptions!$P$26,'Closing Costs'!$E$44,0))</f>
        <v>0</v>
      </c>
      <c r="DE10" s="242">
        <f>-(IF(DE$6=Assumptions!$F$35,'Closing Costs'!$E$8,0)+IF(DE$6=Assumptions!$P$5,'Closing Costs'!$E$18,0)+IF(DE$6=Assumptions!$P$12,'Closing Costs'!$E$28,0)+IF(DE$6=Assumptions!$P$18,'Closing Costs'!$E$36,0)+IF(DE$6=Assumptions!$P$26,'Closing Costs'!$E$44,0))</f>
        <v>0</v>
      </c>
      <c r="DF10" s="242">
        <f>-(IF(DF$6=Assumptions!$F$35,'Closing Costs'!$E$8,0)+IF(DF$6=Assumptions!$P$5,'Closing Costs'!$E$18,0)+IF(DF$6=Assumptions!$P$12,'Closing Costs'!$E$28,0)+IF(DF$6=Assumptions!$P$18,'Closing Costs'!$E$36,0)+IF(DF$6=Assumptions!$P$26,'Closing Costs'!$E$44,0))</f>
        <v>0</v>
      </c>
      <c r="DG10" s="242">
        <f>-(IF(DG$6=Assumptions!$F$35,'Closing Costs'!$E$8,0)+IF(DG$6=Assumptions!$P$5,'Closing Costs'!$E$18,0)+IF(DG$6=Assumptions!$P$12,'Closing Costs'!$E$28,0)+IF(DG$6=Assumptions!$P$18,'Closing Costs'!$E$36,0)+IF(DG$6=Assumptions!$P$26,'Closing Costs'!$E$44,0))</f>
        <v>0</v>
      </c>
      <c r="DH10" s="242">
        <f>-(IF(DH$6=Assumptions!$F$35,'Closing Costs'!$E$8,0)+IF(DH$6=Assumptions!$P$5,'Closing Costs'!$E$18,0)+IF(DH$6=Assumptions!$P$12,'Closing Costs'!$E$28,0)+IF(DH$6=Assumptions!$P$18,'Closing Costs'!$E$36,0)+IF(DH$6=Assumptions!$P$26,'Closing Costs'!$E$44,0))</f>
        <v>0</v>
      </c>
      <c r="DI10" s="242">
        <f>-(IF(DI$6=Assumptions!$F$35,'Closing Costs'!$E$8,0)+IF(DI$6=Assumptions!$P$5,'Closing Costs'!$E$18,0)+IF(DI$6=Assumptions!$P$12,'Closing Costs'!$E$28,0)+IF(DI$6=Assumptions!$P$18,'Closing Costs'!$E$36,0)+IF(DI$6=Assumptions!$P$26,'Closing Costs'!$E$44,0))</f>
        <v>0</v>
      </c>
      <c r="DJ10" s="242">
        <f>-(IF(DJ$6=Assumptions!$F$35,'Closing Costs'!$E$8,0)+IF(DJ$6=Assumptions!$P$5,'Closing Costs'!$E$18,0)+IF(DJ$6=Assumptions!$P$12,'Closing Costs'!$E$28,0)+IF(DJ$6=Assumptions!$P$18,'Closing Costs'!$E$36,0)+IF(DJ$6=Assumptions!$P$26,'Closing Costs'!$E$44,0))</f>
        <v>0</v>
      </c>
      <c r="DK10" s="242">
        <f>-(IF(DK$6=Assumptions!$F$35,'Closing Costs'!$E$8,0)+IF(DK$6=Assumptions!$P$5,'Closing Costs'!$E$18,0)+IF(DK$6=Assumptions!$P$12,'Closing Costs'!$E$28,0)+IF(DK$6=Assumptions!$P$18,'Closing Costs'!$E$36,0)+IF(DK$6=Assumptions!$P$26,'Closing Costs'!$E$44,0))</f>
        <v>0</v>
      </c>
      <c r="DL10" s="242">
        <f>-(IF(DL$6=Assumptions!$F$35,'Closing Costs'!$E$8,0)+IF(DL$6=Assumptions!$P$5,'Closing Costs'!$E$18,0)+IF(DL$6=Assumptions!$P$12,'Closing Costs'!$E$28,0)+IF(DL$6=Assumptions!$P$18,'Closing Costs'!$E$36,0)+IF(DL$6=Assumptions!$P$26,'Closing Costs'!$E$44,0))</f>
        <v>0</v>
      </c>
      <c r="DM10" s="242">
        <f>-(IF(DM$6=Assumptions!$F$35,'Closing Costs'!$E$8,0)+IF(DM$6=Assumptions!$P$5,'Closing Costs'!$E$18,0)+IF(DM$6=Assumptions!$P$12,'Closing Costs'!$E$28,0)+IF(DM$6=Assumptions!$P$18,'Closing Costs'!$E$36,0)+IF(DM$6=Assumptions!$P$26,'Closing Costs'!$E$44,0))</f>
        <v>0</v>
      </c>
      <c r="DN10" s="242">
        <f>-(IF(DN$6=Assumptions!$F$35,'Closing Costs'!$E$8,0)+IF(DN$6=Assumptions!$P$5,'Closing Costs'!$E$18,0)+IF(DN$6=Assumptions!$P$12,'Closing Costs'!$E$28,0)+IF(DN$6=Assumptions!$P$18,'Closing Costs'!$E$36,0)+IF(DN$6=Assumptions!$P$26,'Closing Costs'!$E$44,0))</f>
        <v>0</v>
      </c>
      <c r="DO10" s="242">
        <f>-(IF(DO$6=Assumptions!$F$35,'Closing Costs'!$E$8,0)+IF(DO$6=Assumptions!$P$5,'Closing Costs'!$E$18,0)+IF(DO$6=Assumptions!$P$12,'Closing Costs'!$E$28,0)+IF(DO$6=Assumptions!$P$18,'Closing Costs'!$E$36,0)+IF(DO$6=Assumptions!$P$26,'Closing Costs'!$E$44,0))</f>
        <v>0</v>
      </c>
      <c r="DP10" s="242">
        <f>-(IF(DP$6=Assumptions!$F$35,'Closing Costs'!$E$8,0)+IF(DP$6=Assumptions!$P$5,'Closing Costs'!$E$18,0)+IF(DP$6=Assumptions!$P$12,'Closing Costs'!$E$28,0)+IF(DP$6=Assumptions!$P$18,'Closing Costs'!$E$36,0)+IF(DP$6=Assumptions!$P$26,'Closing Costs'!$E$44,0))</f>
        <v>0</v>
      </c>
      <c r="DQ10" s="242">
        <f>-(IF(DQ$6=Assumptions!$F$35,'Closing Costs'!$E$8,0)+IF(DQ$6=Assumptions!$P$5,'Closing Costs'!$E$18,0)+IF(DQ$6=Assumptions!$P$12,'Closing Costs'!$E$28,0)+IF(DQ$6=Assumptions!$P$18,'Closing Costs'!$E$36,0)+IF(DQ$6=Assumptions!$P$26,'Closing Costs'!$E$44,0))</f>
        <v>0</v>
      </c>
      <c r="DR10" s="242">
        <f>-(IF(DR$6=Assumptions!$F$35,'Closing Costs'!$E$8,0)+IF(DR$6=Assumptions!$P$5,'Closing Costs'!$E$18,0)+IF(DR$6=Assumptions!$P$12,'Closing Costs'!$E$28,0)+IF(DR$6=Assumptions!$P$18,'Closing Costs'!$E$36,0)+IF(DR$6=Assumptions!$P$26,'Closing Costs'!$E$44,0))</f>
        <v>0</v>
      </c>
      <c r="DS10" s="242">
        <f>-(IF(DS$6=Assumptions!$F$35,'Closing Costs'!$E$8,0)+IF(DS$6=Assumptions!$P$5,'Closing Costs'!$E$18,0)+IF(DS$6=Assumptions!$P$12,'Closing Costs'!$E$28,0)+IF(DS$6=Assumptions!$P$18,'Closing Costs'!$E$36,0)+IF(DS$6=Assumptions!$P$26,'Closing Costs'!$E$44,0))</f>
        <v>0</v>
      </c>
      <c r="DT10" s="242">
        <f>-(IF(DT$6=Assumptions!$F$35,'Closing Costs'!$E$8,0)+IF(DT$6=Assumptions!$P$5,'Closing Costs'!$E$18,0)+IF(DT$6=Assumptions!$P$12,'Closing Costs'!$E$28,0)+IF(DT$6=Assumptions!$P$18,'Closing Costs'!$E$36,0)+IF(DT$6=Assumptions!$P$26,'Closing Costs'!$E$44,0))</f>
        <v>0</v>
      </c>
      <c r="DU10" s="242">
        <f>-(IF(DU$6=Assumptions!$F$35,'Closing Costs'!$E$8,0)+IF(DU$6=Assumptions!$P$5,'Closing Costs'!$E$18,0)+IF(DU$6=Assumptions!$P$12,'Closing Costs'!$E$28,0)+IF(DU$6=Assumptions!$P$18,'Closing Costs'!$E$36,0)+IF(DU$6=Assumptions!$P$26,'Closing Costs'!$E$44,0))</f>
        <v>0</v>
      </c>
      <c r="DV10" s="242">
        <f>-(IF(DV$6=Assumptions!$F$35,'Closing Costs'!$E$8,0)+IF(DV$6=Assumptions!$P$5,'Closing Costs'!$E$18,0)+IF(DV$6=Assumptions!$P$12,'Closing Costs'!$E$28,0)+IF(DV$6=Assumptions!$P$18,'Closing Costs'!$E$36,0)+IF(DV$6=Assumptions!$P$26,'Closing Costs'!$E$44,0))</f>
        <v>0</v>
      </c>
      <c r="DW10" s="242">
        <f>-(IF(DW$6=Assumptions!$F$35,'Closing Costs'!$E$8,0)+IF(DW$6=Assumptions!$P$5,'Closing Costs'!$E$18,0)+IF(DW$6=Assumptions!$P$12,'Closing Costs'!$E$28,0)+IF(DW$6=Assumptions!$P$18,'Closing Costs'!$E$36,0)+IF(DW$6=Assumptions!$P$26,'Closing Costs'!$E$44,0))</f>
        <v>0</v>
      </c>
      <c r="DX10" s="242">
        <f>-(IF(DX$6=Assumptions!$F$35,'Closing Costs'!$E$8,0)+IF(DX$6=Assumptions!$P$5,'Closing Costs'!$E$18,0)+IF(DX$6=Assumptions!$P$12,'Closing Costs'!$E$28,0)+IF(DX$6=Assumptions!$P$18,'Closing Costs'!$E$36,0)+IF(DX$6=Assumptions!$P$26,'Closing Costs'!$E$44,0))</f>
        <v>0</v>
      </c>
      <c r="DY10" s="242">
        <f>-(IF(DY$6=Assumptions!$F$35,'Closing Costs'!$E$8,0)+IF(DY$6=Assumptions!$P$5,'Closing Costs'!$E$18,0)+IF(DY$6=Assumptions!$P$12,'Closing Costs'!$E$28,0)+IF(DY$6=Assumptions!$P$18,'Closing Costs'!$E$36,0)+IF(DY$6=Assumptions!$P$26,'Closing Costs'!$E$44,0))</f>
        <v>0</v>
      </c>
      <c r="DZ10" s="242">
        <f>-(IF(DZ$6=Assumptions!$F$35,'Closing Costs'!$E$8,0)+IF(DZ$6=Assumptions!$P$5,'Closing Costs'!$E$18,0)+IF(DZ$6=Assumptions!$P$12,'Closing Costs'!$E$28,0)+IF(DZ$6=Assumptions!$P$18,'Closing Costs'!$E$36,0)+IF(DZ$6=Assumptions!$P$26,'Closing Costs'!$E$44,0))</f>
        <v>0</v>
      </c>
      <c r="EA10" s="242">
        <f>-(IF(EA$6=Assumptions!$F$35,'Closing Costs'!$E$8,0)+IF(EA$6=Assumptions!$P$5,'Closing Costs'!$E$18,0)+IF(EA$6=Assumptions!$P$12,'Closing Costs'!$E$28,0)+IF(EA$6=Assumptions!$P$18,'Closing Costs'!$E$36,0)+IF(EA$6=Assumptions!$P$26,'Closing Costs'!$E$44,0))</f>
        <v>0</v>
      </c>
      <c r="EB10" s="242">
        <f>-(IF(EB$6=Assumptions!$F$35,'Closing Costs'!$E$8,0)+IF(EB$6=Assumptions!$P$5,'Closing Costs'!$E$18,0)+IF(EB$6=Assumptions!$P$12,'Closing Costs'!$E$28,0)+IF(EB$6=Assumptions!$P$18,'Closing Costs'!$E$36,0)+IF(EB$6=Assumptions!$P$26,'Closing Costs'!$E$44,0))</f>
        <v>0</v>
      </c>
      <c r="EC10" s="242">
        <f>-(IF(EC$6=Assumptions!$F$35,'Closing Costs'!$E$8,0)+IF(EC$6=Assumptions!$P$5,'Closing Costs'!$E$18,0)+IF(EC$6=Assumptions!$P$12,'Closing Costs'!$E$28,0)+IF(EC$6=Assumptions!$P$18,'Closing Costs'!$E$36,0)+IF(EC$6=Assumptions!$P$26,'Closing Costs'!$E$44,0))</f>
        <v>0</v>
      </c>
      <c r="ED10" s="242">
        <f>-(IF(ED$6=Assumptions!$F$35,'Closing Costs'!$E$8,0)+IF(ED$6=Assumptions!$P$5,'Closing Costs'!$E$18,0)+IF(ED$6=Assumptions!$P$12,'Closing Costs'!$E$28,0)+IF(ED$6=Assumptions!$P$18,'Closing Costs'!$E$36,0)+IF(ED$6=Assumptions!$P$26,'Closing Costs'!$E$44,0))</f>
        <v>0</v>
      </c>
      <c r="EE10" s="242">
        <f>-(IF(EE$6=Assumptions!$F$35,'Closing Costs'!$E$8,0)+IF(EE$6=Assumptions!$P$5,'Closing Costs'!$E$18,0)+IF(EE$6=Assumptions!$P$12,'Closing Costs'!$E$28,0)+IF(EE$6=Assumptions!$P$18,'Closing Costs'!$E$36,0)+IF(EE$6=Assumptions!$P$26,'Closing Costs'!$E$44,0))</f>
        <v>0</v>
      </c>
      <c r="EF10" s="242">
        <f>-(IF(EF$6=Assumptions!$F$35,'Closing Costs'!$E$8,0)+IF(EF$6=Assumptions!$P$5,'Closing Costs'!$E$18,0)+IF(EF$6=Assumptions!$P$12,'Closing Costs'!$E$28,0)+IF(EF$6=Assumptions!$P$18,'Closing Costs'!$E$36,0)+IF(EF$6=Assumptions!$P$26,'Closing Costs'!$E$44,0))</f>
        <v>0</v>
      </c>
      <c r="EG10" s="242">
        <f>-(IF(EG$6=Assumptions!$F$35,'Closing Costs'!$E$8,0)+IF(EG$6=Assumptions!$P$5,'Closing Costs'!$E$18,0)+IF(EG$6=Assumptions!$P$12,'Closing Costs'!$E$28,0)+IF(EG$6=Assumptions!$P$18,'Closing Costs'!$E$36,0)+IF(EG$6=Assumptions!$P$26,'Closing Costs'!$E$44,0))</f>
        <v>0</v>
      </c>
      <c r="EH10" s="242">
        <f>-(IF(EH$6=Assumptions!$F$35,'Closing Costs'!$E$8,0)+IF(EH$6=Assumptions!$P$5,'Closing Costs'!$E$18,0)+IF(EH$6=Assumptions!$P$12,'Closing Costs'!$E$28,0)+IF(EH$6=Assumptions!$P$18,'Closing Costs'!$E$36,0)+IF(EH$6=Assumptions!$P$26,'Closing Costs'!$E$44,0))</f>
        <v>0</v>
      </c>
      <c r="EI10" s="242">
        <f>-(IF(EI$6=Assumptions!$F$35,'Closing Costs'!$E$8,0)+IF(EI$6=Assumptions!$P$5,'Closing Costs'!$E$18,0)+IF(EI$6=Assumptions!$P$12,'Closing Costs'!$E$28,0)+IF(EI$6=Assumptions!$P$18,'Closing Costs'!$E$36,0)+IF(EI$6=Assumptions!$P$26,'Closing Costs'!$E$44,0))</f>
        <v>0</v>
      </c>
      <c r="EJ10" s="242">
        <f>-(IF(EJ$6=Assumptions!$F$35,'Closing Costs'!$E$8,0)+IF(EJ$6=Assumptions!$P$5,'Closing Costs'!$E$18,0)+IF(EJ$6=Assumptions!$P$12,'Closing Costs'!$E$28,0)+IF(EJ$6=Assumptions!$P$18,'Closing Costs'!$E$36,0)+IF(EJ$6=Assumptions!$P$26,'Closing Costs'!$E$44,0))</f>
        <v>0</v>
      </c>
      <c r="EK10" s="242">
        <f>-(IF(EK$6=Assumptions!$F$35,'Closing Costs'!$E$8,0)+IF(EK$6=Assumptions!$P$5,'Closing Costs'!$E$18,0)+IF(EK$6=Assumptions!$P$12,'Closing Costs'!$E$28,0)+IF(EK$6=Assumptions!$P$18,'Closing Costs'!$E$36,0)+IF(EK$6=Assumptions!$P$26,'Closing Costs'!$E$44,0))</f>
        <v>0</v>
      </c>
      <c r="EL10" s="242">
        <f>-(IF(EL$6=Assumptions!$F$35,'Closing Costs'!$E$8,0)+IF(EL$6=Assumptions!$P$5,'Closing Costs'!$E$18,0)+IF(EL$6=Assumptions!$P$12,'Closing Costs'!$E$28,0)+IF(EL$6=Assumptions!$P$18,'Closing Costs'!$E$36,0)+IF(EL$6=Assumptions!$P$26,'Closing Costs'!$E$44,0))</f>
        <v>0</v>
      </c>
      <c r="EM10" s="242">
        <f>-(IF(EM$6=Assumptions!$F$35,'Closing Costs'!$E$8,0)+IF(EM$6=Assumptions!$P$5,'Closing Costs'!$E$18,0)+IF(EM$6=Assumptions!$P$12,'Closing Costs'!$E$28,0)+IF(EM$6=Assumptions!$P$18,'Closing Costs'!$E$36,0)+IF(EM$6=Assumptions!$P$26,'Closing Costs'!$E$44,0))</f>
        <v>0</v>
      </c>
      <c r="EN10" s="242">
        <f>-(IF(EN$6=Assumptions!$F$35,'Closing Costs'!$E$8,0)+IF(EN$6=Assumptions!$P$5,'Closing Costs'!$E$18,0)+IF(EN$6=Assumptions!$P$12,'Closing Costs'!$E$28,0)+IF(EN$6=Assumptions!$P$18,'Closing Costs'!$E$36,0)+IF(EN$6=Assumptions!$P$26,'Closing Costs'!$E$44,0))</f>
        <v>0</v>
      </c>
      <c r="EO10" s="242">
        <f>-(IF(EO$6=Assumptions!$F$35,'Closing Costs'!$E$8,0)+IF(EO$6=Assumptions!$P$5,'Closing Costs'!$E$18,0)+IF(EO$6=Assumptions!$P$12,'Closing Costs'!$E$28,0)+IF(EO$6=Assumptions!$P$18,'Closing Costs'!$E$36,0)+IF(EO$6=Assumptions!$P$26,'Closing Costs'!$E$44,0))</f>
        <v>0</v>
      </c>
      <c r="EP10" s="242">
        <f>-(IF(EP$6=Assumptions!$F$35,'Closing Costs'!$E$8,0)+IF(EP$6=Assumptions!$P$5,'Closing Costs'!$E$18,0)+IF(EP$6=Assumptions!$P$12,'Closing Costs'!$E$28,0)+IF(EP$6=Assumptions!$P$18,'Closing Costs'!$E$36,0)+IF(EP$6=Assumptions!$P$26,'Closing Costs'!$E$44,0))</f>
        <v>0</v>
      </c>
      <c r="EQ10" s="242">
        <f>-(IF(EQ$6=Assumptions!$F$35,'Closing Costs'!$E$8,0)+IF(EQ$6=Assumptions!$P$5,'Closing Costs'!$E$18,0)+IF(EQ$6=Assumptions!$P$12,'Closing Costs'!$E$28,0)+IF(EQ$6=Assumptions!$P$18,'Closing Costs'!$E$36,0)+IF(EQ$6=Assumptions!$P$26,'Closing Costs'!$E$44,0))</f>
        <v>0</v>
      </c>
      <c r="ER10" s="242">
        <f>-(IF(ER$6=Assumptions!$F$35,'Closing Costs'!$E$8,0)+IF(ER$6=Assumptions!$P$5,'Closing Costs'!$E$18,0)+IF(ER$6=Assumptions!$P$12,'Closing Costs'!$E$28,0)+IF(ER$6=Assumptions!$P$18,'Closing Costs'!$E$36,0)+IF(ER$6=Assumptions!$P$26,'Closing Costs'!$E$44,0))</f>
        <v>0</v>
      </c>
      <c r="ES10" s="242">
        <f>-(IF(ES$6=Assumptions!$F$35,'Closing Costs'!$E$8,0)+IF(ES$6=Assumptions!$P$5,'Closing Costs'!$E$18,0)+IF(ES$6=Assumptions!$P$12,'Closing Costs'!$E$28,0)+IF(ES$6=Assumptions!$P$18,'Closing Costs'!$E$36,0)+IF(ES$6=Assumptions!$P$26,'Closing Costs'!$E$44,0))</f>
        <v>0</v>
      </c>
      <c r="ET10" s="242">
        <f>-(IF(ET$6=Assumptions!$F$35,'Closing Costs'!$E$8,0)+IF(ET$6=Assumptions!$P$5,'Closing Costs'!$E$18,0)+IF(ET$6=Assumptions!$P$12,'Closing Costs'!$E$28,0)+IF(ET$6=Assumptions!$P$18,'Closing Costs'!$E$36,0)+IF(ET$6=Assumptions!$P$26,'Closing Costs'!$E$44,0))</f>
        <v>0</v>
      </c>
    </row>
    <row r="11" spans="2:150" x14ac:dyDescent="0.2">
      <c r="B11" t="s">
        <v>118</v>
      </c>
      <c r="D11" s="242">
        <f t="shared" ca="1" si="180"/>
        <v>-3080732.03838317</v>
      </c>
      <c r="F11" s="242">
        <f ca="1">-IF(F$3&lt;=SUM(Assumptions!$F$36:$F$37),('Construction Costs'!$E$34-'Construction Costs'!$E$29-'Construction Costs'!$E$31-'Construction Costs'!$E$32-'Construction Costs'!$E$33)/SUM(Assumptions!$F$36:$F$37),0)</f>
        <v>-88020.915382376334</v>
      </c>
      <c r="G11" s="242">
        <f ca="1">-IF(G$3&lt;=SUM(Assumptions!$F$36:$F$37),('Construction Costs'!$E$34-'Construction Costs'!$E$29-'Construction Costs'!$E$31-'Construction Costs'!$E$32-'Construction Costs'!$E$33)/SUM(Assumptions!$F$36:$F$37),0)</f>
        <v>-88020.915382376334</v>
      </c>
      <c r="H11" s="242">
        <f ca="1">-IF(H$3&lt;=SUM(Assumptions!$F$36:$F$37),('Construction Costs'!$E$34-'Construction Costs'!$E$29-'Construction Costs'!$E$31-'Construction Costs'!$E$32-'Construction Costs'!$E$33)/SUM(Assumptions!$F$36:$F$37),0)</f>
        <v>-88020.915382376334</v>
      </c>
      <c r="I11" s="242">
        <f ca="1">-IF(I$3&lt;=SUM(Assumptions!$F$36:$F$37),('Construction Costs'!$E$34-'Construction Costs'!$E$29-'Construction Costs'!$E$31-'Construction Costs'!$E$32-'Construction Costs'!$E$33)/SUM(Assumptions!$F$36:$F$37),0)</f>
        <v>-88020.915382376334</v>
      </c>
      <c r="J11" s="242">
        <f ca="1">-IF(J$3&lt;=SUM(Assumptions!$F$36:$F$37),('Construction Costs'!$E$34-'Construction Costs'!$E$29-'Construction Costs'!$E$31-'Construction Costs'!$E$32-'Construction Costs'!$E$33)/SUM(Assumptions!$F$36:$F$37),0)</f>
        <v>-88020.915382376334</v>
      </c>
      <c r="K11" s="242">
        <f ca="1">-IF(K$3&lt;=SUM(Assumptions!$F$36:$F$37),('Construction Costs'!$E$34-'Construction Costs'!$E$29-'Construction Costs'!$E$31-'Construction Costs'!$E$32-'Construction Costs'!$E$33)/SUM(Assumptions!$F$36:$F$37),0)</f>
        <v>-88020.915382376334</v>
      </c>
      <c r="L11" s="242">
        <f ca="1">-IF(L$3&lt;=SUM(Assumptions!$F$36:$F$37),('Construction Costs'!$E$34-'Construction Costs'!$E$29-'Construction Costs'!$E$31-'Construction Costs'!$E$32-'Construction Costs'!$E$33)/SUM(Assumptions!$F$36:$F$37),0)</f>
        <v>-88020.915382376334</v>
      </c>
      <c r="M11" s="242">
        <f ca="1">-IF(M$3&lt;=SUM(Assumptions!$F$36:$F$37),('Construction Costs'!$E$34-'Construction Costs'!$E$29-'Construction Costs'!$E$31-'Construction Costs'!$E$32-'Construction Costs'!$E$33)/SUM(Assumptions!$F$36:$F$37),0)</f>
        <v>-88020.915382376334</v>
      </c>
      <c r="N11" s="242">
        <f ca="1">-IF(N$3&lt;=SUM(Assumptions!$F$36:$F$37),('Construction Costs'!$E$34-'Construction Costs'!$E$29-'Construction Costs'!$E$31-'Construction Costs'!$E$32-'Construction Costs'!$E$33)/SUM(Assumptions!$F$36:$F$37),0)</f>
        <v>-88020.915382376334</v>
      </c>
      <c r="O11" s="242">
        <f ca="1">-IF(O$3&lt;=SUM(Assumptions!$F$36:$F$37),('Construction Costs'!$E$34-'Construction Costs'!$E$29-'Construction Costs'!$E$31-'Construction Costs'!$E$32-'Construction Costs'!$E$33)/SUM(Assumptions!$F$36:$F$37),0)</f>
        <v>-88020.915382376334</v>
      </c>
      <c r="P11" s="242">
        <f ca="1">-IF(P$3&lt;=SUM(Assumptions!$F$36:$F$37),('Construction Costs'!$E$34-'Construction Costs'!$E$29-'Construction Costs'!$E$31-'Construction Costs'!$E$32-'Construction Costs'!$E$33)/SUM(Assumptions!$F$36:$F$37),0)</f>
        <v>-88020.915382376334</v>
      </c>
      <c r="Q11" s="242">
        <f ca="1">-IF(Q$3&lt;=SUM(Assumptions!$F$36:$F$37),('Construction Costs'!$E$34-'Construction Costs'!$E$29-'Construction Costs'!$E$31-'Construction Costs'!$E$32-'Construction Costs'!$E$33)/SUM(Assumptions!$F$36:$F$37),0)</f>
        <v>-88020.915382376334</v>
      </c>
      <c r="R11" s="242">
        <f ca="1">-IF(R$3&lt;=SUM(Assumptions!$F$36:$F$37),('Construction Costs'!$E$34-'Construction Costs'!$E$29-'Construction Costs'!$E$31-'Construction Costs'!$E$32-'Construction Costs'!$E$33)/SUM(Assumptions!$F$36:$F$37),0)</f>
        <v>-88020.915382376334</v>
      </c>
      <c r="S11" s="242">
        <f ca="1">-IF(S$3&lt;=SUM(Assumptions!$F$36:$F$37),('Construction Costs'!$E$34-'Construction Costs'!$E$29-'Construction Costs'!$E$31-'Construction Costs'!$E$32-'Construction Costs'!$E$33)/SUM(Assumptions!$F$36:$F$37),0)</f>
        <v>-88020.915382376334</v>
      </c>
      <c r="T11" s="242">
        <f ca="1">-IF(T$3&lt;=SUM(Assumptions!$F$36:$F$37),('Construction Costs'!$E$34-'Construction Costs'!$E$29-'Construction Costs'!$E$31-'Construction Costs'!$E$32-'Construction Costs'!$E$33)/SUM(Assumptions!$F$36:$F$37),0)</f>
        <v>-88020.915382376334</v>
      </c>
      <c r="U11" s="242">
        <f ca="1">-IF(U$3&lt;=SUM(Assumptions!$F$36:$F$37),('Construction Costs'!$E$34-'Construction Costs'!$E$29-'Construction Costs'!$E$31-'Construction Costs'!$E$32-'Construction Costs'!$E$33)/SUM(Assumptions!$F$36:$F$37),0)</f>
        <v>-88020.915382376334</v>
      </c>
      <c r="V11" s="242">
        <f ca="1">-IF(V$3&lt;=SUM(Assumptions!$F$36:$F$37),('Construction Costs'!$E$34-'Construction Costs'!$E$29-'Construction Costs'!$E$31-'Construction Costs'!$E$32-'Construction Costs'!$E$33)/SUM(Assumptions!$F$36:$F$37),0)</f>
        <v>-88020.915382376334</v>
      </c>
      <c r="W11" s="242">
        <f ca="1">-IF(W$3&lt;=SUM(Assumptions!$F$36:$F$37),('Construction Costs'!$E$34-'Construction Costs'!$E$29-'Construction Costs'!$E$31-'Construction Costs'!$E$32-'Construction Costs'!$E$33)/SUM(Assumptions!$F$36:$F$37),0)</f>
        <v>-88020.915382376334</v>
      </c>
      <c r="X11" s="242">
        <f ca="1">-IF(X$3&lt;=SUM(Assumptions!$F$36:$F$37),('Construction Costs'!$E$34-'Construction Costs'!$E$29-'Construction Costs'!$E$31-'Construction Costs'!$E$32-'Construction Costs'!$E$33)/SUM(Assumptions!$F$36:$F$37),0)</f>
        <v>-88020.915382376334</v>
      </c>
      <c r="Y11" s="242">
        <f ca="1">-IF(Y$3&lt;=SUM(Assumptions!$F$36:$F$37),('Construction Costs'!$E$34-'Construction Costs'!$E$29-'Construction Costs'!$E$31-'Construction Costs'!$E$32-'Construction Costs'!$E$33)/SUM(Assumptions!$F$36:$F$37),0)</f>
        <v>-88020.915382376334</v>
      </c>
      <c r="Z11" s="242">
        <f ca="1">-IF(Z$3&lt;=SUM(Assumptions!$F$36:$F$37),('Construction Costs'!$E$34-'Construction Costs'!$E$29-'Construction Costs'!$E$31-'Construction Costs'!$E$32-'Construction Costs'!$E$33)/SUM(Assumptions!$F$36:$F$37),0)</f>
        <v>-88020.915382376334</v>
      </c>
      <c r="AA11" s="242">
        <f ca="1">-IF(AA$3&lt;=SUM(Assumptions!$F$36:$F$37),('Construction Costs'!$E$34-'Construction Costs'!$E$29-'Construction Costs'!$E$31-'Construction Costs'!$E$32-'Construction Costs'!$E$33)/SUM(Assumptions!$F$36:$F$37),0)</f>
        <v>-88020.915382376334</v>
      </c>
      <c r="AB11" s="242">
        <f ca="1">-IF(AB$3&lt;=SUM(Assumptions!$F$36:$F$37),('Construction Costs'!$E$34-'Construction Costs'!$E$29-'Construction Costs'!$E$31-'Construction Costs'!$E$32-'Construction Costs'!$E$33)/SUM(Assumptions!$F$36:$F$37),0)</f>
        <v>-88020.915382376334</v>
      </c>
      <c r="AC11" s="242">
        <f ca="1">-IF(AC$3&lt;=SUM(Assumptions!$F$36:$F$37),('Construction Costs'!$E$34-'Construction Costs'!$E$29-'Construction Costs'!$E$31-'Construction Costs'!$E$32-'Construction Costs'!$E$33)/SUM(Assumptions!$F$36:$F$37),0)</f>
        <v>-88020.915382376334</v>
      </c>
      <c r="AD11" s="242">
        <f ca="1">-IF(AD$3&lt;=SUM(Assumptions!$F$36:$F$37),('Construction Costs'!$E$34-'Construction Costs'!$E$29-'Construction Costs'!$E$31-'Construction Costs'!$E$32-'Construction Costs'!$E$33)/SUM(Assumptions!$F$36:$F$37),0)</f>
        <v>-88020.915382376334</v>
      </c>
      <c r="AE11" s="242">
        <f ca="1">-IF(AE$3&lt;=SUM(Assumptions!$F$36:$F$37),('Construction Costs'!$E$34-'Construction Costs'!$E$29-'Construction Costs'!$E$31-'Construction Costs'!$E$32-'Construction Costs'!$E$33)/SUM(Assumptions!$F$36:$F$37),0)</f>
        <v>-88020.915382376334</v>
      </c>
      <c r="AF11" s="242">
        <f ca="1">-IF(AF$3&lt;=SUM(Assumptions!$F$36:$F$37),('Construction Costs'!$E$34-'Construction Costs'!$E$29-'Construction Costs'!$E$31-'Construction Costs'!$E$32-'Construction Costs'!$E$33)/SUM(Assumptions!$F$36:$F$37),0)</f>
        <v>-88020.915382376334</v>
      </c>
      <c r="AG11" s="242">
        <f ca="1">-IF(AG$3&lt;=SUM(Assumptions!$F$36:$F$37),('Construction Costs'!$E$34-'Construction Costs'!$E$29-'Construction Costs'!$E$31-'Construction Costs'!$E$32-'Construction Costs'!$E$33)/SUM(Assumptions!$F$36:$F$37),0)</f>
        <v>-88020.915382376334</v>
      </c>
      <c r="AH11" s="242">
        <f ca="1">-IF(AH$3&lt;=SUM(Assumptions!$F$36:$F$37),('Construction Costs'!$E$34-'Construction Costs'!$E$29-'Construction Costs'!$E$31-'Construction Costs'!$E$32-'Construction Costs'!$E$33)/SUM(Assumptions!$F$36:$F$37),0)</f>
        <v>-88020.915382376334</v>
      </c>
      <c r="AI11" s="242">
        <f ca="1">-IF(AI$3&lt;=SUM(Assumptions!$F$36:$F$37),('Construction Costs'!$E$34-'Construction Costs'!$E$29-'Construction Costs'!$E$31-'Construction Costs'!$E$32-'Construction Costs'!$E$33)/SUM(Assumptions!$F$36:$F$37),0)</f>
        <v>-88020.915382376334</v>
      </c>
      <c r="AJ11" s="242">
        <f ca="1">-IF(AJ$3&lt;=SUM(Assumptions!$F$36:$F$37),('Construction Costs'!$E$34-'Construction Costs'!$E$29-'Construction Costs'!$E$31-'Construction Costs'!$E$32-'Construction Costs'!$E$33)/SUM(Assumptions!$F$36:$F$37),0)</f>
        <v>-88020.915382376334</v>
      </c>
      <c r="AK11" s="242">
        <f ca="1">-IF(AK$3&lt;=SUM(Assumptions!$F$36:$F$37),('Construction Costs'!$E$34-'Construction Costs'!$E$29-'Construction Costs'!$E$31-'Construction Costs'!$E$32-'Construction Costs'!$E$33)/SUM(Assumptions!$F$36:$F$37),0)</f>
        <v>-88020.915382376334</v>
      </c>
      <c r="AL11" s="242">
        <f ca="1">-IF(AL$3&lt;=SUM(Assumptions!$F$36:$F$37),('Construction Costs'!$E$34-'Construction Costs'!$E$29-'Construction Costs'!$E$31-'Construction Costs'!$E$32-'Construction Costs'!$E$33)/SUM(Assumptions!$F$36:$F$37),0)</f>
        <v>-88020.915382376334</v>
      </c>
      <c r="AM11" s="242">
        <f ca="1">-IF(AM$3&lt;=SUM(Assumptions!$F$36:$F$37),('Construction Costs'!$E$34-'Construction Costs'!$E$29-'Construction Costs'!$E$31-'Construction Costs'!$E$32-'Construction Costs'!$E$33)/SUM(Assumptions!$F$36:$F$37),0)</f>
        <v>-88020.915382376334</v>
      </c>
      <c r="AN11" s="242">
        <f ca="1">-IF(AN$3&lt;=SUM(Assumptions!$F$36:$F$37),('Construction Costs'!$E$34-'Construction Costs'!$E$29-'Construction Costs'!$E$31-'Construction Costs'!$E$32-'Construction Costs'!$E$33)/SUM(Assumptions!$F$36:$F$37),0)</f>
        <v>-88020.915382376334</v>
      </c>
      <c r="AO11" s="242">
        <f>-IF(AO$3&lt;=SUM(Assumptions!$F$36:$F$37),('Construction Costs'!$E$34-'Construction Costs'!$E$29-'Construction Costs'!$E$31-'Construction Costs'!$E$32-'Construction Costs'!$E$33)/SUM(Assumptions!$F$36:$F$37),0)</f>
        <v>0</v>
      </c>
      <c r="AP11" s="242">
        <f>-IF(AP$3&lt;=SUM(Assumptions!$F$36:$F$37),('Construction Costs'!$E$34-'Construction Costs'!$E$29-'Construction Costs'!$E$31-'Construction Costs'!$E$32-'Construction Costs'!$E$33)/SUM(Assumptions!$F$36:$F$37),0)</f>
        <v>0</v>
      </c>
      <c r="AQ11" s="242">
        <f>-IF(AQ$3&lt;=SUM(Assumptions!$F$36:$F$37),('Construction Costs'!$E$34-'Construction Costs'!$E$29-'Construction Costs'!$E$31-'Construction Costs'!$E$32-'Construction Costs'!$E$33)/SUM(Assumptions!$F$36:$F$37),0)</f>
        <v>0</v>
      </c>
      <c r="AR11" s="242">
        <f>-IF(AR$3&lt;=SUM(Assumptions!$F$36:$F$37),('Construction Costs'!$E$34-'Construction Costs'!$E$29-'Construction Costs'!$E$31-'Construction Costs'!$E$32-'Construction Costs'!$E$33)/SUM(Assumptions!$F$36:$F$37),0)</f>
        <v>0</v>
      </c>
      <c r="AS11" s="242">
        <f>-IF(AS$3&lt;=SUM(Assumptions!$F$36:$F$37),('Construction Costs'!$E$34-'Construction Costs'!$E$29-'Construction Costs'!$E$31-'Construction Costs'!$E$32-'Construction Costs'!$E$33)/SUM(Assumptions!$F$36:$F$37),0)</f>
        <v>0</v>
      </c>
      <c r="AT11" s="242">
        <f>-IF(AT$3&lt;=SUM(Assumptions!$F$36:$F$37),('Construction Costs'!$E$34-'Construction Costs'!$E$29-'Construction Costs'!$E$31-'Construction Costs'!$E$32-'Construction Costs'!$E$33)/SUM(Assumptions!$F$36:$F$37),0)</f>
        <v>0</v>
      </c>
      <c r="AU11" s="242">
        <f>-IF(AU$3&lt;=SUM(Assumptions!$F$36:$F$37),('Construction Costs'!$E$34-'Construction Costs'!$E$29-'Construction Costs'!$E$31-'Construction Costs'!$E$32-'Construction Costs'!$E$33)/SUM(Assumptions!$F$36:$F$37),0)</f>
        <v>0</v>
      </c>
      <c r="AV11" s="242">
        <f>-IF(AV$3&lt;=SUM(Assumptions!$F$36:$F$37),('Construction Costs'!$E$34-'Construction Costs'!$E$29-'Construction Costs'!$E$31-'Construction Costs'!$E$32-'Construction Costs'!$E$33)/SUM(Assumptions!$F$36:$F$37),0)</f>
        <v>0</v>
      </c>
      <c r="AW11" s="242">
        <f>-IF(AW$3&lt;=SUM(Assumptions!$F$36:$F$37),('Construction Costs'!$E$34-'Construction Costs'!$E$29-'Construction Costs'!$E$31-'Construction Costs'!$E$32-'Construction Costs'!$E$33)/SUM(Assumptions!$F$36:$F$37),0)</f>
        <v>0</v>
      </c>
      <c r="AX11" s="242">
        <f>-IF(AX$3&lt;=SUM(Assumptions!$F$36:$F$37),('Construction Costs'!$E$34-'Construction Costs'!$E$29-'Construction Costs'!$E$31-'Construction Costs'!$E$32-'Construction Costs'!$E$33)/SUM(Assumptions!$F$36:$F$37),0)</f>
        <v>0</v>
      </c>
      <c r="AY11" s="242">
        <f>-IF(AY$3&lt;=SUM(Assumptions!$F$36:$F$37),('Construction Costs'!$E$34-'Construction Costs'!$E$29-'Construction Costs'!$E$31-'Construction Costs'!$E$32-'Construction Costs'!$E$33)/SUM(Assumptions!$F$36:$F$37),0)</f>
        <v>0</v>
      </c>
      <c r="AZ11" s="242">
        <f>-IF(AZ$3&lt;=SUM(Assumptions!$F$36:$F$37),('Construction Costs'!$E$34-'Construction Costs'!$E$29-'Construction Costs'!$E$31-'Construction Costs'!$E$32-'Construction Costs'!$E$33)/SUM(Assumptions!$F$36:$F$37),0)</f>
        <v>0</v>
      </c>
      <c r="BA11" s="242">
        <f>-IF(BA$3&lt;=SUM(Assumptions!$F$36:$F$37),('Construction Costs'!$E$34-'Construction Costs'!$E$29-'Construction Costs'!$E$31-'Construction Costs'!$E$32-'Construction Costs'!$E$33)/SUM(Assumptions!$F$36:$F$37),0)</f>
        <v>0</v>
      </c>
      <c r="BB11" s="242">
        <f>-IF(BB$3&lt;=SUM(Assumptions!$F$36:$F$37),('Construction Costs'!$E$34-'Construction Costs'!$E$29-'Construction Costs'!$E$31-'Construction Costs'!$E$32-'Construction Costs'!$E$33)/SUM(Assumptions!$F$36:$F$37),0)</f>
        <v>0</v>
      </c>
      <c r="BC11" s="242">
        <f>-IF(BC$3&lt;=SUM(Assumptions!$F$36:$F$37),('Construction Costs'!$E$34-'Construction Costs'!$E$29-'Construction Costs'!$E$31-'Construction Costs'!$E$32-'Construction Costs'!$E$33)/SUM(Assumptions!$F$36:$F$37),0)</f>
        <v>0</v>
      </c>
      <c r="BD11" s="242">
        <f>-IF(BD$3&lt;=SUM(Assumptions!$F$36:$F$37),('Construction Costs'!$E$34-'Construction Costs'!$E$29-'Construction Costs'!$E$31-'Construction Costs'!$E$32-'Construction Costs'!$E$33)/SUM(Assumptions!$F$36:$F$37),0)</f>
        <v>0</v>
      </c>
      <c r="BE11" s="242">
        <f>-IF(BE$3&lt;=SUM(Assumptions!$F$36:$F$37),('Construction Costs'!$E$34-'Construction Costs'!$E$29-'Construction Costs'!$E$31-'Construction Costs'!$E$32-'Construction Costs'!$E$33)/SUM(Assumptions!$F$36:$F$37),0)</f>
        <v>0</v>
      </c>
      <c r="BF11" s="242">
        <f>-IF(BF$3&lt;=SUM(Assumptions!$F$36:$F$37),('Construction Costs'!$E$34-'Construction Costs'!$E$29-'Construction Costs'!$E$31-'Construction Costs'!$E$32-'Construction Costs'!$E$33)/SUM(Assumptions!$F$36:$F$37),0)</f>
        <v>0</v>
      </c>
      <c r="BG11" s="242">
        <f>-IF(BG$3&lt;=SUM(Assumptions!$F$36:$F$37),('Construction Costs'!$E$34-'Construction Costs'!$E$29-'Construction Costs'!$E$31-'Construction Costs'!$E$32-'Construction Costs'!$E$33)/SUM(Assumptions!$F$36:$F$37),0)</f>
        <v>0</v>
      </c>
      <c r="BH11" s="242">
        <f>-IF(BH$3&lt;=SUM(Assumptions!$F$36:$F$37),('Construction Costs'!$E$34-'Construction Costs'!$E$29-'Construction Costs'!$E$31-'Construction Costs'!$E$32-'Construction Costs'!$E$33)/SUM(Assumptions!$F$36:$F$37),0)</f>
        <v>0</v>
      </c>
      <c r="BI11" s="242">
        <f>-IF(BI$3&lt;=SUM(Assumptions!$F$36:$F$37),('Construction Costs'!$E$34-'Construction Costs'!$E$29-'Construction Costs'!$E$31-'Construction Costs'!$E$32-'Construction Costs'!$E$33)/SUM(Assumptions!$F$36:$F$37),0)</f>
        <v>0</v>
      </c>
      <c r="BJ11" s="242">
        <f>-IF(BJ$3&lt;=SUM(Assumptions!$F$36:$F$37),('Construction Costs'!$E$34-'Construction Costs'!$E$29-'Construction Costs'!$E$31-'Construction Costs'!$E$32-'Construction Costs'!$E$33)/SUM(Assumptions!$F$36:$F$37),0)</f>
        <v>0</v>
      </c>
      <c r="BK11" s="242">
        <f>-IF(BK$3&lt;=SUM(Assumptions!$F$36:$F$37),('Construction Costs'!$E$34-'Construction Costs'!$E$29-'Construction Costs'!$E$31-'Construction Costs'!$E$32-'Construction Costs'!$E$33)/SUM(Assumptions!$F$36:$F$37),0)</f>
        <v>0</v>
      </c>
      <c r="BL11" s="242">
        <f>-IF(BL$3&lt;=SUM(Assumptions!$F$36:$F$37),('Construction Costs'!$E$34-'Construction Costs'!$E$29-'Construction Costs'!$E$31-'Construction Costs'!$E$32-'Construction Costs'!$E$33)/SUM(Assumptions!$F$36:$F$37),0)</f>
        <v>0</v>
      </c>
      <c r="BM11" s="242">
        <f>-IF(BM$3&lt;=SUM(Assumptions!$F$36:$F$37),('Construction Costs'!$E$34-'Construction Costs'!$E$29-'Construction Costs'!$E$31-'Construction Costs'!$E$32-'Construction Costs'!$E$33)/SUM(Assumptions!$F$36:$F$37),0)</f>
        <v>0</v>
      </c>
      <c r="BN11" s="242">
        <f>-IF(BN$3&lt;=SUM(Assumptions!$F$36:$F$37),('Construction Costs'!$E$34-'Construction Costs'!$E$29-'Construction Costs'!$E$31-'Construction Costs'!$E$32-'Construction Costs'!$E$33)/SUM(Assumptions!$F$36:$F$37),0)</f>
        <v>0</v>
      </c>
      <c r="BO11" s="242">
        <f>-IF(BO$3&lt;=SUM(Assumptions!$F$36:$F$37),('Construction Costs'!$E$34-'Construction Costs'!$E$29-'Construction Costs'!$E$31-'Construction Costs'!$E$32-'Construction Costs'!$E$33)/SUM(Assumptions!$F$36:$F$37),0)</f>
        <v>0</v>
      </c>
      <c r="BP11" s="242">
        <f>-IF(BP$3&lt;=SUM(Assumptions!$F$36:$F$37),('Construction Costs'!$E$34-'Construction Costs'!$E$29-'Construction Costs'!$E$31-'Construction Costs'!$E$32-'Construction Costs'!$E$33)/SUM(Assumptions!$F$36:$F$37),0)</f>
        <v>0</v>
      </c>
      <c r="BQ11" s="242">
        <f>-IF(BQ$3&lt;=SUM(Assumptions!$F$36:$F$37),('Construction Costs'!$E$34-'Construction Costs'!$E$29-'Construction Costs'!$E$31-'Construction Costs'!$E$32-'Construction Costs'!$E$33)/SUM(Assumptions!$F$36:$F$37),0)</f>
        <v>0</v>
      </c>
      <c r="BR11" s="242">
        <f>-IF(BR$3&lt;=SUM(Assumptions!$F$36:$F$37),('Construction Costs'!$E$34-'Construction Costs'!$E$29-'Construction Costs'!$E$31-'Construction Costs'!$E$32-'Construction Costs'!$E$33)/SUM(Assumptions!$F$36:$F$37),0)</f>
        <v>0</v>
      </c>
      <c r="BS11" s="242">
        <f>-IF(BS$3&lt;=SUM(Assumptions!$F$36:$F$37),('Construction Costs'!$E$34-'Construction Costs'!$E$29-'Construction Costs'!$E$31-'Construction Costs'!$E$32-'Construction Costs'!$E$33)/SUM(Assumptions!$F$36:$F$37),0)</f>
        <v>0</v>
      </c>
      <c r="BT11" s="242">
        <f>-IF(BT$3&lt;=SUM(Assumptions!$F$36:$F$37),('Construction Costs'!$E$34-'Construction Costs'!$E$29-'Construction Costs'!$E$31-'Construction Costs'!$E$32-'Construction Costs'!$E$33)/SUM(Assumptions!$F$36:$F$37),0)</f>
        <v>0</v>
      </c>
      <c r="BU11" s="242">
        <f>-IF(BU$3&lt;=SUM(Assumptions!$F$36:$F$37),('Construction Costs'!$E$34-'Construction Costs'!$E$29-'Construction Costs'!$E$31-'Construction Costs'!$E$32-'Construction Costs'!$E$33)/SUM(Assumptions!$F$36:$F$37),0)</f>
        <v>0</v>
      </c>
      <c r="BV11" s="242">
        <f>-IF(BV$3&lt;=SUM(Assumptions!$F$36:$F$37),('Construction Costs'!$E$34-'Construction Costs'!$E$29-'Construction Costs'!$E$31-'Construction Costs'!$E$32-'Construction Costs'!$E$33)/SUM(Assumptions!$F$36:$F$37),0)</f>
        <v>0</v>
      </c>
      <c r="BW11" s="242">
        <f>-IF(BW$3&lt;=SUM(Assumptions!$F$36:$F$37),('Construction Costs'!$E$34-'Construction Costs'!$E$29-'Construction Costs'!$E$31-'Construction Costs'!$E$32-'Construction Costs'!$E$33)/SUM(Assumptions!$F$36:$F$37),0)</f>
        <v>0</v>
      </c>
      <c r="BX11" s="242">
        <f>-IF(BX$3&lt;=SUM(Assumptions!$F$36:$F$37),('Construction Costs'!$E$34-'Construction Costs'!$E$29-'Construction Costs'!$E$31-'Construction Costs'!$E$32-'Construction Costs'!$E$33)/SUM(Assumptions!$F$36:$F$37),0)</f>
        <v>0</v>
      </c>
      <c r="BY11" s="242">
        <f>-IF(BY$3&lt;=SUM(Assumptions!$F$36:$F$37),('Construction Costs'!$E$34-'Construction Costs'!$E$29-'Construction Costs'!$E$31-'Construction Costs'!$E$32-'Construction Costs'!$E$33)/SUM(Assumptions!$F$36:$F$37),0)</f>
        <v>0</v>
      </c>
      <c r="BZ11" s="242">
        <f>-IF(BZ$3&lt;=SUM(Assumptions!$F$36:$F$37),('Construction Costs'!$E$34-'Construction Costs'!$E$29-'Construction Costs'!$E$31-'Construction Costs'!$E$32-'Construction Costs'!$E$33)/SUM(Assumptions!$F$36:$F$37),0)</f>
        <v>0</v>
      </c>
      <c r="CA11" s="242">
        <f>-IF(CA$3&lt;=SUM(Assumptions!$F$36:$F$37),('Construction Costs'!$E$34-'Construction Costs'!$E$29-'Construction Costs'!$E$31-'Construction Costs'!$E$32-'Construction Costs'!$E$33)/SUM(Assumptions!$F$36:$F$37),0)</f>
        <v>0</v>
      </c>
      <c r="CB11" s="242">
        <f>-IF(CB$3&lt;=SUM(Assumptions!$F$36:$F$37),('Construction Costs'!$E$34-'Construction Costs'!$E$29-'Construction Costs'!$E$31-'Construction Costs'!$E$32-'Construction Costs'!$E$33)/SUM(Assumptions!$F$36:$F$37),0)</f>
        <v>0</v>
      </c>
      <c r="CC11" s="242">
        <f>-IF(CC$3&lt;=SUM(Assumptions!$F$36:$F$37),('Construction Costs'!$E$34-'Construction Costs'!$E$29-'Construction Costs'!$E$31-'Construction Costs'!$E$32-'Construction Costs'!$E$33)/SUM(Assumptions!$F$36:$F$37),0)</f>
        <v>0</v>
      </c>
      <c r="CD11" s="242">
        <f>-IF(CD$3&lt;=SUM(Assumptions!$F$36:$F$37),('Construction Costs'!$E$34-'Construction Costs'!$E$29-'Construction Costs'!$E$31-'Construction Costs'!$E$32-'Construction Costs'!$E$33)/SUM(Assumptions!$F$36:$F$37),0)</f>
        <v>0</v>
      </c>
      <c r="CE11" s="242">
        <f>-IF(CE$3&lt;=SUM(Assumptions!$F$36:$F$37),('Construction Costs'!$E$34-'Construction Costs'!$E$29-'Construction Costs'!$E$31-'Construction Costs'!$E$32-'Construction Costs'!$E$33)/SUM(Assumptions!$F$36:$F$37),0)</f>
        <v>0</v>
      </c>
      <c r="CF11" s="242">
        <f>-IF(CF$3&lt;=SUM(Assumptions!$F$36:$F$37),('Construction Costs'!$E$34-'Construction Costs'!$E$29-'Construction Costs'!$E$31-'Construction Costs'!$E$32-'Construction Costs'!$E$33)/SUM(Assumptions!$F$36:$F$37),0)</f>
        <v>0</v>
      </c>
      <c r="CG11" s="242">
        <f>-IF(CG$3&lt;=SUM(Assumptions!$F$36:$F$37),('Construction Costs'!$E$34-'Construction Costs'!$E$29-'Construction Costs'!$E$31-'Construction Costs'!$E$32-'Construction Costs'!$E$33)/SUM(Assumptions!$F$36:$F$37),0)</f>
        <v>0</v>
      </c>
      <c r="CH11" s="242">
        <f>-IF(CH$3&lt;=SUM(Assumptions!$F$36:$F$37),('Construction Costs'!$E$34-'Construction Costs'!$E$29-'Construction Costs'!$E$31-'Construction Costs'!$E$32-'Construction Costs'!$E$33)/SUM(Assumptions!$F$36:$F$37),0)</f>
        <v>0</v>
      </c>
      <c r="CI11" s="242">
        <f>-IF(CI$3&lt;=SUM(Assumptions!$F$36:$F$37),('Construction Costs'!$E$34-'Construction Costs'!$E$29-'Construction Costs'!$E$31-'Construction Costs'!$E$32-'Construction Costs'!$E$33)/SUM(Assumptions!$F$36:$F$37),0)</f>
        <v>0</v>
      </c>
      <c r="CJ11" s="242">
        <f>-IF(CJ$3&lt;=SUM(Assumptions!$F$36:$F$37),('Construction Costs'!$E$34-'Construction Costs'!$E$29-'Construction Costs'!$E$31-'Construction Costs'!$E$32-'Construction Costs'!$E$33)/SUM(Assumptions!$F$36:$F$37),0)</f>
        <v>0</v>
      </c>
      <c r="CK11" s="242">
        <f>-IF(CK$3&lt;=SUM(Assumptions!$F$36:$F$37),('Construction Costs'!$E$34-'Construction Costs'!$E$29-'Construction Costs'!$E$31-'Construction Costs'!$E$32-'Construction Costs'!$E$33)/SUM(Assumptions!$F$36:$F$37),0)</f>
        <v>0</v>
      </c>
      <c r="CL11" s="242">
        <f>-IF(CL$3&lt;=SUM(Assumptions!$F$36:$F$37),('Construction Costs'!$E$34-'Construction Costs'!$E$29-'Construction Costs'!$E$31-'Construction Costs'!$E$32-'Construction Costs'!$E$33)/SUM(Assumptions!$F$36:$F$37),0)</f>
        <v>0</v>
      </c>
      <c r="CM11" s="242">
        <f>-IF(CM$3&lt;=SUM(Assumptions!$F$36:$F$37),('Construction Costs'!$E$34-'Construction Costs'!$E$29-'Construction Costs'!$E$31-'Construction Costs'!$E$32-'Construction Costs'!$E$33)/SUM(Assumptions!$F$36:$F$37),0)</f>
        <v>0</v>
      </c>
      <c r="CN11" s="242">
        <f>-IF(CN$3&lt;=SUM(Assumptions!$F$36:$F$37),('Construction Costs'!$E$34-'Construction Costs'!$E$29-'Construction Costs'!$E$31-'Construction Costs'!$E$32-'Construction Costs'!$E$33)/SUM(Assumptions!$F$36:$F$37),0)</f>
        <v>0</v>
      </c>
      <c r="CO11" s="242">
        <f>-IF(CO$3&lt;=SUM(Assumptions!$F$36:$F$37),('Construction Costs'!$E$34-'Construction Costs'!$E$29-'Construction Costs'!$E$31-'Construction Costs'!$E$32-'Construction Costs'!$E$33)/SUM(Assumptions!$F$36:$F$37),0)</f>
        <v>0</v>
      </c>
      <c r="CP11" s="242">
        <f>-IF(CP$3&lt;=SUM(Assumptions!$F$36:$F$37),('Construction Costs'!$E$34-'Construction Costs'!$E$29-'Construction Costs'!$E$31-'Construction Costs'!$E$32-'Construction Costs'!$E$33)/SUM(Assumptions!$F$36:$F$37),0)</f>
        <v>0</v>
      </c>
      <c r="CQ11" s="242">
        <f>-IF(CQ$3&lt;=SUM(Assumptions!$F$36:$F$37),('Construction Costs'!$E$34-'Construction Costs'!$E$29-'Construction Costs'!$E$31-'Construction Costs'!$E$32-'Construction Costs'!$E$33)/SUM(Assumptions!$F$36:$F$37),0)</f>
        <v>0</v>
      </c>
      <c r="CR11" s="242">
        <f>-IF(CR$3&lt;=SUM(Assumptions!$F$36:$F$37),('Construction Costs'!$E$34-'Construction Costs'!$E$29-'Construction Costs'!$E$31-'Construction Costs'!$E$32-'Construction Costs'!$E$33)/SUM(Assumptions!$F$36:$F$37),0)</f>
        <v>0</v>
      </c>
      <c r="CS11" s="242">
        <f>-IF(CS$3&lt;=SUM(Assumptions!$F$36:$F$37),('Construction Costs'!$E$34-'Construction Costs'!$E$29-'Construction Costs'!$E$31-'Construction Costs'!$E$32-'Construction Costs'!$E$33)/SUM(Assumptions!$F$36:$F$37),0)</f>
        <v>0</v>
      </c>
      <c r="CT11" s="242">
        <f>-IF(CT$3&lt;=SUM(Assumptions!$F$36:$F$37),('Construction Costs'!$E$34-'Construction Costs'!$E$29-'Construction Costs'!$E$31-'Construction Costs'!$E$32-'Construction Costs'!$E$33)/SUM(Assumptions!$F$36:$F$37),0)</f>
        <v>0</v>
      </c>
      <c r="CU11" s="242">
        <f>-IF(CU$3&lt;=SUM(Assumptions!$F$36:$F$37),('Construction Costs'!$E$34-'Construction Costs'!$E$29-'Construction Costs'!$E$31-'Construction Costs'!$E$32-'Construction Costs'!$E$33)/SUM(Assumptions!$F$36:$F$37),0)</f>
        <v>0</v>
      </c>
      <c r="CV11" s="242">
        <f>-IF(CV$3&lt;=SUM(Assumptions!$F$36:$F$37),('Construction Costs'!$E$34-'Construction Costs'!$E$29-'Construction Costs'!$E$31-'Construction Costs'!$E$32-'Construction Costs'!$E$33)/SUM(Assumptions!$F$36:$F$37),0)</f>
        <v>0</v>
      </c>
      <c r="CW11" s="242">
        <f>-IF(CW$3&lt;=SUM(Assumptions!$F$36:$F$37),('Construction Costs'!$E$34-'Construction Costs'!$E$29-'Construction Costs'!$E$31-'Construction Costs'!$E$32-'Construction Costs'!$E$33)/SUM(Assumptions!$F$36:$F$37),0)</f>
        <v>0</v>
      </c>
      <c r="CX11" s="242">
        <f>-IF(CX$3&lt;=SUM(Assumptions!$F$36:$F$37),('Construction Costs'!$E$34-'Construction Costs'!$E$29-'Construction Costs'!$E$31-'Construction Costs'!$E$32-'Construction Costs'!$E$33)/SUM(Assumptions!$F$36:$F$37),0)</f>
        <v>0</v>
      </c>
      <c r="CY11" s="242">
        <f>-IF(CY$3&lt;=SUM(Assumptions!$F$36:$F$37),('Construction Costs'!$E$34-'Construction Costs'!$E$29-'Construction Costs'!$E$31-'Construction Costs'!$E$32-'Construction Costs'!$E$33)/SUM(Assumptions!$F$36:$F$37),0)</f>
        <v>0</v>
      </c>
      <c r="CZ11" s="242">
        <f>-IF(CZ$3&lt;=SUM(Assumptions!$F$36:$F$37),('Construction Costs'!$E$34-'Construction Costs'!$E$29-'Construction Costs'!$E$31-'Construction Costs'!$E$32-'Construction Costs'!$E$33)/SUM(Assumptions!$F$36:$F$37),0)</f>
        <v>0</v>
      </c>
      <c r="DA11" s="242">
        <f>-IF(DA$3&lt;=SUM(Assumptions!$F$36:$F$37),('Construction Costs'!$E$34-'Construction Costs'!$E$29-'Construction Costs'!$E$31-'Construction Costs'!$E$32-'Construction Costs'!$E$33)/SUM(Assumptions!$F$36:$F$37),0)</f>
        <v>0</v>
      </c>
      <c r="DB11" s="242">
        <f>-IF(DB$3&lt;=SUM(Assumptions!$F$36:$F$37),('Construction Costs'!$E$34-'Construction Costs'!$E$29-'Construction Costs'!$E$31-'Construction Costs'!$E$32-'Construction Costs'!$E$33)/SUM(Assumptions!$F$36:$F$37),0)</f>
        <v>0</v>
      </c>
      <c r="DC11" s="242">
        <f>-IF(DC$3&lt;=SUM(Assumptions!$F$36:$F$37),('Construction Costs'!$E$34-'Construction Costs'!$E$29-'Construction Costs'!$E$31-'Construction Costs'!$E$32-'Construction Costs'!$E$33)/SUM(Assumptions!$F$36:$F$37),0)</f>
        <v>0</v>
      </c>
      <c r="DD11" s="242">
        <f>-IF(DD$3&lt;=SUM(Assumptions!$F$36:$F$37),('Construction Costs'!$E$34-'Construction Costs'!$E$29-'Construction Costs'!$E$31-'Construction Costs'!$E$32-'Construction Costs'!$E$33)/SUM(Assumptions!$F$36:$F$37),0)</f>
        <v>0</v>
      </c>
      <c r="DE11" s="242">
        <f>-IF(DE$3&lt;=SUM(Assumptions!$F$36:$F$37),('Construction Costs'!$E$34-'Construction Costs'!$E$29-'Construction Costs'!$E$31-'Construction Costs'!$E$32-'Construction Costs'!$E$33)/SUM(Assumptions!$F$36:$F$37),0)</f>
        <v>0</v>
      </c>
      <c r="DF11" s="242">
        <f>-IF(DF$3&lt;=SUM(Assumptions!$F$36:$F$37),('Construction Costs'!$E$34-'Construction Costs'!$E$29-'Construction Costs'!$E$31-'Construction Costs'!$E$32-'Construction Costs'!$E$33)/SUM(Assumptions!$F$36:$F$37),0)</f>
        <v>0</v>
      </c>
      <c r="DG11" s="242">
        <f>-IF(DG$3&lt;=SUM(Assumptions!$F$36:$F$37),('Construction Costs'!$E$34-'Construction Costs'!$E$29-'Construction Costs'!$E$31-'Construction Costs'!$E$32-'Construction Costs'!$E$33)/SUM(Assumptions!$F$36:$F$37),0)</f>
        <v>0</v>
      </c>
      <c r="DH11" s="242">
        <f>-IF(DH$3&lt;=SUM(Assumptions!$F$36:$F$37),('Construction Costs'!$E$34-'Construction Costs'!$E$29-'Construction Costs'!$E$31-'Construction Costs'!$E$32-'Construction Costs'!$E$33)/SUM(Assumptions!$F$36:$F$37),0)</f>
        <v>0</v>
      </c>
      <c r="DI11" s="242">
        <f>-IF(DI$3&lt;=SUM(Assumptions!$F$36:$F$37),('Construction Costs'!$E$34-'Construction Costs'!$E$29-'Construction Costs'!$E$31-'Construction Costs'!$E$32-'Construction Costs'!$E$33)/SUM(Assumptions!$F$36:$F$37),0)</f>
        <v>0</v>
      </c>
      <c r="DJ11" s="242">
        <f>-IF(DJ$3&lt;=SUM(Assumptions!$F$36:$F$37),('Construction Costs'!$E$34-'Construction Costs'!$E$29-'Construction Costs'!$E$31-'Construction Costs'!$E$32-'Construction Costs'!$E$33)/SUM(Assumptions!$F$36:$F$37),0)</f>
        <v>0</v>
      </c>
      <c r="DK11" s="242">
        <f>-IF(DK$3&lt;=SUM(Assumptions!$F$36:$F$37),('Construction Costs'!$E$34-'Construction Costs'!$E$29-'Construction Costs'!$E$31-'Construction Costs'!$E$32-'Construction Costs'!$E$33)/SUM(Assumptions!$F$36:$F$37),0)</f>
        <v>0</v>
      </c>
      <c r="DL11" s="242">
        <f>-IF(DL$3&lt;=SUM(Assumptions!$F$36:$F$37),('Construction Costs'!$E$34-'Construction Costs'!$E$29-'Construction Costs'!$E$31-'Construction Costs'!$E$32-'Construction Costs'!$E$33)/SUM(Assumptions!$F$36:$F$37),0)</f>
        <v>0</v>
      </c>
      <c r="DM11" s="242">
        <f>-IF(DM$3&lt;=SUM(Assumptions!$F$36:$F$37),('Construction Costs'!$E$34-'Construction Costs'!$E$29-'Construction Costs'!$E$31-'Construction Costs'!$E$32-'Construction Costs'!$E$33)/SUM(Assumptions!$F$36:$F$37),0)</f>
        <v>0</v>
      </c>
      <c r="DN11" s="242">
        <f>-IF(DN$3&lt;=SUM(Assumptions!$F$36:$F$37),('Construction Costs'!$E$34-'Construction Costs'!$E$29-'Construction Costs'!$E$31-'Construction Costs'!$E$32-'Construction Costs'!$E$33)/SUM(Assumptions!$F$36:$F$37),0)</f>
        <v>0</v>
      </c>
      <c r="DO11" s="242">
        <f>-IF(DO$3&lt;=SUM(Assumptions!$F$36:$F$37),('Construction Costs'!$E$34-'Construction Costs'!$E$29-'Construction Costs'!$E$31-'Construction Costs'!$E$32-'Construction Costs'!$E$33)/SUM(Assumptions!$F$36:$F$37),0)</f>
        <v>0</v>
      </c>
      <c r="DP11" s="242">
        <f>-IF(DP$3&lt;=SUM(Assumptions!$F$36:$F$37),('Construction Costs'!$E$34-'Construction Costs'!$E$29-'Construction Costs'!$E$31-'Construction Costs'!$E$32-'Construction Costs'!$E$33)/SUM(Assumptions!$F$36:$F$37),0)</f>
        <v>0</v>
      </c>
      <c r="DQ11" s="242">
        <f>-IF(DQ$3&lt;=SUM(Assumptions!$F$36:$F$37),('Construction Costs'!$E$34-'Construction Costs'!$E$29-'Construction Costs'!$E$31-'Construction Costs'!$E$32-'Construction Costs'!$E$33)/SUM(Assumptions!$F$36:$F$37),0)</f>
        <v>0</v>
      </c>
      <c r="DR11" s="242">
        <f>-IF(DR$3&lt;=SUM(Assumptions!$F$36:$F$37),('Construction Costs'!$E$34-'Construction Costs'!$E$29-'Construction Costs'!$E$31-'Construction Costs'!$E$32-'Construction Costs'!$E$33)/SUM(Assumptions!$F$36:$F$37),0)</f>
        <v>0</v>
      </c>
      <c r="DS11" s="242">
        <f>-IF(DS$3&lt;=SUM(Assumptions!$F$36:$F$37),('Construction Costs'!$E$34-'Construction Costs'!$E$29-'Construction Costs'!$E$31-'Construction Costs'!$E$32-'Construction Costs'!$E$33)/SUM(Assumptions!$F$36:$F$37),0)</f>
        <v>0</v>
      </c>
      <c r="DT11" s="242">
        <f>-IF(DT$3&lt;=SUM(Assumptions!$F$36:$F$37),('Construction Costs'!$E$34-'Construction Costs'!$E$29-'Construction Costs'!$E$31-'Construction Costs'!$E$32-'Construction Costs'!$E$33)/SUM(Assumptions!$F$36:$F$37),0)</f>
        <v>0</v>
      </c>
      <c r="DU11" s="242">
        <f>-IF(DU$3&lt;=SUM(Assumptions!$F$36:$F$37),('Construction Costs'!$E$34-'Construction Costs'!$E$29-'Construction Costs'!$E$31-'Construction Costs'!$E$32-'Construction Costs'!$E$33)/SUM(Assumptions!$F$36:$F$37),0)</f>
        <v>0</v>
      </c>
      <c r="DV11" s="242">
        <f>-IF(DV$3&lt;=SUM(Assumptions!$F$36:$F$37),('Construction Costs'!$E$34-'Construction Costs'!$E$29-'Construction Costs'!$E$31-'Construction Costs'!$E$32-'Construction Costs'!$E$33)/SUM(Assumptions!$F$36:$F$37),0)</f>
        <v>0</v>
      </c>
      <c r="DW11" s="242">
        <f>-IF(DW$3&lt;=SUM(Assumptions!$F$36:$F$37),('Construction Costs'!$E$34-'Construction Costs'!$E$29-'Construction Costs'!$E$31-'Construction Costs'!$E$32-'Construction Costs'!$E$33)/SUM(Assumptions!$F$36:$F$37),0)</f>
        <v>0</v>
      </c>
      <c r="DX11" s="242">
        <f>-IF(DX$3&lt;=SUM(Assumptions!$F$36:$F$37),('Construction Costs'!$E$34-'Construction Costs'!$E$29-'Construction Costs'!$E$31-'Construction Costs'!$E$32-'Construction Costs'!$E$33)/SUM(Assumptions!$F$36:$F$37),0)</f>
        <v>0</v>
      </c>
      <c r="DY11" s="242">
        <f>-IF(DY$3&lt;=SUM(Assumptions!$F$36:$F$37),('Construction Costs'!$E$34-'Construction Costs'!$E$29-'Construction Costs'!$E$31-'Construction Costs'!$E$32-'Construction Costs'!$E$33)/SUM(Assumptions!$F$36:$F$37),0)</f>
        <v>0</v>
      </c>
      <c r="DZ11" s="242">
        <f>-IF(DZ$3&lt;=SUM(Assumptions!$F$36:$F$37),('Construction Costs'!$E$34-'Construction Costs'!$E$29-'Construction Costs'!$E$31-'Construction Costs'!$E$32-'Construction Costs'!$E$33)/SUM(Assumptions!$F$36:$F$37),0)</f>
        <v>0</v>
      </c>
      <c r="EA11" s="242">
        <f>-IF(EA$3&lt;=SUM(Assumptions!$F$36:$F$37),('Construction Costs'!$E$34-'Construction Costs'!$E$29-'Construction Costs'!$E$31-'Construction Costs'!$E$32-'Construction Costs'!$E$33)/SUM(Assumptions!$F$36:$F$37),0)</f>
        <v>0</v>
      </c>
      <c r="EB11" s="242">
        <f>-IF(EB$3&lt;=SUM(Assumptions!$F$36:$F$37),('Construction Costs'!$E$34-'Construction Costs'!$E$29-'Construction Costs'!$E$31-'Construction Costs'!$E$32-'Construction Costs'!$E$33)/SUM(Assumptions!$F$36:$F$37),0)</f>
        <v>0</v>
      </c>
      <c r="EC11" s="242">
        <f>-IF(EC$3&lt;=SUM(Assumptions!$F$36:$F$37),('Construction Costs'!$E$34-'Construction Costs'!$E$29-'Construction Costs'!$E$31-'Construction Costs'!$E$32-'Construction Costs'!$E$33)/SUM(Assumptions!$F$36:$F$37),0)</f>
        <v>0</v>
      </c>
      <c r="ED11" s="242">
        <f>-IF(ED$3&lt;=SUM(Assumptions!$F$36:$F$37),('Construction Costs'!$E$34-'Construction Costs'!$E$29-'Construction Costs'!$E$31-'Construction Costs'!$E$32-'Construction Costs'!$E$33)/SUM(Assumptions!$F$36:$F$37),0)</f>
        <v>0</v>
      </c>
      <c r="EE11" s="242">
        <f>-IF(EE$3&lt;=SUM(Assumptions!$F$36:$F$37),('Construction Costs'!$E$34-'Construction Costs'!$E$29-'Construction Costs'!$E$31-'Construction Costs'!$E$32-'Construction Costs'!$E$33)/SUM(Assumptions!$F$36:$F$37),0)</f>
        <v>0</v>
      </c>
      <c r="EF11" s="242">
        <f>-IF(EF$3&lt;=SUM(Assumptions!$F$36:$F$37),('Construction Costs'!$E$34-'Construction Costs'!$E$29-'Construction Costs'!$E$31-'Construction Costs'!$E$32-'Construction Costs'!$E$33)/SUM(Assumptions!$F$36:$F$37),0)</f>
        <v>0</v>
      </c>
      <c r="EG11" s="242">
        <f>-IF(EG$3&lt;=SUM(Assumptions!$F$36:$F$37),('Construction Costs'!$E$34-'Construction Costs'!$E$29-'Construction Costs'!$E$31-'Construction Costs'!$E$32-'Construction Costs'!$E$33)/SUM(Assumptions!$F$36:$F$37),0)</f>
        <v>0</v>
      </c>
      <c r="EH11" s="242">
        <f>-IF(EH$3&lt;=SUM(Assumptions!$F$36:$F$37),('Construction Costs'!$E$34-'Construction Costs'!$E$29-'Construction Costs'!$E$31-'Construction Costs'!$E$32-'Construction Costs'!$E$33)/SUM(Assumptions!$F$36:$F$37),0)</f>
        <v>0</v>
      </c>
      <c r="EI11" s="242">
        <f>-IF(EI$3&lt;=SUM(Assumptions!$F$36:$F$37),('Construction Costs'!$E$34-'Construction Costs'!$E$29-'Construction Costs'!$E$31-'Construction Costs'!$E$32-'Construction Costs'!$E$33)/SUM(Assumptions!$F$36:$F$37),0)</f>
        <v>0</v>
      </c>
      <c r="EJ11" s="242">
        <f>-IF(EJ$3&lt;=SUM(Assumptions!$F$36:$F$37),('Construction Costs'!$E$34-'Construction Costs'!$E$29-'Construction Costs'!$E$31-'Construction Costs'!$E$32-'Construction Costs'!$E$33)/SUM(Assumptions!$F$36:$F$37),0)</f>
        <v>0</v>
      </c>
      <c r="EK11" s="242">
        <f>-IF(EK$3&lt;=SUM(Assumptions!$F$36:$F$37),('Construction Costs'!$E$34-'Construction Costs'!$E$29-'Construction Costs'!$E$31-'Construction Costs'!$E$32-'Construction Costs'!$E$33)/SUM(Assumptions!$F$36:$F$37),0)</f>
        <v>0</v>
      </c>
      <c r="EL11" s="242">
        <f>-IF(EL$3&lt;=SUM(Assumptions!$F$36:$F$37),('Construction Costs'!$E$34-'Construction Costs'!$E$29-'Construction Costs'!$E$31-'Construction Costs'!$E$32-'Construction Costs'!$E$33)/SUM(Assumptions!$F$36:$F$37),0)</f>
        <v>0</v>
      </c>
      <c r="EM11" s="242">
        <f>-IF(EM$3&lt;=SUM(Assumptions!$F$36:$F$37),('Construction Costs'!$E$34-'Construction Costs'!$E$29-'Construction Costs'!$E$31-'Construction Costs'!$E$32-'Construction Costs'!$E$33)/SUM(Assumptions!$F$36:$F$37),0)</f>
        <v>0</v>
      </c>
      <c r="EN11" s="242">
        <f>-IF(EN$3&lt;=SUM(Assumptions!$F$36:$F$37),('Construction Costs'!$E$34-'Construction Costs'!$E$29-'Construction Costs'!$E$31-'Construction Costs'!$E$32-'Construction Costs'!$E$33)/SUM(Assumptions!$F$36:$F$37),0)</f>
        <v>0</v>
      </c>
      <c r="EO11" s="242">
        <f>-IF(EO$3&lt;=SUM(Assumptions!$F$36:$F$37),('Construction Costs'!$E$34-'Construction Costs'!$E$29-'Construction Costs'!$E$31-'Construction Costs'!$E$32-'Construction Costs'!$E$33)/SUM(Assumptions!$F$36:$F$37),0)</f>
        <v>0</v>
      </c>
      <c r="EP11" s="242">
        <f>-IF(EP$3&lt;=SUM(Assumptions!$F$36:$F$37),('Construction Costs'!$E$34-'Construction Costs'!$E$29-'Construction Costs'!$E$31-'Construction Costs'!$E$32-'Construction Costs'!$E$33)/SUM(Assumptions!$F$36:$F$37),0)</f>
        <v>0</v>
      </c>
      <c r="EQ11" s="242">
        <f>-IF(EQ$3&lt;=SUM(Assumptions!$F$36:$F$37),('Construction Costs'!$E$34-'Construction Costs'!$E$29-'Construction Costs'!$E$31-'Construction Costs'!$E$32-'Construction Costs'!$E$33)/SUM(Assumptions!$F$36:$F$37),0)</f>
        <v>0</v>
      </c>
      <c r="ER11" s="242">
        <f>-IF(ER$3&lt;=SUM(Assumptions!$F$36:$F$37),('Construction Costs'!$E$34-'Construction Costs'!$E$29-'Construction Costs'!$E$31-'Construction Costs'!$E$32-'Construction Costs'!$E$33)/SUM(Assumptions!$F$36:$F$37),0)</f>
        <v>0</v>
      </c>
      <c r="ES11" s="242">
        <f>-IF(ES$3&lt;=SUM(Assumptions!$F$36:$F$37),('Construction Costs'!$E$34-'Construction Costs'!$E$29-'Construction Costs'!$E$31-'Construction Costs'!$E$32-'Construction Costs'!$E$33)/SUM(Assumptions!$F$36:$F$37),0)</f>
        <v>0</v>
      </c>
      <c r="ET11" s="242">
        <f>-IF(ET$3&lt;=SUM(Assumptions!$F$36:$F$37),('Construction Costs'!$E$34-'Construction Costs'!$E$29-'Construction Costs'!$E$31-'Construction Costs'!$E$32-'Construction Costs'!$E$33)/SUM(Assumptions!$F$36:$F$37),0)</f>
        <v>0</v>
      </c>
    </row>
    <row r="12" spans="2:150" x14ac:dyDescent="0.2">
      <c r="B12" t="s">
        <v>133</v>
      </c>
      <c r="D12" s="242">
        <f t="shared" ca="1" si="180"/>
        <v>-1270673.0543360082</v>
      </c>
      <c r="F12" s="242">
        <f ca="1">-IF(F$3&lt;=SUM(Assumptions!$F$36:$F$37),'Construction Costs'!$E$35/SUM(Assumptions!$F$36:$F$37),0)</f>
        <v>-36304.94440960107</v>
      </c>
      <c r="G12" s="242">
        <f ca="1">-IF(G$3&lt;=SUM(Assumptions!$F$36:$F$37),'Construction Costs'!$E$35/SUM(Assumptions!$F$36:$F$37),0)</f>
        <v>-36304.94440960107</v>
      </c>
      <c r="H12" s="242">
        <f ca="1">-IF(H$3&lt;=SUM(Assumptions!$F$36:$F$37),'Construction Costs'!$E$35/SUM(Assumptions!$F$36:$F$37),0)</f>
        <v>-36304.94440960107</v>
      </c>
      <c r="I12" s="242">
        <f ca="1">-IF(I$3&lt;=SUM(Assumptions!$F$36:$F$37),'Construction Costs'!$E$35/SUM(Assumptions!$F$36:$F$37),0)</f>
        <v>-36304.94440960107</v>
      </c>
      <c r="J12" s="242">
        <f ca="1">-IF(J$3&lt;=SUM(Assumptions!$F$36:$F$37),'Construction Costs'!$E$35/SUM(Assumptions!$F$36:$F$37),0)</f>
        <v>-36304.94440960107</v>
      </c>
      <c r="K12" s="242">
        <f ca="1">-IF(K$3&lt;=SUM(Assumptions!$F$36:$F$37),'Construction Costs'!$E$35/SUM(Assumptions!$F$36:$F$37),0)</f>
        <v>-36304.94440960107</v>
      </c>
      <c r="L12" s="242">
        <f ca="1">-IF(L$3&lt;=SUM(Assumptions!$F$36:$F$37),'Construction Costs'!$E$35/SUM(Assumptions!$F$36:$F$37),0)</f>
        <v>-36304.94440960107</v>
      </c>
      <c r="M12" s="242">
        <f ca="1">-IF(M$3&lt;=SUM(Assumptions!$F$36:$F$37),'Construction Costs'!$E$35/SUM(Assumptions!$F$36:$F$37),0)</f>
        <v>-36304.94440960107</v>
      </c>
      <c r="N12" s="242">
        <f ca="1">-IF(N$3&lt;=SUM(Assumptions!$F$36:$F$37),'Construction Costs'!$E$35/SUM(Assumptions!$F$36:$F$37),0)</f>
        <v>-36304.94440960107</v>
      </c>
      <c r="O12" s="242">
        <f ca="1">-IF(O$3&lt;=SUM(Assumptions!$F$36:$F$37),'Construction Costs'!$E$35/SUM(Assumptions!$F$36:$F$37),0)</f>
        <v>-36304.94440960107</v>
      </c>
      <c r="P12" s="242">
        <f ca="1">-IF(P$3&lt;=SUM(Assumptions!$F$36:$F$37),'Construction Costs'!$E$35/SUM(Assumptions!$F$36:$F$37),0)</f>
        <v>-36304.94440960107</v>
      </c>
      <c r="Q12" s="242">
        <f ca="1">-IF(Q$3&lt;=SUM(Assumptions!$F$36:$F$37),'Construction Costs'!$E$35/SUM(Assumptions!$F$36:$F$37),0)</f>
        <v>-36304.94440960107</v>
      </c>
      <c r="R12" s="242">
        <f ca="1">-IF(R$3&lt;=SUM(Assumptions!$F$36:$F$37),'Construction Costs'!$E$35/SUM(Assumptions!$F$36:$F$37),0)</f>
        <v>-36304.94440960107</v>
      </c>
      <c r="S12" s="242">
        <f ca="1">-IF(S$3&lt;=SUM(Assumptions!$F$36:$F$37),'Construction Costs'!$E$35/SUM(Assumptions!$F$36:$F$37),0)</f>
        <v>-36304.94440960107</v>
      </c>
      <c r="T12" s="242">
        <f ca="1">-IF(T$3&lt;=SUM(Assumptions!$F$36:$F$37),'Construction Costs'!$E$35/SUM(Assumptions!$F$36:$F$37),0)</f>
        <v>-36304.94440960107</v>
      </c>
      <c r="U12" s="242">
        <f ca="1">-IF(U$3&lt;=SUM(Assumptions!$F$36:$F$37),'Construction Costs'!$E$35/SUM(Assumptions!$F$36:$F$37),0)</f>
        <v>-36304.94440960107</v>
      </c>
      <c r="V12" s="242">
        <f ca="1">-IF(V$3&lt;=SUM(Assumptions!$F$36:$F$37),'Construction Costs'!$E$35/SUM(Assumptions!$F$36:$F$37),0)</f>
        <v>-36304.94440960107</v>
      </c>
      <c r="W12" s="242">
        <f ca="1">-IF(W$3&lt;=SUM(Assumptions!$F$36:$F$37),'Construction Costs'!$E$35/SUM(Assumptions!$F$36:$F$37),0)</f>
        <v>-36304.94440960107</v>
      </c>
      <c r="X12" s="242">
        <f ca="1">-IF(X$3&lt;=SUM(Assumptions!$F$36:$F$37),'Construction Costs'!$E$35/SUM(Assumptions!$F$36:$F$37),0)</f>
        <v>-36304.94440960107</v>
      </c>
      <c r="Y12" s="242">
        <f ca="1">-IF(Y$3&lt;=SUM(Assumptions!$F$36:$F$37),'Construction Costs'!$E$35/SUM(Assumptions!$F$36:$F$37),0)</f>
        <v>-36304.94440960107</v>
      </c>
      <c r="Z12" s="242">
        <f ca="1">-IF(Z$3&lt;=SUM(Assumptions!$F$36:$F$37),'Construction Costs'!$E$35/SUM(Assumptions!$F$36:$F$37),0)</f>
        <v>-36304.94440960107</v>
      </c>
      <c r="AA12" s="242">
        <f ca="1">-IF(AA$3&lt;=SUM(Assumptions!$F$36:$F$37),'Construction Costs'!$E$35/SUM(Assumptions!$F$36:$F$37),0)</f>
        <v>-36304.94440960107</v>
      </c>
      <c r="AB12" s="242">
        <f ca="1">-IF(AB$3&lt;=SUM(Assumptions!$F$36:$F$37),'Construction Costs'!$E$35/SUM(Assumptions!$F$36:$F$37),0)</f>
        <v>-36304.94440960107</v>
      </c>
      <c r="AC12" s="242">
        <f ca="1">-IF(AC$3&lt;=SUM(Assumptions!$F$36:$F$37),'Construction Costs'!$E$35/SUM(Assumptions!$F$36:$F$37),0)</f>
        <v>-36304.94440960107</v>
      </c>
      <c r="AD12" s="242">
        <f ca="1">-IF(AD$3&lt;=SUM(Assumptions!$F$36:$F$37),'Construction Costs'!$E$35/SUM(Assumptions!$F$36:$F$37),0)</f>
        <v>-36304.94440960107</v>
      </c>
      <c r="AE12" s="242">
        <f ca="1">-IF(AE$3&lt;=SUM(Assumptions!$F$36:$F$37),'Construction Costs'!$E$35/SUM(Assumptions!$F$36:$F$37),0)</f>
        <v>-36304.94440960107</v>
      </c>
      <c r="AF12" s="242">
        <f ca="1">-IF(AF$3&lt;=SUM(Assumptions!$F$36:$F$37),'Construction Costs'!$E$35/SUM(Assumptions!$F$36:$F$37),0)</f>
        <v>-36304.94440960107</v>
      </c>
      <c r="AG12" s="242">
        <f ca="1">-IF(AG$3&lt;=SUM(Assumptions!$F$36:$F$37),'Construction Costs'!$E$35/SUM(Assumptions!$F$36:$F$37),0)</f>
        <v>-36304.94440960107</v>
      </c>
      <c r="AH12" s="242">
        <f ca="1">-IF(AH$3&lt;=SUM(Assumptions!$F$36:$F$37),'Construction Costs'!$E$35/SUM(Assumptions!$F$36:$F$37),0)</f>
        <v>-36304.94440960107</v>
      </c>
      <c r="AI12" s="242">
        <f ca="1">-IF(AI$3&lt;=SUM(Assumptions!$F$36:$F$37),'Construction Costs'!$E$35/SUM(Assumptions!$F$36:$F$37),0)</f>
        <v>-36304.94440960107</v>
      </c>
      <c r="AJ12" s="242">
        <f ca="1">-IF(AJ$3&lt;=SUM(Assumptions!$F$36:$F$37),'Construction Costs'!$E$35/SUM(Assumptions!$F$36:$F$37),0)</f>
        <v>-36304.94440960107</v>
      </c>
      <c r="AK12" s="242">
        <f ca="1">-IF(AK$3&lt;=SUM(Assumptions!$F$36:$F$37),'Construction Costs'!$E$35/SUM(Assumptions!$F$36:$F$37),0)</f>
        <v>-36304.94440960107</v>
      </c>
      <c r="AL12" s="242">
        <f ca="1">-IF(AL$3&lt;=SUM(Assumptions!$F$36:$F$37),'Construction Costs'!$E$35/SUM(Assumptions!$F$36:$F$37),0)</f>
        <v>-36304.94440960107</v>
      </c>
      <c r="AM12" s="242">
        <f ca="1">-IF(AM$3&lt;=SUM(Assumptions!$F$36:$F$37),'Construction Costs'!$E$35/SUM(Assumptions!$F$36:$F$37),0)</f>
        <v>-36304.94440960107</v>
      </c>
      <c r="AN12" s="242">
        <f ca="1">-IF(AN$3&lt;=SUM(Assumptions!$F$36:$F$37),'Construction Costs'!$E$35/SUM(Assumptions!$F$36:$F$37),0)</f>
        <v>-36304.94440960107</v>
      </c>
      <c r="AO12" s="242">
        <f>-IF(AO$3&lt;=SUM(Assumptions!$F$36:$F$37),'Construction Costs'!$E$35/SUM(Assumptions!$F$36:$F$37),0)</f>
        <v>0</v>
      </c>
      <c r="AP12" s="242">
        <f>-IF(AP$3&lt;=SUM(Assumptions!$F$36:$F$37),'Construction Costs'!$E$35/SUM(Assumptions!$F$36:$F$37),0)</f>
        <v>0</v>
      </c>
      <c r="AQ12" s="242">
        <f>-IF(AQ$3&lt;=SUM(Assumptions!$F$36:$F$37),'Construction Costs'!$E$35/SUM(Assumptions!$F$36:$F$37),0)</f>
        <v>0</v>
      </c>
      <c r="AR12" s="242">
        <f>-IF(AR$3&lt;=SUM(Assumptions!$F$36:$F$37),'Construction Costs'!$E$35/SUM(Assumptions!$F$36:$F$37),0)</f>
        <v>0</v>
      </c>
      <c r="AS12" s="242">
        <f>-IF(AS$3&lt;=SUM(Assumptions!$F$36:$F$37),'Construction Costs'!$E$35/SUM(Assumptions!$F$36:$F$37),0)</f>
        <v>0</v>
      </c>
      <c r="AT12" s="242">
        <f>-IF(AT$3&lt;=SUM(Assumptions!$F$36:$F$37),'Construction Costs'!$E$35/SUM(Assumptions!$F$36:$F$37),0)</f>
        <v>0</v>
      </c>
      <c r="AU12" s="242">
        <f>-IF(AU$3&lt;=SUM(Assumptions!$F$36:$F$37),'Construction Costs'!$E$35/SUM(Assumptions!$F$36:$F$37),0)</f>
        <v>0</v>
      </c>
      <c r="AV12" s="242">
        <f>-IF(AV$3&lt;=SUM(Assumptions!$F$36:$F$37),'Construction Costs'!$E$35/SUM(Assumptions!$F$36:$F$37),0)</f>
        <v>0</v>
      </c>
      <c r="AW12" s="242">
        <f>-IF(AW$3&lt;=SUM(Assumptions!$F$36:$F$37),'Construction Costs'!$E$35/SUM(Assumptions!$F$36:$F$37),0)</f>
        <v>0</v>
      </c>
      <c r="AX12" s="242">
        <f>-IF(AX$3&lt;=SUM(Assumptions!$F$36:$F$37),'Construction Costs'!$E$35/SUM(Assumptions!$F$36:$F$37),0)</f>
        <v>0</v>
      </c>
      <c r="AY12" s="242">
        <f>-IF(AY$3&lt;=SUM(Assumptions!$F$36:$F$37),'Construction Costs'!$E$35/SUM(Assumptions!$F$36:$F$37),0)</f>
        <v>0</v>
      </c>
      <c r="AZ12" s="242">
        <f>-IF(AZ$3&lt;=SUM(Assumptions!$F$36:$F$37),'Construction Costs'!$E$35/SUM(Assumptions!$F$36:$F$37),0)</f>
        <v>0</v>
      </c>
      <c r="BA12" s="242">
        <f>-IF(BA$3&lt;=SUM(Assumptions!$F$36:$F$37),'Construction Costs'!$E$35/SUM(Assumptions!$F$36:$F$37),0)</f>
        <v>0</v>
      </c>
      <c r="BB12" s="242">
        <f>-IF(BB$3&lt;=SUM(Assumptions!$F$36:$F$37),'Construction Costs'!$E$35/SUM(Assumptions!$F$36:$F$37),0)</f>
        <v>0</v>
      </c>
      <c r="BC12" s="242">
        <f>-IF(BC$3&lt;=SUM(Assumptions!$F$36:$F$37),'Construction Costs'!$E$35/SUM(Assumptions!$F$36:$F$37),0)</f>
        <v>0</v>
      </c>
      <c r="BD12" s="242">
        <f>-IF(BD$3&lt;=SUM(Assumptions!$F$36:$F$37),'Construction Costs'!$E$35/SUM(Assumptions!$F$36:$F$37),0)</f>
        <v>0</v>
      </c>
      <c r="BE12" s="242">
        <f>-IF(BE$3&lt;=SUM(Assumptions!$F$36:$F$37),'Construction Costs'!$E$35/SUM(Assumptions!$F$36:$F$37),0)</f>
        <v>0</v>
      </c>
      <c r="BF12" s="242">
        <f>-IF(BF$3&lt;=SUM(Assumptions!$F$36:$F$37),'Construction Costs'!$E$35/SUM(Assumptions!$F$36:$F$37),0)</f>
        <v>0</v>
      </c>
      <c r="BG12" s="242">
        <f>-IF(BG$3&lt;=SUM(Assumptions!$F$36:$F$37),'Construction Costs'!$E$35/SUM(Assumptions!$F$36:$F$37),0)</f>
        <v>0</v>
      </c>
      <c r="BH12" s="242">
        <f>-IF(BH$3&lt;=SUM(Assumptions!$F$36:$F$37),'Construction Costs'!$E$35/SUM(Assumptions!$F$36:$F$37),0)</f>
        <v>0</v>
      </c>
      <c r="BI12" s="242">
        <f>-IF(BI$3&lt;=SUM(Assumptions!$F$36:$F$37),'Construction Costs'!$E$35/SUM(Assumptions!$F$36:$F$37),0)</f>
        <v>0</v>
      </c>
      <c r="BJ12" s="242">
        <f>-IF(BJ$3&lt;=SUM(Assumptions!$F$36:$F$37),'Construction Costs'!$E$35/SUM(Assumptions!$F$36:$F$37),0)</f>
        <v>0</v>
      </c>
      <c r="BK12" s="242">
        <f>-IF(BK$3&lt;=SUM(Assumptions!$F$36:$F$37),'Construction Costs'!$E$35/SUM(Assumptions!$F$36:$F$37),0)</f>
        <v>0</v>
      </c>
      <c r="BL12" s="242">
        <f>-IF(BL$3&lt;=SUM(Assumptions!$F$36:$F$37),'Construction Costs'!$E$35/SUM(Assumptions!$F$36:$F$37),0)</f>
        <v>0</v>
      </c>
      <c r="BM12" s="242">
        <f>-IF(BM$3&lt;=SUM(Assumptions!$F$36:$F$37),'Construction Costs'!$E$35/SUM(Assumptions!$F$36:$F$37),0)</f>
        <v>0</v>
      </c>
      <c r="BN12" s="242">
        <f>-IF(BN$3&lt;=SUM(Assumptions!$F$36:$F$37),'Construction Costs'!$E$35/SUM(Assumptions!$F$36:$F$37),0)</f>
        <v>0</v>
      </c>
      <c r="BO12" s="242">
        <f>-IF(BO$3&lt;=SUM(Assumptions!$F$36:$F$37),'Construction Costs'!$E$35/SUM(Assumptions!$F$36:$F$37),0)</f>
        <v>0</v>
      </c>
      <c r="BP12" s="242">
        <f>-IF(BP$3&lt;=SUM(Assumptions!$F$36:$F$37),'Construction Costs'!$E$35/SUM(Assumptions!$F$36:$F$37),0)</f>
        <v>0</v>
      </c>
      <c r="BQ12" s="242">
        <f>-IF(BQ$3&lt;=SUM(Assumptions!$F$36:$F$37),'Construction Costs'!$E$35/SUM(Assumptions!$F$36:$F$37),0)</f>
        <v>0</v>
      </c>
      <c r="BR12" s="242">
        <f>-IF(BR$3&lt;=SUM(Assumptions!$F$36:$F$37),'Construction Costs'!$E$35/SUM(Assumptions!$F$36:$F$37),0)</f>
        <v>0</v>
      </c>
      <c r="BS12" s="242">
        <f>-IF(BS$3&lt;=SUM(Assumptions!$F$36:$F$37),'Construction Costs'!$E$35/SUM(Assumptions!$F$36:$F$37),0)</f>
        <v>0</v>
      </c>
      <c r="BT12" s="242">
        <f>-IF(BT$3&lt;=SUM(Assumptions!$F$36:$F$37),'Construction Costs'!$E$35/SUM(Assumptions!$F$36:$F$37),0)</f>
        <v>0</v>
      </c>
      <c r="BU12" s="242">
        <f>-IF(BU$3&lt;=SUM(Assumptions!$F$36:$F$37),'Construction Costs'!$E$35/SUM(Assumptions!$F$36:$F$37),0)</f>
        <v>0</v>
      </c>
      <c r="BV12" s="242">
        <f>-IF(BV$3&lt;=SUM(Assumptions!$F$36:$F$37),'Construction Costs'!$E$35/SUM(Assumptions!$F$36:$F$37),0)</f>
        <v>0</v>
      </c>
      <c r="BW12" s="242">
        <f>-IF(BW$3&lt;=SUM(Assumptions!$F$36:$F$37),'Construction Costs'!$E$35/SUM(Assumptions!$F$36:$F$37),0)</f>
        <v>0</v>
      </c>
      <c r="BX12" s="242">
        <f>-IF(BX$3&lt;=SUM(Assumptions!$F$36:$F$37),'Construction Costs'!$E$35/SUM(Assumptions!$F$36:$F$37),0)</f>
        <v>0</v>
      </c>
      <c r="BY12" s="242">
        <f>-IF(BY$3&lt;=SUM(Assumptions!$F$36:$F$37),'Construction Costs'!$E$35/SUM(Assumptions!$F$36:$F$37),0)</f>
        <v>0</v>
      </c>
      <c r="BZ12" s="242">
        <f>-IF(BZ$3&lt;=SUM(Assumptions!$F$36:$F$37),'Construction Costs'!$E$35/SUM(Assumptions!$F$36:$F$37),0)</f>
        <v>0</v>
      </c>
      <c r="CA12" s="242">
        <f>-IF(CA$3&lt;=SUM(Assumptions!$F$36:$F$37),'Construction Costs'!$E$35/SUM(Assumptions!$F$36:$F$37),0)</f>
        <v>0</v>
      </c>
      <c r="CB12" s="242">
        <f>-IF(CB$3&lt;=SUM(Assumptions!$F$36:$F$37),'Construction Costs'!$E$35/SUM(Assumptions!$F$36:$F$37),0)</f>
        <v>0</v>
      </c>
      <c r="CC12" s="242">
        <f>-IF(CC$3&lt;=SUM(Assumptions!$F$36:$F$37),'Construction Costs'!$E$35/SUM(Assumptions!$F$36:$F$37),0)</f>
        <v>0</v>
      </c>
      <c r="CD12" s="242">
        <f>-IF(CD$3&lt;=SUM(Assumptions!$F$36:$F$37),'Construction Costs'!$E$35/SUM(Assumptions!$F$36:$F$37),0)</f>
        <v>0</v>
      </c>
      <c r="CE12" s="242">
        <f>-IF(CE$3&lt;=SUM(Assumptions!$F$36:$F$37),'Construction Costs'!$E$35/SUM(Assumptions!$F$36:$F$37),0)</f>
        <v>0</v>
      </c>
      <c r="CF12" s="242">
        <f>-IF(CF$3&lt;=SUM(Assumptions!$F$36:$F$37),'Construction Costs'!$E$35/SUM(Assumptions!$F$36:$F$37),0)</f>
        <v>0</v>
      </c>
      <c r="CG12" s="242">
        <f>-IF(CG$3&lt;=SUM(Assumptions!$F$36:$F$37),'Construction Costs'!$E$35/SUM(Assumptions!$F$36:$F$37),0)</f>
        <v>0</v>
      </c>
      <c r="CH12" s="242">
        <f>-IF(CH$3&lt;=SUM(Assumptions!$F$36:$F$37),'Construction Costs'!$E$35/SUM(Assumptions!$F$36:$F$37),0)</f>
        <v>0</v>
      </c>
      <c r="CI12" s="242">
        <f>-IF(CI$3&lt;=SUM(Assumptions!$F$36:$F$37),'Construction Costs'!$E$35/SUM(Assumptions!$F$36:$F$37),0)</f>
        <v>0</v>
      </c>
      <c r="CJ12" s="242">
        <f>-IF(CJ$3&lt;=SUM(Assumptions!$F$36:$F$37),'Construction Costs'!$E$35/SUM(Assumptions!$F$36:$F$37),0)</f>
        <v>0</v>
      </c>
      <c r="CK12" s="242">
        <f>-IF(CK$3&lt;=SUM(Assumptions!$F$36:$F$37),'Construction Costs'!$E$35/SUM(Assumptions!$F$36:$F$37),0)</f>
        <v>0</v>
      </c>
      <c r="CL12" s="242">
        <f>-IF(CL$3&lt;=SUM(Assumptions!$F$36:$F$37),'Construction Costs'!$E$35/SUM(Assumptions!$F$36:$F$37),0)</f>
        <v>0</v>
      </c>
      <c r="CM12" s="242">
        <f>-IF(CM$3&lt;=SUM(Assumptions!$F$36:$F$37),'Construction Costs'!$E$35/SUM(Assumptions!$F$36:$F$37),0)</f>
        <v>0</v>
      </c>
      <c r="CN12" s="242">
        <f>-IF(CN$3&lt;=SUM(Assumptions!$F$36:$F$37),'Construction Costs'!$E$35/SUM(Assumptions!$F$36:$F$37),0)</f>
        <v>0</v>
      </c>
      <c r="CO12" s="242">
        <f>-IF(CO$3&lt;=SUM(Assumptions!$F$36:$F$37),'Construction Costs'!$E$35/SUM(Assumptions!$F$36:$F$37),0)</f>
        <v>0</v>
      </c>
      <c r="CP12" s="242">
        <f>-IF(CP$3&lt;=SUM(Assumptions!$F$36:$F$37),'Construction Costs'!$E$35/SUM(Assumptions!$F$36:$F$37),0)</f>
        <v>0</v>
      </c>
      <c r="CQ12" s="242">
        <f>-IF(CQ$3&lt;=SUM(Assumptions!$F$36:$F$37),'Construction Costs'!$E$35/SUM(Assumptions!$F$36:$F$37),0)</f>
        <v>0</v>
      </c>
      <c r="CR12" s="242">
        <f>-IF(CR$3&lt;=SUM(Assumptions!$F$36:$F$37),'Construction Costs'!$E$35/SUM(Assumptions!$F$36:$F$37),0)</f>
        <v>0</v>
      </c>
      <c r="CS12" s="242">
        <f>-IF(CS$3&lt;=SUM(Assumptions!$F$36:$F$37),'Construction Costs'!$E$35/SUM(Assumptions!$F$36:$F$37),0)</f>
        <v>0</v>
      </c>
      <c r="CT12" s="242">
        <f>-IF(CT$3&lt;=SUM(Assumptions!$F$36:$F$37),'Construction Costs'!$E$35/SUM(Assumptions!$F$36:$F$37),0)</f>
        <v>0</v>
      </c>
      <c r="CU12" s="242">
        <f>-IF(CU$3&lt;=SUM(Assumptions!$F$36:$F$37),'Construction Costs'!$E$35/SUM(Assumptions!$F$36:$F$37),0)</f>
        <v>0</v>
      </c>
      <c r="CV12" s="242">
        <f>-IF(CV$3&lt;=SUM(Assumptions!$F$36:$F$37),'Construction Costs'!$E$35/SUM(Assumptions!$F$36:$F$37),0)</f>
        <v>0</v>
      </c>
      <c r="CW12" s="242">
        <f>-IF(CW$3&lt;=SUM(Assumptions!$F$36:$F$37),'Construction Costs'!$E$35/SUM(Assumptions!$F$36:$F$37),0)</f>
        <v>0</v>
      </c>
      <c r="CX12" s="242">
        <f>-IF(CX$3&lt;=SUM(Assumptions!$F$36:$F$37),'Construction Costs'!$E$35/SUM(Assumptions!$F$36:$F$37),0)</f>
        <v>0</v>
      </c>
      <c r="CY12" s="242">
        <f>-IF(CY$3&lt;=SUM(Assumptions!$F$36:$F$37),'Construction Costs'!$E$35/SUM(Assumptions!$F$36:$F$37),0)</f>
        <v>0</v>
      </c>
      <c r="CZ12" s="242">
        <f>-IF(CZ$3&lt;=SUM(Assumptions!$F$36:$F$37),'Construction Costs'!$E$35/SUM(Assumptions!$F$36:$F$37),0)</f>
        <v>0</v>
      </c>
      <c r="DA12" s="242">
        <f>-IF(DA$3&lt;=SUM(Assumptions!$F$36:$F$37),'Construction Costs'!$E$35/SUM(Assumptions!$F$36:$F$37),0)</f>
        <v>0</v>
      </c>
      <c r="DB12" s="242">
        <f>-IF(DB$3&lt;=SUM(Assumptions!$F$36:$F$37),'Construction Costs'!$E$35/SUM(Assumptions!$F$36:$F$37),0)</f>
        <v>0</v>
      </c>
      <c r="DC12" s="242">
        <f>-IF(DC$3&lt;=SUM(Assumptions!$F$36:$F$37),'Construction Costs'!$E$35/SUM(Assumptions!$F$36:$F$37),0)</f>
        <v>0</v>
      </c>
      <c r="DD12" s="242">
        <f>-IF(DD$3&lt;=SUM(Assumptions!$F$36:$F$37),'Construction Costs'!$E$35/SUM(Assumptions!$F$36:$F$37),0)</f>
        <v>0</v>
      </c>
      <c r="DE12" s="242">
        <f>-IF(DE$3&lt;=SUM(Assumptions!$F$36:$F$37),'Construction Costs'!$E$35/SUM(Assumptions!$F$36:$F$37),0)</f>
        <v>0</v>
      </c>
      <c r="DF12" s="242">
        <f>-IF(DF$3&lt;=SUM(Assumptions!$F$36:$F$37),'Construction Costs'!$E$35/SUM(Assumptions!$F$36:$F$37),0)</f>
        <v>0</v>
      </c>
      <c r="DG12" s="242">
        <f>-IF(DG$3&lt;=SUM(Assumptions!$F$36:$F$37),'Construction Costs'!$E$35/SUM(Assumptions!$F$36:$F$37),0)</f>
        <v>0</v>
      </c>
      <c r="DH12" s="242">
        <f>-IF(DH$3&lt;=SUM(Assumptions!$F$36:$F$37),'Construction Costs'!$E$35/SUM(Assumptions!$F$36:$F$37),0)</f>
        <v>0</v>
      </c>
      <c r="DI12" s="242">
        <f>-IF(DI$3&lt;=SUM(Assumptions!$F$36:$F$37),'Construction Costs'!$E$35/SUM(Assumptions!$F$36:$F$37),0)</f>
        <v>0</v>
      </c>
      <c r="DJ12" s="242">
        <f>-IF(DJ$3&lt;=SUM(Assumptions!$F$36:$F$37),'Construction Costs'!$E$35/SUM(Assumptions!$F$36:$F$37),0)</f>
        <v>0</v>
      </c>
      <c r="DK12" s="242">
        <f>-IF(DK$3&lt;=SUM(Assumptions!$F$36:$F$37),'Construction Costs'!$E$35/SUM(Assumptions!$F$36:$F$37),0)</f>
        <v>0</v>
      </c>
      <c r="DL12" s="242">
        <f>-IF(DL$3&lt;=SUM(Assumptions!$F$36:$F$37),'Construction Costs'!$E$35/SUM(Assumptions!$F$36:$F$37),0)</f>
        <v>0</v>
      </c>
      <c r="DM12" s="242">
        <f>-IF(DM$3&lt;=SUM(Assumptions!$F$36:$F$37),'Construction Costs'!$E$35/SUM(Assumptions!$F$36:$F$37),0)</f>
        <v>0</v>
      </c>
      <c r="DN12" s="242">
        <f>-IF(DN$3&lt;=SUM(Assumptions!$F$36:$F$37),'Construction Costs'!$E$35/SUM(Assumptions!$F$36:$F$37),0)</f>
        <v>0</v>
      </c>
      <c r="DO12" s="242">
        <f>-IF(DO$3&lt;=SUM(Assumptions!$F$36:$F$37),'Construction Costs'!$E$35/SUM(Assumptions!$F$36:$F$37),0)</f>
        <v>0</v>
      </c>
      <c r="DP12" s="242">
        <f>-IF(DP$3&lt;=SUM(Assumptions!$F$36:$F$37),'Construction Costs'!$E$35/SUM(Assumptions!$F$36:$F$37),0)</f>
        <v>0</v>
      </c>
      <c r="DQ12" s="242">
        <f>-IF(DQ$3&lt;=SUM(Assumptions!$F$36:$F$37),'Construction Costs'!$E$35/SUM(Assumptions!$F$36:$F$37),0)</f>
        <v>0</v>
      </c>
      <c r="DR12" s="242">
        <f>-IF(DR$3&lt;=SUM(Assumptions!$F$36:$F$37),'Construction Costs'!$E$35/SUM(Assumptions!$F$36:$F$37),0)</f>
        <v>0</v>
      </c>
      <c r="DS12" s="242">
        <f>-IF(DS$3&lt;=SUM(Assumptions!$F$36:$F$37),'Construction Costs'!$E$35/SUM(Assumptions!$F$36:$F$37),0)</f>
        <v>0</v>
      </c>
      <c r="DT12" s="242">
        <f>-IF(DT$3&lt;=SUM(Assumptions!$F$36:$F$37),'Construction Costs'!$E$35/SUM(Assumptions!$F$36:$F$37),0)</f>
        <v>0</v>
      </c>
      <c r="DU12" s="242">
        <f>-IF(DU$3&lt;=SUM(Assumptions!$F$36:$F$37),'Construction Costs'!$E$35/SUM(Assumptions!$F$36:$F$37),0)</f>
        <v>0</v>
      </c>
      <c r="DV12" s="242">
        <f>-IF(DV$3&lt;=SUM(Assumptions!$F$36:$F$37),'Construction Costs'!$E$35/SUM(Assumptions!$F$36:$F$37),0)</f>
        <v>0</v>
      </c>
      <c r="DW12" s="242">
        <f>-IF(DW$3&lt;=SUM(Assumptions!$F$36:$F$37),'Construction Costs'!$E$35/SUM(Assumptions!$F$36:$F$37),0)</f>
        <v>0</v>
      </c>
      <c r="DX12" s="242">
        <f>-IF(DX$3&lt;=SUM(Assumptions!$F$36:$F$37),'Construction Costs'!$E$35/SUM(Assumptions!$F$36:$F$37),0)</f>
        <v>0</v>
      </c>
      <c r="DY12" s="242">
        <f>-IF(DY$3&lt;=SUM(Assumptions!$F$36:$F$37),'Construction Costs'!$E$35/SUM(Assumptions!$F$36:$F$37),0)</f>
        <v>0</v>
      </c>
      <c r="DZ12" s="242">
        <f>-IF(DZ$3&lt;=SUM(Assumptions!$F$36:$F$37),'Construction Costs'!$E$35/SUM(Assumptions!$F$36:$F$37),0)</f>
        <v>0</v>
      </c>
      <c r="EA12" s="242">
        <f>-IF(EA$3&lt;=SUM(Assumptions!$F$36:$F$37),'Construction Costs'!$E$35/SUM(Assumptions!$F$36:$F$37),0)</f>
        <v>0</v>
      </c>
      <c r="EB12" s="242">
        <f>-IF(EB$3&lt;=SUM(Assumptions!$F$36:$F$37),'Construction Costs'!$E$35/SUM(Assumptions!$F$36:$F$37),0)</f>
        <v>0</v>
      </c>
      <c r="EC12" s="242">
        <f>-IF(EC$3&lt;=SUM(Assumptions!$F$36:$F$37),'Construction Costs'!$E$35/SUM(Assumptions!$F$36:$F$37),0)</f>
        <v>0</v>
      </c>
      <c r="ED12" s="242">
        <f>-IF(ED$3&lt;=SUM(Assumptions!$F$36:$F$37),'Construction Costs'!$E$35/SUM(Assumptions!$F$36:$F$37),0)</f>
        <v>0</v>
      </c>
      <c r="EE12" s="242">
        <f>-IF(EE$3&lt;=SUM(Assumptions!$F$36:$F$37),'Construction Costs'!$E$35/SUM(Assumptions!$F$36:$F$37),0)</f>
        <v>0</v>
      </c>
      <c r="EF12" s="242">
        <f>-IF(EF$3&lt;=SUM(Assumptions!$F$36:$F$37),'Construction Costs'!$E$35/SUM(Assumptions!$F$36:$F$37),0)</f>
        <v>0</v>
      </c>
      <c r="EG12" s="242">
        <f>-IF(EG$3&lt;=SUM(Assumptions!$F$36:$F$37),'Construction Costs'!$E$35/SUM(Assumptions!$F$36:$F$37),0)</f>
        <v>0</v>
      </c>
      <c r="EH12" s="242">
        <f>-IF(EH$3&lt;=SUM(Assumptions!$F$36:$F$37),'Construction Costs'!$E$35/SUM(Assumptions!$F$36:$F$37),0)</f>
        <v>0</v>
      </c>
      <c r="EI12" s="242">
        <f>-IF(EI$3&lt;=SUM(Assumptions!$F$36:$F$37),'Construction Costs'!$E$35/SUM(Assumptions!$F$36:$F$37),0)</f>
        <v>0</v>
      </c>
      <c r="EJ12" s="242">
        <f>-IF(EJ$3&lt;=SUM(Assumptions!$F$36:$F$37),'Construction Costs'!$E$35/SUM(Assumptions!$F$36:$F$37),0)</f>
        <v>0</v>
      </c>
      <c r="EK12" s="242">
        <f>-IF(EK$3&lt;=SUM(Assumptions!$F$36:$F$37),'Construction Costs'!$E$35/SUM(Assumptions!$F$36:$F$37),0)</f>
        <v>0</v>
      </c>
      <c r="EL12" s="242">
        <f>-IF(EL$3&lt;=SUM(Assumptions!$F$36:$F$37),'Construction Costs'!$E$35/SUM(Assumptions!$F$36:$F$37),0)</f>
        <v>0</v>
      </c>
      <c r="EM12" s="242">
        <f>-IF(EM$3&lt;=SUM(Assumptions!$F$36:$F$37),'Construction Costs'!$E$35/SUM(Assumptions!$F$36:$F$37),0)</f>
        <v>0</v>
      </c>
      <c r="EN12" s="242">
        <f>-IF(EN$3&lt;=SUM(Assumptions!$F$36:$F$37),'Construction Costs'!$E$35/SUM(Assumptions!$F$36:$F$37),0)</f>
        <v>0</v>
      </c>
      <c r="EO12" s="242">
        <f>-IF(EO$3&lt;=SUM(Assumptions!$F$36:$F$37),'Construction Costs'!$E$35/SUM(Assumptions!$F$36:$F$37),0)</f>
        <v>0</v>
      </c>
      <c r="EP12" s="242">
        <f>-IF(EP$3&lt;=SUM(Assumptions!$F$36:$F$37),'Construction Costs'!$E$35/SUM(Assumptions!$F$36:$F$37),0)</f>
        <v>0</v>
      </c>
      <c r="EQ12" s="242">
        <f>-IF(EQ$3&lt;=SUM(Assumptions!$F$36:$F$37),'Construction Costs'!$E$35/SUM(Assumptions!$F$36:$F$37),0)</f>
        <v>0</v>
      </c>
      <c r="ER12" s="242">
        <f>-IF(ER$3&lt;=SUM(Assumptions!$F$36:$F$37),'Construction Costs'!$E$35/SUM(Assumptions!$F$36:$F$37),0)</f>
        <v>0</v>
      </c>
      <c r="ES12" s="242">
        <f>-IF(ES$3&lt;=SUM(Assumptions!$F$36:$F$37),'Construction Costs'!$E$35/SUM(Assumptions!$F$36:$F$37),0)</f>
        <v>0</v>
      </c>
      <c r="ET12" s="242">
        <f>-IF(ET$3&lt;=SUM(Assumptions!$F$36:$F$37),'Construction Costs'!$E$35/SUM(Assumptions!$F$36:$F$37),0)</f>
        <v>0</v>
      </c>
    </row>
    <row r="13" spans="2:150" x14ac:dyDescent="0.2">
      <c r="B13" t="s">
        <v>11</v>
      </c>
      <c r="D13" s="242">
        <f t="shared" si="180"/>
        <v>-19519500</v>
      </c>
      <c r="F13" s="242">
        <f>-IF(F$3&lt;=Assumptions!$F$36,0,IF(F$3&lt;=SUM(Assumptions!$F$36:$F$37),'Construction Costs'!$E$11/Assumptions!$F$37,0))</f>
        <v>0</v>
      </c>
      <c r="G13" s="242">
        <f>-IF(G$3&lt;=Assumptions!$F$36,0,IF(G$3&lt;=SUM(Assumptions!$F$36:$F$37),'Construction Costs'!$E$11/Assumptions!$F$37,0))</f>
        <v>0</v>
      </c>
      <c r="H13" s="242">
        <f>-IF(H$3&lt;=Assumptions!$F$36,0,IF(H$3&lt;=SUM(Assumptions!$F$36:$F$37),'Construction Costs'!$E$11/Assumptions!$F$37,0))</f>
        <v>0</v>
      </c>
      <c r="I13" s="242">
        <f>-IF(I$3&lt;=Assumptions!$F$36,0,IF(I$3&lt;=SUM(Assumptions!$F$36:$F$37),'Construction Costs'!$E$11/Assumptions!$F$37,0))</f>
        <v>0</v>
      </c>
      <c r="J13" s="242">
        <f>-IF(J$3&lt;=Assumptions!$F$36,0,IF(J$3&lt;=SUM(Assumptions!$F$36:$F$37),'Construction Costs'!$E$11/Assumptions!$F$37,0))</f>
        <v>0</v>
      </c>
      <c r="K13" s="242">
        <f>-IF(K$3&lt;=Assumptions!$F$36,0,IF(K$3&lt;=SUM(Assumptions!$F$36:$F$37),'Construction Costs'!$E$11/Assumptions!$F$37,0))</f>
        <v>0</v>
      </c>
      <c r="L13" s="242">
        <f>-IF(L$3&lt;=Assumptions!$F$36,0,IF(L$3&lt;=SUM(Assumptions!$F$36:$F$37),'Construction Costs'!$E$11/Assumptions!$F$37,0))</f>
        <v>0</v>
      </c>
      <c r="M13" s="242">
        <f>-IF(M$3&lt;=Assumptions!$F$36,0,IF(M$3&lt;=SUM(Assumptions!$F$36:$F$37),'Construction Costs'!$E$11/Assumptions!$F$37,0))</f>
        <v>0</v>
      </c>
      <c r="N13" s="242">
        <f>-IF(N$3&lt;=Assumptions!$F$36,0,IF(N$3&lt;=SUM(Assumptions!$F$36:$F$37),'Construction Costs'!$E$11/Assumptions!$F$37,0))</f>
        <v>0</v>
      </c>
      <c r="O13" s="242">
        <f>-IF(O$3&lt;=Assumptions!$F$36,0,IF(O$3&lt;=SUM(Assumptions!$F$36:$F$37),'Construction Costs'!$E$11/Assumptions!$F$37,0))</f>
        <v>0</v>
      </c>
      <c r="P13" s="242">
        <f>-IF(P$3&lt;=Assumptions!$F$36,0,IF(P$3&lt;=SUM(Assumptions!$F$36:$F$37),'Construction Costs'!$E$11/Assumptions!$F$37,0))</f>
        <v>0</v>
      </c>
      <c r="Q13" s="242">
        <f>-IF(Q$3&lt;=Assumptions!$F$36,0,IF(Q$3&lt;=SUM(Assumptions!$F$36:$F$37),'Construction Costs'!$E$11/Assumptions!$F$37,0))</f>
        <v>0</v>
      </c>
      <c r="R13" s="242">
        <f>-IF(R$3&lt;=Assumptions!$F$36,0,IF(R$3&lt;=SUM(Assumptions!$F$36:$F$37),'Construction Costs'!$E$11/Assumptions!$F$37,0))</f>
        <v>0</v>
      </c>
      <c r="S13" s="242">
        <f>-IF(S$3&lt;=Assumptions!$F$36,0,IF(S$3&lt;=SUM(Assumptions!$F$36:$F$37),'Construction Costs'!$E$11/Assumptions!$F$37,0))</f>
        <v>0</v>
      </c>
      <c r="T13" s="242">
        <f>-IF(T$3&lt;=Assumptions!$F$36,0,IF(T$3&lt;=SUM(Assumptions!$F$36:$F$37),'Construction Costs'!$E$11/Assumptions!$F$37,0))</f>
        <v>0</v>
      </c>
      <c r="U13" s="242">
        <f>-IF(U$3&lt;=Assumptions!$F$36,0,IF(U$3&lt;=SUM(Assumptions!$F$36:$F$37),'Construction Costs'!$E$11/Assumptions!$F$37,0))</f>
        <v>-975975</v>
      </c>
      <c r="V13" s="242">
        <f>-IF(V$3&lt;=Assumptions!$F$36,0,IF(V$3&lt;=SUM(Assumptions!$F$36:$F$37),'Construction Costs'!$E$11/Assumptions!$F$37,0))</f>
        <v>-975975</v>
      </c>
      <c r="W13" s="242">
        <f>-IF(W$3&lt;=Assumptions!$F$36,0,IF(W$3&lt;=SUM(Assumptions!$F$36:$F$37),'Construction Costs'!$E$11/Assumptions!$F$37,0))</f>
        <v>-975975</v>
      </c>
      <c r="X13" s="242">
        <f>-IF(X$3&lt;=Assumptions!$F$36,0,IF(X$3&lt;=SUM(Assumptions!$F$36:$F$37),'Construction Costs'!$E$11/Assumptions!$F$37,0))</f>
        <v>-975975</v>
      </c>
      <c r="Y13" s="242">
        <f>-IF(Y$3&lt;=Assumptions!$F$36,0,IF(Y$3&lt;=SUM(Assumptions!$F$36:$F$37),'Construction Costs'!$E$11/Assumptions!$F$37,0))</f>
        <v>-975975</v>
      </c>
      <c r="Z13" s="242">
        <f>-IF(Z$3&lt;=Assumptions!$F$36,0,IF(Z$3&lt;=SUM(Assumptions!$F$36:$F$37),'Construction Costs'!$E$11/Assumptions!$F$37,0))</f>
        <v>-975975</v>
      </c>
      <c r="AA13" s="242">
        <f>-IF(AA$3&lt;=Assumptions!$F$36,0,IF(AA$3&lt;=SUM(Assumptions!$F$36:$F$37),'Construction Costs'!$E$11/Assumptions!$F$37,0))</f>
        <v>-975975</v>
      </c>
      <c r="AB13" s="242">
        <f>-IF(AB$3&lt;=Assumptions!$F$36,0,IF(AB$3&lt;=SUM(Assumptions!$F$36:$F$37),'Construction Costs'!$E$11/Assumptions!$F$37,0))</f>
        <v>-975975</v>
      </c>
      <c r="AC13" s="242">
        <f>-IF(AC$3&lt;=Assumptions!$F$36,0,IF(AC$3&lt;=SUM(Assumptions!$F$36:$F$37),'Construction Costs'!$E$11/Assumptions!$F$37,0))</f>
        <v>-975975</v>
      </c>
      <c r="AD13" s="242">
        <f>-IF(AD$3&lt;=Assumptions!$F$36,0,IF(AD$3&lt;=SUM(Assumptions!$F$36:$F$37),'Construction Costs'!$E$11/Assumptions!$F$37,0))</f>
        <v>-975975</v>
      </c>
      <c r="AE13" s="242">
        <f>-IF(AE$3&lt;=Assumptions!$F$36,0,IF(AE$3&lt;=SUM(Assumptions!$F$36:$F$37),'Construction Costs'!$E$11/Assumptions!$F$37,0))</f>
        <v>-975975</v>
      </c>
      <c r="AF13" s="242">
        <f>-IF(AF$3&lt;=Assumptions!$F$36,0,IF(AF$3&lt;=SUM(Assumptions!$F$36:$F$37),'Construction Costs'!$E$11/Assumptions!$F$37,0))</f>
        <v>-975975</v>
      </c>
      <c r="AG13" s="242">
        <f>-IF(AG$3&lt;=Assumptions!$F$36,0,IF(AG$3&lt;=SUM(Assumptions!$F$36:$F$37),'Construction Costs'!$E$11/Assumptions!$F$37,0))</f>
        <v>-975975</v>
      </c>
      <c r="AH13" s="242">
        <f>-IF(AH$3&lt;=Assumptions!$F$36,0,IF(AH$3&lt;=SUM(Assumptions!$F$36:$F$37),'Construction Costs'!$E$11/Assumptions!$F$37,0))</f>
        <v>-975975</v>
      </c>
      <c r="AI13" s="242">
        <f>-IF(AI$3&lt;=Assumptions!$F$36,0,IF(AI$3&lt;=SUM(Assumptions!$F$36:$F$37),'Construction Costs'!$E$11/Assumptions!$F$37,0))</f>
        <v>-975975</v>
      </c>
      <c r="AJ13" s="242">
        <f>-IF(AJ$3&lt;=Assumptions!$F$36,0,IF(AJ$3&lt;=SUM(Assumptions!$F$36:$F$37),'Construction Costs'!$E$11/Assumptions!$F$37,0))</f>
        <v>-975975</v>
      </c>
      <c r="AK13" s="242">
        <f>-IF(AK$3&lt;=Assumptions!$F$36,0,IF(AK$3&lt;=SUM(Assumptions!$F$36:$F$37),'Construction Costs'!$E$11/Assumptions!$F$37,0))</f>
        <v>-975975</v>
      </c>
      <c r="AL13" s="242">
        <f>-IF(AL$3&lt;=Assumptions!$F$36,0,IF(AL$3&lt;=SUM(Assumptions!$F$36:$F$37),'Construction Costs'!$E$11/Assumptions!$F$37,0))</f>
        <v>-975975</v>
      </c>
      <c r="AM13" s="242">
        <f>-IF(AM$3&lt;=Assumptions!$F$36,0,IF(AM$3&lt;=SUM(Assumptions!$F$36:$F$37),'Construction Costs'!$E$11/Assumptions!$F$37,0))</f>
        <v>-975975</v>
      </c>
      <c r="AN13" s="242">
        <f>-IF(AN$3&lt;=Assumptions!$F$36,0,IF(AN$3&lt;=SUM(Assumptions!$F$36:$F$37),'Construction Costs'!$E$11/Assumptions!$F$37,0))</f>
        <v>-975975</v>
      </c>
      <c r="AO13" s="242">
        <f>-IF(AO$3&lt;=Assumptions!$F$36,0,IF(AO$3&lt;=SUM(Assumptions!$F$36:$F$37),'Construction Costs'!$E$11/Assumptions!$F$37,0))</f>
        <v>0</v>
      </c>
      <c r="AP13" s="242">
        <f>-IF(AP$3&lt;=Assumptions!$F$36,0,IF(AP$3&lt;=SUM(Assumptions!$F$36:$F$37),'Construction Costs'!$E$11/Assumptions!$F$37,0))</f>
        <v>0</v>
      </c>
      <c r="AQ13" s="242">
        <f>-IF(AQ$3&lt;=Assumptions!$F$36,0,IF(AQ$3&lt;=SUM(Assumptions!$F$36:$F$37),'Construction Costs'!$E$11/Assumptions!$F$37,0))</f>
        <v>0</v>
      </c>
      <c r="AR13" s="242">
        <f>-IF(AR$3&lt;=Assumptions!$F$36,0,IF(AR$3&lt;=SUM(Assumptions!$F$36:$F$37),'Construction Costs'!$E$11/Assumptions!$F$37,0))</f>
        <v>0</v>
      </c>
      <c r="AS13" s="242">
        <f>-IF(AS$3&lt;=Assumptions!$F$36,0,IF(AS$3&lt;=SUM(Assumptions!$F$36:$F$37),'Construction Costs'!$E$11/Assumptions!$F$37,0))</f>
        <v>0</v>
      </c>
      <c r="AT13" s="242">
        <f>-IF(AT$3&lt;=Assumptions!$F$36,0,IF(AT$3&lt;=SUM(Assumptions!$F$36:$F$37),'Construction Costs'!$E$11/Assumptions!$F$37,0))</f>
        <v>0</v>
      </c>
      <c r="AU13" s="242">
        <f>-IF(AU$3&lt;=Assumptions!$F$36,0,IF(AU$3&lt;=SUM(Assumptions!$F$36:$F$37),'Construction Costs'!$E$11/Assumptions!$F$37,0))</f>
        <v>0</v>
      </c>
      <c r="AV13" s="242">
        <f>-IF(AV$3&lt;=Assumptions!$F$36,0,IF(AV$3&lt;=SUM(Assumptions!$F$36:$F$37),'Construction Costs'!$E$11/Assumptions!$F$37,0))</f>
        <v>0</v>
      </c>
      <c r="AW13" s="242">
        <f>-IF(AW$3&lt;=Assumptions!$F$36,0,IF(AW$3&lt;=SUM(Assumptions!$F$36:$F$37),'Construction Costs'!$E$11/Assumptions!$F$37,0))</f>
        <v>0</v>
      </c>
      <c r="AX13" s="242">
        <f>-IF(AX$3&lt;=Assumptions!$F$36,0,IF(AX$3&lt;=SUM(Assumptions!$F$36:$F$37),'Construction Costs'!$E$11/Assumptions!$F$37,0))</f>
        <v>0</v>
      </c>
      <c r="AY13" s="242">
        <f>-IF(AY$3&lt;=Assumptions!$F$36,0,IF(AY$3&lt;=SUM(Assumptions!$F$36:$F$37),'Construction Costs'!$E$11/Assumptions!$F$37,0))</f>
        <v>0</v>
      </c>
      <c r="AZ13" s="242">
        <f>-IF(AZ$3&lt;=Assumptions!$F$36,0,IF(AZ$3&lt;=SUM(Assumptions!$F$36:$F$37),'Construction Costs'!$E$11/Assumptions!$F$37,0))</f>
        <v>0</v>
      </c>
      <c r="BA13" s="242">
        <f>-IF(BA$3&lt;=Assumptions!$F$36,0,IF(BA$3&lt;=SUM(Assumptions!$F$36:$F$37),'Construction Costs'!$E$11/Assumptions!$F$37,0))</f>
        <v>0</v>
      </c>
      <c r="BB13" s="242">
        <f>-IF(BB$3&lt;=Assumptions!$F$36,0,IF(BB$3&lt;=SUM(Assumptions!$F$36:$F$37),'Construction Costs'!$E$11/Assumptions!$F$37,0))</f>
        <v>0</v>
      </c>
      <c r="BC13" s="242">
        <f>-IF(BC$3&lt;=Assumptions!$F$36,0,IF(BC$3&lt;=SUM(Assumptions!$F$36:$F$37),'Construction Costs'!$E$11/Assumptions!$F$37,0))</f>
        <v>0</v>
      </c>
      <c r="BD13" s="242">
        <f>-IF(BD$3&lt;=Assumptions!$F$36,0,IF(BD$3&lt;=SUM(Assumptions!$F$36:$F$37),'Construction Costs'!$E$11/Assumptions!$F$37,0))</f>
        <v>0</v>
      </c>
      <c r="BE13" s="242">
        <f>-IF(BE$3&lt;=Assumptions!$F$36,0,IF(BE$3&lt;=SUM(Assumptions!$F$36:$F$37),'Construction Costs'!$E$11/Assumptions!$F$37,0))</f>
        <v>0</v>
      </c>
      <c r="BF13" s="242">
        <f>-IF(BF$3&lt;=Assumptions!$F$36,0,IF(BF$3&lt;=SUM(Assumptions!$F$36:$F$37),'Construction Costs'!$E$11/Assumptions!$F$37,0))</f>
        <v>0</v>
      </c>
      <c r="BG13" s="242">
        <f>-IF(BG$3&lt;=Assumptions!$F$36,0,IF(BG$3&lt;=SUM(Assumptions!$F$36:$F$37),'Construction Costs'!$E$11/Assumptions!$F$37,0))</f>
        <v>0</v>
      </c>
      <c r="BH13" s="242">
        <f>-IF(BH$3&lt;=Assumptions!$F$36,0,IF(BH$3&lt;=SUM(Assumptions!$F$36:$F$37),'Construction Costs'!$E$11/Assumptions!$F$37,0))</f>
        <v>0</v>
      </c>
      <c r="BI13" s="242">
        <f>-IF(BI$3&lt;=Assumptions!$F$36,0,IF(BI$3&lt;=SUM(Assumptions!$F$36:$F$37),'Construction Costs'!$E$11/Assumptions!$F$37,0))</f>
        <v>0</v>
      </c>
      <c r="BJ13" s="242">
        <f>-IF(BJ$3&lt;=Assumptions!$F$36,0,IF(BJ$3&lt;=SUM(Assumptions!$F$36:$F$37),'Construction Costs'!$E$11/Assumptions!$F$37,0))</f>
        <v>0</v>
      </c>
      <c r="BK13" s="242">
        <f>-IF(BK$3&lt;=Assumptions!$F$36,0,IF(BK$3&lt;=SUM(Assumptions!$F$36:$F$37),'Construction Costs'!$E$11/Assumptions!$F$37,0))</f>
        <v>0</v>
      </c>
      <c r="BL13" s="242">
        <f>-IF(BL$3&lt;=Assumptions!$F$36,0,IF(BL$3&lt;=SUM(Assumptions!$F$36:$F$37),'Construction Costs'!$E$11/Assumptions!$F$37,0))</f>
        <v>0</v>
      </c>
      <c r="BM13" s="242">
        <f>-IF(BM$3&lt;=Assumptions!$F$36,0,IF(BM$3&lt;=SUM(Assumptions!$F$36:$F$37),'Construction Costs'!$E$11/Assumptions!$F$37,0))</f>
        <v>0</v>
      </c>
      <c r="BN13" s="242">
        <f>-IF(BN$3&lt;=Assumptions!$F$36,0,IF(BN$3&lt;=SUM(Assumptions!$F$36:$F$37),'Construction Costs'!$E$11/Assumptions!$F$37,0))</f>
        <v>0</v>
      </c>
      <c r="BO13" s="242">
        <f>-IF(BO$3&lt;=Assumptions!$F$36,0,IF(BO$3&lt;=SUM(Assumptions!$F$36:$F$37),'Construction Costs'!$E$11/Assumptions!$F$37,0))</f>
        <v>0</v>
      </c>
      <c r="BP13" s="242">
        <f>-IF(BP$3&lt;=Assumptions!$F$36,0,IF(BP$3&lt;=SUM(Assumptions!$F$36:$F$37),'Construction Costs'!$E$11/Assumptions!$F$37,0))</f>
        <v>0</v>
      </c>
      <c r="BQ13" s="242">
        <f>-IF(BQ$3&lt;=Assumptions!$F$36,0,IF(BQ$3&lt;=SUM(Assumptions!$F$36:$F$37),'Construction Costs'!$E$11/Assumptions!$F$37,0))</f>
        <v>0</v>
      </c>
      <c r="BR13" s="242">
        <f>-IF(BR$3&lt;=Assumptions!$F$36,0,IF(BR$3&lt;=SUM(Assumptions!$F$36:$F$37),'Construction Costs'!$E$11/Assumptions!$F$37,0))</f>
        <v>0</v>
      </c>
      <c r="BS13" s="242">
        <f>-IF(BS$3&lt;=Assumptions!$F$36,0,IF(BS$3&lt;=SUM(Assumptions!$F$36:$F$37),'Construction Costs'!$E$11/Assumptions!$F$37,0))</f>
        <v>0</v>
      </c>
      <c r="BT13" s="242">
        <f>-IF(BT$3&lt;=Assumptions!$F$36,0,IF(BT$3&lt;=SUM(Assumptions!$F$36:$F$37),'Construction Costs'!$E$11/Assumptions!$F$37,0))</f>
        <v>0</v>
      </c>
      <c r="BU13" s="242">
        <f>-IF(BU$3&lt;=Assumptions!$F$36,0,IF(BU$3&lt;=SUM(Assumptions!$F$36:$F$37),'Construction Costs'!$E$11/Assumptions!$F$37,0))</f>
        <v>0</v>
      </c>
      <c r="BV13" s="242">
        <f>-IF(BV$3&lt;=Assumptions!$F$36,0,IF(BV$3&lt;=SUM(Assumptions!$F$36:$F$37),'Construction Costs'!$E$11/Assumptions!$F$37,0))</f>
        <v>0</v>
      </c>
      <c r="BW13" s="242">
        <f>-IF(BW$3&lt;=Assumptions!$F$36,0,IF(BW$3&lt;=SUM(Assumptions!$F$36:$F$37),'Construction Costs'!$E$11/Assumptions!$F$37,0))</f>
        <v>0</v>
      </c>
      <c r="BX13" s="242">
        <f>-IF(BX$3&lt;=Assumptions!$F$36,0,IF(BX$3&lt;=SUM(Assumptions!$F$36:$F$37),'Construction Costs'!$E$11/Assumptions!$F$37,0))</f>
        <v>0</v>
      </c>
      <c r="BY13" s="242">
        <f>-IF(BY$3&lt;=Assumptions!$F$36,0,IF(BY$3&lt;=SUM(Assumptions!$F$36:$F$37),'Construction Costs'!$E$11/Assumptions!$F$37,0))</f>
        <v>0</v>
      </c>
      <c r="BZ13" s="242">
        <f>-IF(BZ$3&lt;=Assumptions!$F$36,0,IF(BZ$3&lt;=SUM(Assumptions!$F$36:$F$37),'Construction Costs'!$E$11/Assumptions!$F$37,0))</f>
        <v>0</v>
      </c>
      <c r="CA13" s="242">
        <f>-IF(CA$3&lt;=Assumptions!$F$36,0,IF(CA$3&lt;=SUM(Assumptions!$F$36:$F$37),'Construction Costs'!$E$11/Assumptions!$F$37,0))</f>
        <v>0</v>
      </c>
      <c r="CB13" s="242">
        <f>-IF(CB$3&lt;=Assumptions!$F$36,0,IF(CB$3&lt;=SUM(Assumptions!$F$36:$F$37),'Construction Costs'!$E$11/Assumptions!$F$37,0))</f>
        <v>0</v>
      </c>
      <c r="CC13" s="242">
        <f>-IF(CC$3&lt;=Assumptions!$F$36,0,IF(CC$3&lt;=SUM(Assumptions!$F$36:$F$37),'Construction Costs'!$E$11/Assumptions!$F$37,0))</f>
        <v>0</v>
      </c>
      <c r="CD13" s="242">
        <f>-IF(CD$3&lt;=Assumptions!$F$36,0,IF(CD$3&lt;=SUM(Assumptions!$F$36:$F$37),'Construction Costs'!$E$11/Assumptions!$F$37,0))</f>
        <v>0</v>
      </c>
      <c r="CE13" s="242">
        <f>-IF(CE$3&lt;=Assumptions!$F$36,0,IF(CE$3&lt;=SUM(Assumptions!$F$36:$F$37),'Construction Costs'!$E$11/Assumptions!$F$37,0))</f>
        <v>0</v>
      </c>
      <c r="CF13" s="242">
        <f>-IF(CF$3&lt;=Assumptions!$F$36,0,IF(CF$3&lt;=SUM(Assumptions!$F$36:$F$37),'Construction Costs'!$E$11/Assumptions!$F$37,0))</f>
        <v>0</v>
      </c>
      <c r="CG13" s="242">
        <f>-IF(CG$3&lt;=Assumptions!$F$36,0,IF(CG$3&lt;=SUM(Assumptions!$F$36:$F$37),'Construction Costs'!$E$11/Assumptions!$F$37,0))</f>
        <v>0</v>
      </c>
      <c r="CH13" s="242">
        <f>-IF(CH$3&lt;=Assumptions!$F$36,0,IF(CH$3&lt;=SUM(Assumptions!$F$36:$F$37),'Construction Costs'!$E$11/Assumptions!$F$37,0))</f>
        <v>0</v>
      </c>
      <c r="CI13" s="242">
        <f>-IF(CI$3&lt;=Assumptions!$F$36,0,IF(CI$3&lt;=SUM(Assumptions!$F$36:$F$37),'Construction Costs'!$E$11/Assumptions!$F$37,0))</f>
        <v>0</v>
      </c>
      <c r="CJ13" s="242">
        <f>-IF(CJ$3&lt;=Assumptions!$F$36,0,IF(CJ$3&lt;=SUM(Assumptions!$F$36:$F$37),'Construction Costs'!$E$11/Assumptions!$F$37,0))</f>
        <v>0</v>
      </c>
      <c r="CK13" s="242">
        <f>-IF(CK$3&lt;=Assumptions!$F$36,0,IF(CK$3&lt;=SUM(Assumptions!$F$36:$F$37),'Construction Costs'!$E$11/Assumptions!$F$37,0))</f>
        <v>0</v>
      </c>
      <c r="CL13" s="242">
        <f>-IF(CL$3&lt;=Assumptions!$F$36,0,IF(CL$3&lt;=SUM(Assumptions!$F$36:$F$37),'Construction Costs'!$E$11/Assumptions!$F$37,0))</f>
        <v>0</v>
      </c>
      <c r="CM13" s="242">
        <f>-IF(CM$3&lt;=Assumptions!$F$36,0,IF(CM$3&lt;=SUM(Assumptions!$F$36:$F$37),'Construction Costs'!$E$11/Assumptions!$F$37,0))</f>
        <v>0</v>
      </c>
      <c r="CN13" s="242">
        <f>-IF(CN$3&lt;=Assumptions!$F$36,0,IF(CN$3&lt;=SUM(Assumptions!$F$36:$F$37),'Construction Costs'!$E$11/Assumptions!$F$37,0))</f>
        <v>0</v>
      </c>
      <c r="CO13" s="242">
        <f>-IF(CO$3&lt;=Assumptions!$F$36,0,IF(CO$3&lt;=SUM(Assumptions!$F$36:$F$37),'Construction Costs'!$E$11/Assumptions!$F$37,0))</f>
        <v>0</v>
      </c>
      <c r="CP13" s="242">
        <f>-IF(CP$3&lt;=Assumptions!$F$36,0,IF(CP$3&lt;=SUM(Assumptions!$F$36:$F$37),'Construction Costs'!$E$11/Assumptions!$F$37,0))</f>
        <v>0</v>
      </c>
      <c r="CQ13" s="242">
        <f>-IF(CQ$3&lt;=Assumptions!$F$36,0,IF(CQ$3&lt;=SUM(Assumptions!$F$36:$F$37),'Construction Costs'!$E$11/Assumptions!$F$37,0))</f>
        <v>0</v>
      </c>
      <c r="CR13" s="242">
        <f>-IF(CR$3&lt;=Assumptions!$F$36,0,IF(CR$3&lt;=SUM(Assumptions!$F$36:$F$37),'Construction Costs'!$E$11/Assumptions!$F$37,0))</f>
        <v>0</v>
      </c>
      <c r="CS13" s="242">
        <f>-IF(CS$3&lt;=Assumptions!$F$36,0,IF(CS$3&lt;=SUM(Assumptions!$F$36:$F$37),'Construction Costs'!$E$11/Assumptions!$F$37,0))</f>
        <v>0</v>
      </c>
      <c r="CT13" s="242">
        <f>-IF(CT$3&lt;=Assumptions!$F$36,0,IF(CT$3&lt;=SUM(Assumptions!$F$36:$F$37),'Construction Costs'!$E$11/Assumptions!$F$37,0))</f>
        <v>0</v>
      </c>
      <c r="CU13" s="242">
        <f>-IF(CU$3&lt;=Assumptions!$F$36,0,IF(CU$3&lt;=SUM(Assumptions!$F$36:$F$37),'Construction Costs'!$E$11/Assumptions!$F$37,0))</f>
        <v>0</v>
      </c>
      <c r="CV13" s="242">
        <f>-IF(CV$3&lt;=Assumptions!$F$36,0,IF(CV$3&lt;=SUM(Assumptions!$F$36:$F$37),'Construction Costs'!$E$11/Assumptions!$F$37,0))</f>
        <v>0</v>
      </c>
      <c r="CW13" s="242">
        <f>-IF(CW$3&lt;=Assumptions!$F$36,0,IF(CW$3&lt;=SUM(Assumptions!$F$36:$F$37),'Construction Costs'!$E$11/Assumptions!$F$37,0))</f>
        <v>0</v>
      </c>
      <c r="CX13" s="242">
        <f>-IF(CX$3&lt;=Assumptions!$F$36,0,IF(CX$3&lt;=SUM(Assumptions!$F$36:$F$37),'Construction Costs'!$E$11/Assumptions!$F$37,0))</f>
        <v>0</v>
      </c>
      <c r="CY13" s="242">
        <f>-IF(CY$3&lt;=Assumptions!$F$36,0,IF(CY$3&lt;=SUM(Assumptions!$F$36:$F$37),'Construction Costs'!$E$11/Assumptions!$F$37,0))</f>
        <v>0</v>
      </c>
      <c r="CZ13" s="242">
        <f>-IF(CZ$3&lt;=Assumptions!$F$36,0,IF(CZ$3&lt;=SUM(Assumptions!$F$36:$F$37),'Construction Costs'!$E$11/Assumptions!$F$37,0))</f>
        <v>0</v>
      </c>
      <c r="DA13" s="242">
        <f>-IF(DA$3&lt;=Assumptions!$F$36,0,IF(DA$3&lt;=SUM(Assumptions!$F$36:$F$37),'Construction Costs'!$E$11/Assumptions!$F$37,0))</f>
        <v>0</v>
      </c>
      <c r="DB13" s="242">
        <f>-IF(DB$3&lt;=Assumptions!$F$36,0,IF(DB$3&lt;=SUM(Assumptions!$F$36:$F$37),'Construction Costs'!$E$11/Assumptions!$F$37,0))</f>
        <v>0</v>
      </c>
      <c r="DC13" s="242">
        <f>-IF(DC$3&lt;=Assumptions!$F$36,0,IF(DC$3&lt;=SUM(Assumptions!$F$36:$F$37),'Construction Costs'!$E$11/Assumptions!$F$37,0))</f>
        <v>0</v>
      </c>
      <c r="DD13" s="242">
        <f>-IF(DD$3&lt;=Assumptions!$F$36,0,IF(DD$3&lt;=SUM(Assumptions!$F$36:$F$37),'Construction Costs'!$E$11/Assumptions!$F$37,0))</f>
        <v>0</v>
      </c>
      <c r="DE13" s="242">
        <f>-IF(DE$3&lt;=Assumptions!$F$36,0,IF(DE$3&lt;=SUM(Assumptions!$F$36:$F$37),'Construction Costs'!$E$11/Assumptions!$F$37,0))</f>
        <v>0</v>
      </c>
      <c r="DF13" s="242">
        <f>-IF(DF$3&lt;=Assumptions!$F$36,0,IF(DF$3&lt;=SUM(Assumptions!$F$36:$F$37),'Construction Costs'!$E$11/Assumptions!$F$37,0))</f>
        <v>0</v>
      </c>
      <c r="DG13" s="242">
        <f>-IF(DG$3&lt;=Assumptions!$F$36,0,IF(DG$3&lt;=SUM(Assumptions!$F$36:$F$37),'Construction Costs'!$E$11/Assumptions!$F$37,0))</f>
        <v>0</v>
      </c>
      <c r="DH13" s="242">
        <f>-IF(DH$3&lt;=Assumptions!$F$36,0,IF(DH$3&lt;=SUM(Assumptions!$F$36:$F$37),'Construction Costs'!$E$11/Assumptions!$F$37,0))</f>
        <v>0</v>
      </c>
      <c r="DI13" s="242">
        <f>-IF(DI$3&lt;=Assumptions!$F$36,0,IF(DI$3&lt;=SUM(Assumptions!$F$36:$F$37),'Construction Costs'!$E$11/Assumptions!$F$37,0))</f>
        <v>0</v>
      </c>
      <c r="DJ13" s="242">
        <f>-IF(DJ$3&lt;=Assumptions!$F$36,0,IF(DJ$3&lt;=SUM(Assumptions!$F$36:$F$37),'Construction Costs'!$E$11/Assumptions!$F$37,0))</f>
        <v>0</v>
      </c>
      <c r="DK13" s="242">
        <f>-IF(DK$3&lt;=Assumptions!$F$36,0,IF(DK$3&lt;=SUM(Assumptions!$F$36:$F$37),'Construction Costs'!$E$11/Assumptions!$F$37,0))</f>
        <v>0</v>
      </c>
      <c r="DL13" s="242">
        <f>-IF(DL$3&lt;=Assumptions!$F$36,0,IF(DL$3&lt;=SUM(Assumptions!$F$36:$F$37),'Construction Costs'!$E$11/Assumptions!$F$37,0))</f>
        <v>0</v>
      </c>
      <c r="DM13" s="242">
        <f>-IF(DM$3&lt;=Assumptions!$F$36,0,IF(DM$3&lt;=SUM(Assumptions!$F$36:$F$37),'Construction Costs'!$E$11/Assumptions!$F$37,0))</f>
        <v>0</v>
      </c>
      <c r="DN13" s="242">
        <f>-IF(DN$3&lt;=Assumptions!$F$36,0,IF(DN$3&lt;=SUM(Assumptions!$F$36:$F$37),'Construction Costs'!$E$11/Assumptions!$F$37,0))</f>
        <v>0</v>
      </c>
      <c r="DO13" s="242">
        <f>-IF(DO$3&lt;=Assumptions!$F$36,0,IF(DO$3&lt;=SUM(Assumptions!$F$36:$F$37),'Construction Costs'!$E$11/Assumptions!$F$37,0))</f>
        <v>0</v>
      </c>
      <c r="DP13" s="242">
        <f>-IF(DP$3&lt;=Assumptions!$F$36,0,IF(DP$3&lt;=SUM(Assumptions!$F$36:$F$37),'Construction Costs'!$E$11/Assumptions!$F$37,0))</f>
        <v>0</v>
      </c>
      <c r="DQ13" s="242">
        <f>-IF(DQ$3&lt;=Assumptions!$F$36,0,IF(DQ$3&lt;=SUM(Assumptions!$F$36:$F$37),'Construction Costs'!$E$11/Assumptions!$F$37,0))</f>
        <v>0</v>
      </c>
      <c r="DR13" s="242">
        <f>-IF(DR$3&lt;=Assumptions!$F$36,0,IF(DR$3&lt;=SUM(Assumptions!$F$36:$F$37),'Construction Costs'!$E$11/Assumptions!$F$37,0))</f>
        <v>0</v>
      </c>
      <c r="DS13" s="242">
        <f>-IF(DS$3&lt;=Assumptions!$F$36,0,IF(DS$3&lt;=SUM(Assumptions!$F$36:$F$37),'Construction Costs'!$E$11/Assumptions!$F$37,0))</f>
        <v>0</v>
      </c>
      <c r="DT13" s="242">
        <f>-IF(DT$3&lt;=Assumptions!$F$36,0,IF(DT$3&lt;=SUM(Assumptions!$F$36:$F$37),'Construction Costs'!$E$11/Assumptions!$F$37,0))</f>
        <v>0</v>
      </c>
      <c r="DU13" s="242">
        <f>-IF(DU$3&lt;=Assumptions!$F$36,0,IF(DU$3&lt;=SUM(Assumptions!$F$36:$F$37),'Construction Costs'!$E$11/Assumptions!$F$37,0))</f>
        <v>0</v>
      </c>
      <c r="DV13" s="242">
        <f>-IF(DV$3&lt;=Assumptions!$F$36,0,IF(DV$3&lt;=SUM(Assumptions!$F$36:$F$37),'Construction Costs'!$E$11/Assumptions!$F$37,0))</f>
        <v>0</v>
      </c>
      <c r="DW13" s="242">
        <f>-IF(DW$3&lt;=Assumptions!$F$36,0,IF(DW$3&lt;=SUM(Assumptions!$F$36:$F$37),'Construction Costs'!$E$11/Assumptions!$F$37,0))</f>
        <v>0</v>
      </c>
      <c r="DX13" s="242">
        <f>-IF(DX$3&lt;=Assumptions!$F$36,0,IF(DX$3&lt;=SUM(Assumptions!$F$36:$F$37),'Construction Costs'!$E$11/Assumptions!$F$37,0))</f>
        <v>0</v>
      </c>
      <c r="DY13" s="242">
        <f>-IF(DY$3&lt;=Assumptions!$F$36,0,IF(DY$3&lt;=SUM(Assumptions!$F$36:$F$37),'Construction Costs'!$E$11/Assumptions!$F$37,0))</f>
        <v>0</v>
      </c>
      <c r="DZ13" s="242">
        <f>-IF(DZ$3&lt;=Assumptions!$F$36,0,IF(DZ$3&lt;=SUM(Assumptions!$F$36:$F$37),'Construction Costs'!$E$11/Assumptions!$F$37,0))</f>
        <v>0</v>
      </c>
      <c r="EA13" s="242">
        <f>-IF(EA$3&lt;=Assumptions!$F$36,0,IF(EA$3&lt;=SUM(Assumptions!$F$36:$F$37),'Construction Costs'!$E$11/Assumptions!$F$37,0))</f>
        <v>0</v>
      </c>
      <c r="EB13" s="242">
        <f>-IF(EB$3&lt;=Assumptions!$F$36,0,IF(EB$3&lt;=SUM(Assumptions!$F$36:$F$37),'Construction Costs'!$E$11/Assumptions!$F$37,0))</f>
        <v>0</v>
      </c>
      <c r="EC13" s="242">
        <f>-IF(EC$3&lt;=Assumptions!$F$36,0,IF(EC$3&lt;=SUM(Assumptions!$F$36:$F$37),'Construction Costs'!$E$11/Assumptions!$F$37,0))</f>
        <v>0</v>
      </c>
      <c r="ED13" s="242">
        <f>-IF(ED$3&lt;=Assumptions!$F$36,0,IF(ED$3&lt;=SUM(Assumptions!$F$36:$F$37),'Construction Costs'!$E$11/Assumptions!$F$37,0))</f>
        <v>0</v>
      </c>
      <c r="EE13" s="242">
        <f>-IF(EE$3&lt;=Assumptions!$F$36,0,IF(EE$3&lt;=SUM(Assumptions!$F$36:$F$37),'Construction Costs'!$E$11/Assumptions!$F$37,0))</f>
        <v>0</v>
      </c>
      <c r="EF13" s="242">
        <f>-IF(EF$3&lt;=Assumptions!$F$36,0,IF(EF$3&lt;=SUM(Assumptions!$F$36:$F$37),'Construction Costs'!$E$11/Assumptions!$F$37,0))</f>
        <v>0</v>
      </c>
      <c r="EG13" s="242">
        <f>-IF(EG$3&lt;=Assumptions!$F$36,0,IF(EG$3&lt;=SUM(Assumptions!$F$36:$F$37),'Construction Costs'!$E$11/Assumptions!$F$37,0))</f>
        <v>0</v>
      </c>
      <c r="EH13" s="242">
        <f>-IF(EH$3&lt;=Assumptions!$F$36,0,IF(EH$3&lt;=SUM(Assumptions!$F$36:$F$37),'Construction Costs'!$E$11/Assumptions!$F$37,0))</f>
        <v>0</v>
      </c>
      <c r="EI13" s="242">
        <f>-IF(EI$3&lt;=Assumptions!$F$36,0,IF(EI$3&lt;=SUM(Assumptions!$F$36:$F$37),'Construction Costs'!$E$11/Assumptions!$F$37,0))</f>
        <v>0</v>
      </c>
      <c r="EJ13" s="242">
        <f>-IF(EJ$3&lt;=Assumptions!$F$36,0,IF(EJ$3&lt;=SUM(Assumptions!$F$36:$F$37),'Construction Costs'!$E$11/Assumptions!$F$37,0))</f>
        <v>0</v>
      </c>
      <c r="EK13" s="242">
        <f>-IF(EK$3&lt;=Assumptions!$F$36,0,IF(EK$3&lt;=SUM(Assumptions!$F$36:$F$37),'Construction Costs'!$E$11/Assumptions!$F$37,0))</f>
        <v>0</v>
      </c>
      <c r="EL13" s="242">
        <f>-IF(EL$3&lt;=Assumptions!$F$36,0,IF(EL$3&lt;=SUM(Assumptions!$F$36:$F$37),'Construction Costs'!$E$11/Assumptions!$F$37,0))</f>
        <v>0</v>
      </c>
      <c r="EM13" s="242">
        <f>-IF(EM$3&lt;=Assumptions!$F$36,0,IF(EM$3&lt;=SUM(Assumptions!$F$36:$F$37),'Construction Costs'!$E$11/Assumptions!$F$37,0))</f>
        <v>0</v>
      </c>
      <c r="EN13" s="242">
        <f>-IF(EN$3&lt;=Assumptions!$F$36,0,IF(EN$3&lt;=SUM(Assumptions!$F$36:$F$37),'Construction Costs'!$E$11/Assumptions!$F$37,0))</f>
        <v>0</v>
      </c>
      <c r="EO13" s="242">
        <f>-IF(EO$3&lt;=Assumptions!$F$36,0,IF(EO$3&lt;=SUM(Assumptions!$F$36:$F$37),'Construction Costs'!$E$11/Assumptions!$F$37,0))</f>
        <v>0</v>
      </c>
      <c r="EP13" s="242">
        <f>-IF(EP$3&lt;=Assumptions!$F$36,0,IF(EP$3&lt;=SUM(Assumptions!$F$36:$F$37),'Construction Costs'!$E$11/Assumptions!$F$37,0))</f>
        <v>0</v>
      </c>
      <c r="EQ13" s="242">
        <f>-IF(EQ$3&lt;=Assumptions!$F$36,0,IF(EQ$3&lt;=SUM(Assumptions!$F$36:$F$37),'Construction Costs'!$E$11/Assumptions!$F$37,0))</f>
        <v>0</v>
      </c>
      <c r="ER13" s="242">
        <f>-IF(ER$3&lt;=Assumptions!$F$36,0,IF(ER$3&lt;=SUM(Assumptions!$F$36:$F$37),'Construction Costs'!$E$11/Assumptions!$F$37,0))</f>
        <v>0</v>
      </c>
      <c r="ES13" s="242">
        <f>-IF(ES$3&lt;=Assumptions!$F$36,0,IF(ES$3&lt;=SUM(Assumptions!$F$36:$F$37),'Construction Costs'!$E$11/Assumptions!$F$37,0))</f>
        <v>0</v>
      </c>
      <c r="ET13" s="242">
        <f>-IF(ET$3&lt;=Assumptions!$F$36,0,IF(ET$3&lt;=SUM(Assumptions!$F$36:$F$37),'Construction Costs'!$E$11/Assumptions!$F$37,0))</f>
        <v>0</v>
      </c>
    </row>
    <row r="14" spans="2:150" x14ac:dyDescent="0.2">
      <c r="B14" t="s">
        <v>288</v>
      </c>
      <c r="D14" s="242">
        <f t="shared" ca="1" si="180"/>
        <v>0</v>
      </c>
      <c r="F14" s="242">
        <f>IF(F63+F73&lt;0,F63+F73,0)</f>
        <v>0</v>
      </c>
      <c r="G14" s="242">
        <f t="shared" ref="G14:BR14" si="181">IF(G63+G73&lt;0,G63+G73,0)</f>
        <v>0</v>
      </c>
      <c r="H14" s="242">
        <f t="shared" si="181"/>
        <v>0</v>
      </c>
      <c r="I14" s="242">
        <f t="shared" si="181"/>
        <v>0</v>
      </c>
      <c r="J14" s="242">
        <f t="shared" si="181"/>
        <v>0</v>
      </c>
      <c r="K14" s="242">
        <f t="shared" si="181"/>
        <v>0</v>
      </c>
      <c r="L14" s="242">
        <f t="shared" si="181"/>
        <v>0</v>
      </c>
      <c r="M14" s="242">
        <f t="shared" si="181"/>
        <v>0</v>
      </c>
      <c r="N14" s="242">
        <f t="shared" si="181"/>
        <v>0</v>
      </c>
      <c r="O14" s="242">
        <f t="shared" si="181"/>
        <v>0</v>
      </c>
      <c r="P14" s="242">
        <f t="shared" si="181"/>
        <v>0</v>
      </c>
      <c r="Q14" s="242">
        <f t="shared" si="181"/>
        <v>0</v>
      </c>
      <c r="R14" s="242">
        <f t="shared" si="181"/>
        <v>0</v>
      </c>
      <c r="S14" s="242">
        <f t="shared" si="181"/>
        <v>0</v>
      </c>
      <c r="T14" s="242">
        <f t="shared" si="181"/>
        <v>0</v>
      </c>
      <c r="U14" s="242">
        <f t="shared" si="181"/>
        <v>0</v>
      </c>
      <c r="V14" s="242">
        <f t="shared" si="181"/>
        <v>0</v>
      </c>
      <c r="W14" s="242">
        <f t="shared" si="181"/>
        <v>0</v>
      </c>
      <c r="X14" s="242">
        <f t="shared" si="181"/>
        <v>0</v>
      </c>
      <c r="Y14" s="242">
        <f t="shared" si="181"/>
        <v>0</v>
      </c>
      <c r="Z14" s="242">
        <f t="shared" si="181"/>
        <v>0</v>
      </c>
      <c r="AA14" s="242">
        <f t="shared" si="181"/>
        <v>0</v>
      </c>
      <c r="AB14" s="242">
        <f t="shared" si="181"/>
        <v>0</v>
      </c>
      <c r="AC14" s="242">
        <f t="shared" si="181"/>
        <v>0</v>
      </c>
      <c r="AD14" s="242">
        <f t="shared" si="181"/>
        <v>0</v>
      </c>
      <c r="AE14" s="242">
        <f t="shared" si="181"/>
        <v>0</v>
      </c>
      <c r="AF14" s="242">
        <f t="shared" si="181"/>
        <v>0</v>
      </c>
      <c r="AG14" s="242">
        <f t="shared" si="181"/>
        <v>0</v>
      </c>
      <c r="AH14" s="242">
        <f t="shared" si="181"/>
        <v>0</v>
      </c>
      <c r="AI14" s="242">
        <f t="shared" si="181"/>
        <v>0</v>
      </c>
      <c r="AJ14" s="242">
        <f t="shared" si="181"/>
        <v>0</v>
      </c>
      <c r="AK14" s="242">
        <f t="shared" si="181"/>
        <v>0</v>
      </c>
      <c r="AL14" s="242">
        <f t="shared" si="181"/>
        <v>0</v>
      </c>
      <c r="AM14" s="242">
        <f t="shared" si="181"/>
        <v>0</v>
      </c>
      <c r="AN14" s="242">
        <f t="shared" si="181"/>
        <v>0</v>
      </c>
      <c r="AO14" s="242">
        <f t="shared" ca="1" si="181"/>
        <v>0</v>
      </c>
      <c r="AP14" s="242">
        <f t="shared" ca="1" si="181"/>
        <v>0</v>
      </c>
      <c r="AQ14" s="242">
        <f t="shared" ca="1" si="181"/>
        <v>0</v>
      </c>
      <c r="AR14" s="242">
        <f t="shared" ca="1" si="181"/>
        <v>0</v>
      </c>
      <c r="AS14" s="242">
        <f t="shared" ca="1" si="181"/>
        <v>0</v>
      </c>
      <c r="AT14" s="242">
        <f t="shared" ca="1" si="181"/>
        <v>0</v>
      </c>
      <c r="AU14" s="242">
        <f t="shared" ca="1" si="181"/>
        <v>0</v>
      </c>
      <c r="AV14" s="242">
        <f t="shared" ca="1" si="181"/>
        <v>0</v>
      </c>
      <c r="AW14" s="242">
        <f t="shared" ca="1" si="181"/>
        <v>0</v>
      </c>
      <c r="AX14" s="242">
        <f t="shared" ca="1" si="181"/>
        <v>0</v>
      </c>
      <c r="AY14" s="242">
        <f t="shared" ca="1" si="181"/>
        <v>0</v>
      </c>
      <c r="AZ14" s="242">
        <f t="shared" ca="1" si="181"/>
        <v>0</v>
      </c>
      <c r="BA14" s="242">
        <f t="shared" ca="1" si="181"/>
        <v>0</v>
      </c>
      <c r="BB14" s="242">
        <f t="shared" ca="1" si="181"/>
        <v>0</v>
      </c>
      <c r="BC14" s="242">
        <f t="shared" ca="1" si="181"/>
        <v>0</v>
      </c>
      <c r="BD14" s="242">
        <f t="shared" ca="1" si="181"/>
        <v>0</v>
      </c>
      <c r="BE14" s="242">
        <f t="shared" ca="1" si="181"/>
        <v>0</v>
      </c>
      <c r="BF14" s="242">
        <f t="shared" ca="1" si="181"/>
        <v>0</v>
      </c>
      <c r="BG14" s="242">
        <f t="shared" ca="1" si="181"/>
        <v>0</v>
      </c>
      <c r="BH14" s="242">
        <f t="shared" ca="1" si="181"/>
        <v>0</v>
      </c>
      <c r="BI14" s="242">
        <f t="shared" ca="1" si="181"/>
        <v>0</v>
      </c>
      <c r="BJ14" s="242">
        <f t="shared" ca="1" si="181"/>
        <v>0</v>
      </c>
      <c r="BK14" s="242">
        <f t="shared" ca="1" si="181"/>
        <v>0</v>
      </c>
      <c r="BL14" s="242">
        <f t="shared" ca="1" si="181"/>
        <v>0</v>
      </c>
      <c r="BM14" s="242">
        <f t="shared" ca="1" si="181"/>
        <v>0</v>
      </c>
      <c r="BN14" s="242">
        <f t="shared" ca="1" si="181"/>
        <v>0</v>
      </c>
      <c r="BO14" s="242">
        <f t="shared" ca="1" si="181"/>
        <v>0</v>
      </c>
      <c r="BP14" s="242">
        <f t="shared" ca="1" si="181"/>
        <v>0</v>
      </c>
      <c r="BQ14" s="242">
        <f t="shared" ca="1" si="181"/>
        <v>0</v>
      </c>
      <c r="BR14" s="242">
        <f t="shared" ca="1" si="181"/>
        <v>0</v>
      </c>
      <c r="BS14" s="242">
        <f t="shared" ref="BS14:BZ14" ca="1" si="182">IF(BS63+BS73&lt;0,BS63+BS73,0)</f>
        <v>0</v>
      </c>
      <c r="BT14" s="242">
        <f t="shared" ca="1" si="182"/>
        <v>0</v>
      </c>
      <c r="BU14" s="242">
        <f t="shared" ca="1" si="182"/>
        <v>0</v>
      </c>
      <c r="BV14" s="242">
        <f t="shared" ca="1" si="182"/>
        <v>0</v>
      </c>
      <c r="BW14" s="242">
        <f t="shared" ca="1" si="182"/>
        <v>0</v>
      </c>
      <c r="BX14" s="242">
        <f t="shared" ca="1" si="182"/>
        <v>0</v>
      </c>
      <c r="BY14" s="242">
        <f t="shared" ca="1" si="182"/>
        <v>0</v>
      </c>
      <c r="BZ14" s="242">
        <f t="shared" ca="1" si="182"/>
        <v>0</v>
      </c>
      <c r="CA14" s="242">
        <f t="shared" ref="CA14:EL14" ca="1" si="183">IF(CA63+CA73&lt;0,CA63+CA73,0)</f>
        <v>0</v>
      </c>
      <c r="CB14" s="242">
        <f t="shared" ca="1" si="183"/>
        <v>0</v>
      </c>
      <c r="CC14" s="242">
        <f t="shared" ca="1" si="183"/>
        <v>0</v>
      </c>
      <c r="CD14" s="242">
        <f t="shared" ca="1" si="183"/>
        <v>0</v>
      </c>
      <c r="CE14" s="242">
        <f t="shared" ca="1" si="183"/>
        <v>0</v>
      </c>
      <c r="CF14" s="242">
        <f t="shared" ca="1" si="183"/>
        <v>0</v>
      </c>
      <c r="CG14" s="242">
        <f t="shared" ca="1" si="183"/>
        <v>0</v>
      </c>
      <c r="CH14" s="242">
        <f t="shared" ca="1" si="183"/>
        <v>0</v>
      </c>
      <c r="CI14" s="242">
        <f t="shared" ca="1" si="183"/>
        <v>0</v>
      </c>
      <c r="CJ14" s="242">
        <f t="shared" ca="1" si="183"/>
        <v>0</v>
      </c>
      <c r="CK14" s="242">
        <f t="shared" ca="1" si="183"/>
        <v>0</v>
      </c>
      <c r="CL14" s="242">
        <f t="shared" ca="1" si="183"/>
        <v>0</v>
      </c>
      <c r="CM14" s="242">
        <f t="shared" ca="1" si="183"/>
        <v>0</v>
      </c>
      <c r="CN14" s="242">
        <f t="shared" ca="1" si="183"/>
        <v>0</v>
      </c>
      <c r="CO14" s="242">
        <f t="shared" ca="1" si="183"/>
        <v>0</v>
      </c>
      <c r="CP14" s="242">
        <f t="shared" ca="1" si="183"/>
        <v>0</v>
      </c>
      <c r="CQ14" s="242">
        <f t="shared" ca="1" si="183"/>
        <v>0</v>
      </c>
      <c r="CR14" s="242">
        <f t="shared" ca="1" si="183"/>
        <v>0</v>
      </c>
      <c r="CS14" s="242">
        <f t="shared" ca="1" si="183"/>
        <v>0</v>
      </c>
      <c r="CT14" s="242">
        <f t="shared" ca="1" si="183"/>
        <v>0</v>
      </c>
      <c r="CU14" s="242">
        <f t="shared" ca="1" si="183"/>
        <v>0</v>
      </c>
      <c r="CV14" s="242">
        <f t="shared" ca="1" si="183"/>
        <v>0</v>
      </c>
      <c r="CW14" s="242">
        <f t="shared" ca="1" si="183"/>
        <v>0</v>
      </c>
      <c r="CX14" s="242">
        <f t="shared" ca="1" si="183"/>
        <v>0</v>
      </c>
      <c r="CY14" s="242">
        <f t="shared" ca="1" si="183"/>
        <v>0</v>
      </c>
      <c r="CZ14" s="242">
        <f t="shared" ca="1" si="183"/>
        <v>0</v>
      </c>
      <c r="DA14" s="242">
        <f t="shared" ca="1" si="183"/>
        <v>0</v>
      </c>
      <c r="DB14" s="242">
        <f t="shared" ca="1" si="183"/>
        <v>0</v>
      </c>
      <c r="DC14" s="242">
        <f t="shared" ca="1" si="183"/>
        <v>0</v>
      </c>
      <c r="DD14" s="242">
        <f t="shared" ca="1" si="183"/>
        <v>0</v>
      </c>
      <c r="DE14" s="242">
        <f t="shared" ca="1" si="183"/>
        <v>0</v>
      </c>
      <c r="DF14" s="242">
        <f t="shared" ca="1" si="183"/>
        <v>0</v>
      </c>
      <c r="DG14" s="242">
        <f t="shared" ca="1" si="183"/>
        <v>0</v>
      </c>
      <c r="DH14" s="242">
        <f t="shared" ca="1" si="183"/>
        <v>0</v>
      </c>
      <c r="DI14" s="242">
        <f t="shared" ca="1" si="183"/>
        <v>0</v>
      </c>
      <c r="DJ14" s="242">
        <f t="shared" ca="1" si="183"/>
        <v>0</v>
      </c>
      <c r="DK14" s="242">
        <f t="shared" ca="1" si="183"/>
        <v>0</v>
      </c>
      <c r="DL14" s="242">
        <f t="shared" ca="1" si="183"/>
        <v>0</v>
      </c>
      <c r="DM14" s="242">
        <f t="shared" ca="1" si="183"/>
        <v>0</v>
      </c>
      <c r="DN14" s="242">
        <f t="shared" ca="1" si="183"/>
        <v>0</v>
      </c>
      <c r="DO14" s="242">
        <f t="shared" ca="1" si="183"/>
        <v>0</v>
      </c>
      <c r="DP14" s="242">
        <f t="shared" ca="1" si="183"/>
        <v>0</v>
      </c>
      <c r="DQ14" s="242">
        <f t="shared" ca="1" si="183"/>
        <v>0</v>
      </c>
      <c r="DR14" s="242">
        <f t="shared" ca="1" si="183"/>
        <v>0</v>
      </c>
      <c r="DS14" s="242">
        <f t="shared" ca="1" si="183"/>
        <v>0</v>
      </c>
      <c r="DT14" s="242">
        <f t="shared" ca="1" si="183"/>
        <v>0</v>
      </c>
      <c r="DU14" s="242">
        <f t="shared" ca="1" si="183"/>
        <v>0</v>
      </c>
      <c r="DV14" s="242">
        <f t="shared" ca="1" si="183"/>
        <v>0</v>
      </c>
      <c r="DW14" s="242">
        <f t="shared" ca="1" si="183"/>
        <v>0</v>
      </c>
      <c r="DX14" s="242">
        <f t="shared" ca="1" si="183"/>
        <v>0</v>
      </c>
      <c r="DY14" s="242">
        <f t="shared" ca="1" si="183"/>
        <v>0</v>
      </c>
      <c r="DZ14" s="242">
        <f t="shared" ca="1" si="183"/>
        <v>0</v>
      </c>
      <c r="EA14" s="242">
        <f t="shared" ca="1" si="183"/>
        <v>0</v>
      </c>
      <c r="EB14" s="242">
        <f t="shared" ca="1" si="183"/>
        <v>0</v>
      </c>
      <c r="EC14" s="242">
        <f t="shared" ca="1" si="183"/>
        <v>0</v>
      </c>
      <c r="ED14" s="242">
        <f t="shared" ca="1" si="183"/>
        <v>0</v>
      </c>
      <c r="EE14" s="242">
        <f t="shared" ca="1" si="183"/>
        <v>0</v>
      </c>
      <c r="EF14" s="242">
        <f t="shared" ca="1" si="183"/>
        <v>0</v>
      </c>
      <c r="EG14" s="242">
        <f t="shared" ca="1" si="183"/>
        <v>0</v>
      </c>
      <c r="EH14" s="242">
        <f t="shared" ca="1" si="183"/>
        <v>0</v>
      </c>
      <c r="EI14" s="242">
        <f t="shared" ca="1" si="183"/>
        <v>0</v>
      </c>
      <c r="EJ14" s="242">
        <f t="shared" ca="1" si="183"/>
        <v>0</v>
      </c>
      <c r="EK14" s="242">
        <f t="shared" ca="1" si="183"/>
        <v>0</v>
      </c>
      <c r="EL14" s="242">
        <f t="shared" ca="1" si="183"/>
        <v>0</v>
      </c>
      <c r="EM14" s="242">
        <f t="shared" ref="EM14:ET14" ca="1" si="184">IF(EM63+EM73&lt;0,EM63+EM73,0)</f>
        <v>0</v>
      </c>
      <c r="EN14" s="242">
        <f t="shared" ca="1" si="184"/>
        <v>0</v>
      </c>
      <c r="EO14" s="242">
        <f t="shared" ca="1" si="184"/>
        <v>0</v>
      </c>
      <c r="EP14" s="242">
        <f t="shared" ca="1" si="184"/>
        <v>0</v>
      </c>
      <c r="EQ14" s="242">
        <f t="shared" ca="1" si="184"/>
        <v>0</v>
      </c>
      <c r="ER14" s="242">
        <f t="shared" ca="1" si="184"/>
        <v>0</v>
      </c>
      <c r="ES14" s="242">
        <f t="shared" ca="1" si="184"/>
        <v>0</v>
      </c>
      <c r="ET14" s="242">
        <f t="shared" ca="1" si="184"/>
        <v>0</v>
      </c>
    </row>
    <row r="15" spans="2:150" x14ac:dyDescent="0.2">
      <c r="B15" t="s">
        <v>290</v>
      </c>
      <c r="D15" s="242">
        <f t="shared" ca="1" si="180"/>
        <v>0</v>
      </c>
      <c r="F15" s="242">
        <f>-F141</f>
        <v>0</v>
      </c>
      <c r="G15" s="242">
        <f t="shared" ref="G15:BR15" si="185">-G141</f>
        <v>0</v>
      </c>
      <c r="H15" s="242">
        <f t="shared" si="185"/>
        <v>0</v>
      </c>
      <c r="I15" s="242">
        <f t="shared" si="185"/>
        <v>0</v>
      </c>
      <c r="J15" s="242">
        <f t="shared" si="185"/>
        <v>0</v>
      </c>
      <c r="K15" s="242">
        <f t="shared" si="185"/>
        <v>0</v>
      </c>
      <c r="L15" s="242">
        <f t="shared" si="185"/>
        <v>0</v>
      </c>
      <c r="M15" s="242">
        <f t="shared" si="185"/>
        <v>0</v>
      </c>
      <c r="N15" s="242">
        <f t="shared" si="185"/>
        <v>0</v>
      </c>
      <c r="O15" s="242">
        <f t="shared" si="185"/>
        <v>0</v>
      </c>
      <c r="P15" s="242">
        <f t="shared" si="185"/>
        <v>0</v>
      </c>
      <c r="Q15" s="242">
        <f t="shared" si="185"/>
        <v>0</v>
      </c>
      <c r="R15" s="242">
        <f t="shared" si="185"/>
        <v>0</v>
      </c>
      <c r="S15" s="242">
        <f t="shared" si="185"/>
        <v>0</v>
      </c>
      <c r="T15" s="242">
        <f t="shared" si="185"/>
        <v>0</v>
      </c>
      <c r="U15" s="242">
        <f t="shared" si="185"/>
        <v>0</v>
      </c>
      <c r="V15" s="242">
        <f t="shared" si="185"/>
        <v>0</v>
      </c>
      <c r="W15" s="242">
        <f t="shared" si="185"/>
        <v>0</v>
      </c>
      <c r="X15" s="242">
        <f t="shared" si="185"/>
        <v>0</v>
      </c>
      <c r="Y15" s="242">
        <f t="shared" si="185"/>
        <v>0</v>
      </c>
      <c r="Z15" s="242">
        <f t="shared" si="185"/>
        <v>0</v>
      </c>
      <c r="AA15" s="242">
        <f t="shared" si="185"/>
        <v>0</v>
      </c>
      <c r="AB15" s="242">
        <f t="shared" si="185"/>
        <v>0</v>
      </c>
      <c r="AC15" s="242">
        <f t="shared" si="185"/>
        <v>0</v>
      </c>
      <c r="AD15" s="242">
        <f t="shared" si="185"/>
        <v>0</v>
      </c>
      <c r="AE15" s="242">
        <f t="shared" si="185"/>
        <v>0</v>
      </c>
      <c r="AF15" s="242">
        <f t="shared" si="185"/>
        <v>0</v>
      </c>
      <c r="AG15" s="242">
        <f t="shared" si="185"/>
        <v>0</v>
      </c>
      <c r="AH15" s="242">
        <f t="shared" si="185"/>
        <v>0</v>
      </c>
      <c r="AI15" s="242">
        <f t="shared" si="185"/>
        <v>0</v>
      </c>
      <c r="AJ15" s="242">
        <f t="shared" si="185"/>
        <v>0</v>
      </c>
      <c r="AK15" s="242">
        <f t="shared" si="185"/>
        <v>0</v>
      </c>
      <c r="AL15" s="242">
        <f t="shared" si="185"/>
        <v>0</v>
      </c>
      <c r="AM15" s="242">
        <f t="shared" si="185"/>
        <v>0</v>
      </c>
      <c r="AN15" s="242">
        <f t="shared" si="185"/>
        <v>0</v>
      </c>
      <c r="AO15" s="242">
        <f t="shared" ca="1" si="185"/>
        <v>0</v>
      </c>
      <c r="AP15" s="242">
        <f t="shared" ca="1" si="185"/>
        <v>0</v>
      </c>
      <c r="AQ15" s="242">
        <f t="shared" ca="1" si="185"/>
        <v>0</v>
      </c>
      <c r="AR15" s="242">
        <f t="shared" ca="1" si="185"/>
        <v>0</v>
      </c>
      <c r="AS15" s="242">
        <f t="shared" ca="1" si="185"/>
        <v>0</v>
      </c>
      <c r="AT15" s="242">
        <f t="shared" ca="1" si="185"/>
        <v>0</v>
      </c>
      <c r="AU15" s="242">
        <f t="shared" ca="1" si="185"/>
        <v>0</v>
      </c>
      <c r="AV15" s="242">
        <f t="shared" ca="1" si="185"/>
        <v>0</v>
      </c>
      <c r="AW15" s="242">
        <f t="shared" ca="1" si="185"/>
        <v>0</v>
      </c>
      <c r="AX15" s="242">
        <f t="shared" ca="1" si="185"/>
        <v>0</v>
      </c>
      <c r="AY15" s="242">
        <f t="shared" ca="1" si="185"/>
        <v>0</v>
      </c>
      <c r="AZ15" s="242">
        <f t="shared" ca="1" si="185"/>
        <v>0</v>
      </c>
      <c r="BA15" s="242">
        <f t="shared" ca="1" si="185"/>
        <v>0</v>
      </c>
      <c r="BB15" s="242">
        <f t="shared" ca="1" si="185"/>
        <v>0</v>
      </c>
      <c r="BC15" s="242">
        <f t="shared" ca="1" si="185"/>
        <v>0</v>
      </c>
      <c r="BD15" s="242">
        <f t="shared" ca="1" si="185"/>
        <v>0</v>
      </c>
      <c r="BE15" s="242">
        <f t="shared" ca="1" si="185"/>
        <v>0</v>
      </c>
      <c r="BF15" s="242">
        <f t="shared" ca="1" si="185"/>
        <v>0</v>
      </c>
      <c r="BG15" s="242">
        <f t="shared" ca="1" si="185"/>
        <v>0</v>
      </c>
      <c r="BH15" s="242">
        <f t="shared" ca="1" si="185"/>
        <v>0</v>
      </c>
      <c r="BI15" s="242">
        <f t="shared" ca="1" si="185"/>
        <v>0</v>
      </c>
      <c r="BJ15" s="242">
        <f t="shared" ca="1" si="185"/>
        <v>0</v>
      </c>
      <c r="BK15" s="242">
        <f t="shared" ca="1" si="185"/>
        <v>0</v>
      </c>
      <c r="BL15" s="242">
        <f t="shared" ca="1" si="185"/>
        <v>0</v>
      </c>
      <c r="BM15" s="242">
        <f t="shared" ca="1" si="185"/>
        <v>0</v>
      </c>
      <c r="BN15" s="242">
        <f t="shared" ca="1" si="185"/>
        <v>0</v>
      </c>
      <c r="BO15" s="242">
        <f t="shared" ca="1" si="185"/>
        <v>0</v>
      </c>
      <c r="BP15" s="242">
        <f t="shared" ca="1" si="185"/>
        <v>0</v>
      </c>
      <c r="BQ15" s="242">
        <f t="shared" ca="1" si="185"/>
        <v>0</v>
      </c>
      <c r="BR15" s="242">
        <f t="shared" ca="1" si="185"/>
        <v>0</v>
      </c>
      <c r="BS15" s="242">
        <f t="shared" ref="BS15:BZ15" ca="1" si="186">-BS141</f>
        <v>0</v>
      </c>
      <c r="BT15" s="242">
        <f t="shared" ca="1" si="186"/>
        <v>0</v>
      </c>
      <c r="BU15" s="242">
        <f t="shared" ca="1" si="186"/>
        <v>0</v>
      </c>
      <c r="BV15" s="242">
        <f t="shared" ca="1" si="186"/>
        <v>0</v>
      </c>
      <c r="BW15" s="242">
        <f t="shared" ca="1" si="186"/>
        <v>0</v>
      </c>
      <c r="BX15" s="242">
        <f t="shared" ca="1" si="186"/>
        <v>0</v>
      </c>
      <c r="BY15" s="242">
        <f t="shared" ca="1" si="186"/>
        <v>0</v>
      </c>
      <c r="BZ15" s="242">
        <f t="shared" ca="1" si="186"/>
        <v>0</v>
      </c>
      <c r="CA15" s="242">
        <f t="shared" ref="CA15:EL15" ca="1" si="187">-CA141</f>
        <v>0</v>
      </c>
      <c r="CB15" s="242">
        <f t="shared" ca="1" si="187"/>
        <v>0</v>
      </c>
      <c r="CC15" s="242">
        <f t="shared" ca="1" si="187"/>
        <v>0</v>
      </c>
      <c r="CD15" s="242">
        <f t="shared" ca="1" si="187"/>
        <v>0</v>
      </c>
      <c r="CE15" s="242">
        <f t="shared" ca="1" si="187"/>
        <v>0</v>
      </c>
      <c r="CF15" s="242">
        <f t="shared" ca="1" si="187"/>
        <v>0</v>
      </c>
      <c r="CG15" s="242">
        <f t="shared" ca="1" si="187"/>
        <v>0</v>
      </c>
      <c r="CH15" s="242">
        <f t="shared" ca="1" si="187"/>
        <v>0</v>
      </c>
      <c r="CI15" s="242">
        <f t="shared" ca="1" si="187"/>
        <v>0</v>
      </c>
      <c r="CJ15" s="242">
        <f t="shared" ca="1" si="187"/>
        <v>0</v>
      </c>
      <c r="CK15" s="242">
        <f t="shared" ca="1" si="187"/>
        <v>0</v>
      </c>
      <c r="CL15" s="242">
        <f t="shared" ca="1" si="187"/>
        <v>0</v>
      </c>
      <c r="CM15" s="242">
        <f t="shared" ca="1" si="187"/>
        <v>0</v>
      </c>
      <c r="CN15" s="242">
        <f t="shared" ca="1" si="187"/>
        <v>0</v>
      </c>
      <c r="CO15" s="242">
        <f t="shared" ca="1" si="187"/>
        <v>0</v>
      </c>
      <c r="CP15" s="242">
        <f t="shared" ca="1" si="187"/>
        <v>0</v>
      </c>
      <c r="CQ15" s="242">
        <f t="shared" ca="1" si="187"/>
        <v>0</v>
      </c>
      <c r="CR15" s="242">
        <f t="shared" ca="1" si="187"/>
        <v>0</v>
      </c>
      <c r="CS15" s="242">
        <f t="shared" ca="1" si="187"/>
        <v>0</v>
      </c>
      <c r="CT15" s="242">
        <f t="shared" ca="1" si="187"/>
        <v>0</v>
      </c>
      <c r="CU15" s="242">
        <f t="shared" ca="1" si="187"/>
        <v>0</v>
      </c>
      <c r="CV15" s="242">
        <f t="shared" ca="1" si="187"/>
        <v>0</v>
      </c>
      <c r="CW15" s="242">
        <f t="shared" ca="1" si="187"/>
        <v>0</v>
      </c>
      <c r="CX15" s="242">
        <f t="shared" ca="1" si="187"/>
        <v>0</v>
      </c>
      <c r="CY15" s="242">
        <f t="shared" ca="1" si="187"/>
        <v>0</v>
      </c>
      <c r="CZ15" s="242">
        <f t="shared" ca="1" si="187"/>
        <v>0</v>
      </c>
      <c r="DA15" s="242">
        <f t="shared" ca="1" si="187"/>
        <v>0</v>
      </c>
      <c r="DB15" s="242">
        <f t="shared" ca="1" si="187"/>
        <v>0</v>
      </c>
      <c r="DC15" s="242">
        <f t="shared" ca="1" si="187"/>
        <v>0</v>
      </c>
      <c r="DD15" s="242">
        <f t="shared" ca="1" si="187"/>
        <v>0</v>
      </c>
      <c r="DE15" s="242">
        <f t="shared" ca="1" si="187"/>
        <v>0</v>
      </c>
      <c r="DF15" s="242">
        <f t="shared" ca="1" si="187"/>
        <v>0</v>
      </c>
      <c r="DG15" s="242">
        <f t="shared" ca="1" si="187"/>
        <v>0</v>
      </c>
      <c r="DH15" s="242">
        <f t="shared" ca="1" si="187"/>
        <v>0</v>
      </c>
      <c r="DI15" s="242">
        <f t="shared" ca="1" si="187"/>
        <v>0</v>
      </c>
      <c r="DJ15" s="242">
        <f t="shared" ca="1" si="187"/>
        <v>0</v>
      </c>
      <c r="DK15" s="242">
        <f t="shared" ca="1" si="187"/>
        <v>0</v>
      </c>
      <c r="DL15" s="242">
        <f t="shared" ca="1" si="187"/>
        <v>0</v>
      </c>
      <c r="DM15" s="242">
        <f t="shared" ca="1" si="187"/>
        <v>0</v>
      </c>
      <c r="DN15" s="242">
        <f t="shared" ca="1" si="187"/>
        <v>0</v>
      </c>
      <c r="DO15" s="242">
        <f t="shared" ca="1" si="187"/>
        <v>0</v>
      </c>
      <c r="DP15" s="242">
        <f t="shared" ca="1" si="187"/>
        <v>0</v>
      </c>
      <c r="DQ15" s="242">
        <f t="shared" ca="1" si="187"/>
        <v>0</v>
      </c>
      <c r="DR15" s="242">
        <f t="shared" ca="1" si="187"/>
        <v>0</v>
      </c>
      <c r="DS15" s="242">
        <f t="shared" ca="1" si="187"/>
        <v>0</v>
      </c>
      <c r="DT15" s="242">
        <f t="shared" ca="1" si="187"/>
        <v>0</v>
      </c>
      <c r="DU15" s="242">
        <f t="shared" ca="1" si="187"/>
        <v>0</v>
      </c>
      <c r="DV15" s="242">
        <f t="shared" ca="1" si="187"/>
        <v>0</v>
      </c>
      <c r="DW15" s="242">
        <f t="shared" ca="1" si="187"/>
        <v>0</v>
      </c>
      <c r="DX15" s="242">
        <f t="shared" ca="1" si="187"/>
        <v>0</v>
      </c>
      <c r="DY15" s="242">
        <f t="shared" ca="1" si="187"/>
        <v>0</v>
      </c>
      <c r="DZ15" s="242">
        <f t="shared" ca="1" si="187"/>
        <v>0</v>
      </c>
      <c r="EA15" s="242">
        <f t="shared" ca="1" si="187"/>
        <v>0</v>
      </c>
      <c r="EB15" s="242">
        <f t="shared" ca="1" si="187"/>
        <v>0</v>
      </c>
      <c r="EC15" s="242">
        <f t="shared" ca="1" si="187"/>
        <v>0</v>
      </c>
      <c r="ED15" s="242">
        <f t="shared" ca="1" si="187"/>
        <v>0</v>
      </c>
      <c r="EE15" s="242">
        <f t="shared" ca="1" si="187"/>
        <v>0</v>
      </c>
      <c r="EF15" s="242">
        <f t="shared" ca="1" si="187"/>
        <v>0</v>
      </c>
      <c r="EG15" s="242">
        <f t="shared" ca="1" si="187"/>
        <v>0</v>
      </c>
      <c r="EH15" s="242">
        <f t="shared" ca="1" si="187"/>
        <v>0</v>
      </c>
      <c r="EI15" s="242">
        <f t="shared" ca="1" si="187"/>
        <v>0</v>
      </c>
      <c r="EJ15" s="242">
        <f t="shared" ca="1" si="187"/>
        <v>0</v>
      </c>
      <c r="EK15" s="242">
        <f t="shared" ca="1" si="187"/>
        <v>0</v>
      </c>
      <c r="EL15" s="242">
        <f t="shared" ca="1" si="187"/>
        <v>0</v>
      </c>
      <c r="EM15" s="242">
        <f t="shared" ref="EM15:ET15" ca="1" si="188">-EM141</f>
        <v>0</v>
      </c>
      <c r="EN15" s="242">
        <f t="shared" ca="1" si="188"/>
        <v>0</v>
      </c>
      <c r="EO15" s="242">
        <f t="shared" ca="1" si="188"/>
        <v>0</v>
      </c>
      <c r="EP15" s="242">
        <f t="shared" ca="1" si="188"/>
        <v>0</v>
      </c>
      <c r="EQ15" s="242">
        <f t="shared" ca="1" si="188"/>
        <v>0</v>
      </c>
      <c r="ER15" s="242">
        <f t="shared" ca="1" si="188"/>
        <v>0</v>
      </c>
      <c r="ES15" s="242">
        <f t="shared" ca="1" si="188"/>
        <v>0</v>
      </c>
      <c r="ET15" s="242">
        <f t="shared" ca="1" si="188"/>
        <v>0</v>
      </c>
    </row>
    <row r="16" spans="2:150" x14ac:dyDescent="0.2">
      <c r="B16" t="s">
        <v>134</v>
      </c>
      <c r="D16" s="242">
        <f t="shared" ca="1" si="180"/>
        <v>-2131440.8350105681</v>
      </c>
      <c r="F16" s="242">
        <f>-(F115+F125+F133)</f>
        <v>0</v>
      </c>
      <c r="G16" s="242">
        <f t="shared" ref="G16:BR16" ca="1" si="189">-(G115+G125+G133)</f>
        <v>-8750</v>
      </c>
      <c r="H16" s="242">
        <f t="shared" ca="1" si="189"/>
        <v>-8750</v>
      </c>
      <c r="I16" s="242">
        <f t="shared" ca="1" si="189"/>
        <v>-8750</v>
      </c>
      <c r="J16" s="242">
        <f t="shared" ca="1" si="189"/>
        <v>-8750</v>
      </c>
      <c r="K16" s="242">
        <f t="shared" ca="1" si="189"/>
        <v>-8750</v>
      </c>
      <c r="L16" s="242">
        <f t="shared" ca="1" si="189"/>
        <v>-8750</v>
      </c>
      <c r="M16" s="242">
        <f t="shared" ca="1" si="189"/>
        <v>-8750</v>
      </c>
      <c r="N16" s="242">
        <f t="shared" ca="1" si="189"/>
        <v>-8750</v>
      </c>
      <c r="O16" s="242">
        <f t="shared" ca="1" si="189"/>
        <v>-8750</v>
      </c>
      <c r="P16" s="242">
        <f t="shared" ca="1" si="189"/>
        <v>-8750</v>
      </c>
      <c r="Q16" s="242">
        <f t="shared" ca="1" si="189"/>
        <v>-8750</v>
      </c>
      <c r="R16" s="242">
        <f t="shared" ca="1" si="189"/>
        <v>-8750</v>
      </c>
      <c r="S16" s="242">
        <f t="shared" ca="1" si="189"/>
        <v>-8750</v>
      </c>
      <c r="T16" s="242">
        <f t="shared" ca="1" si="189"/>
        <v>-8750</v>
      </c>
      <c r="U16" s="242">
        <f t="shared" ca="1" si="189"/>
        <v>-8750</v>
      </c>
      <c r="V16" s="242">
        <f t="shared" ca="1" si="189"/>
        <v>-8750</v>
      </c>
      <c r="W16" s="242">
        <f t="shared" ca="1" si="189"/>
        <v>-8750</v>
      </c>
      <c r="X16" s="242">
        <f t="shared" ca="1" si="189"/>
        <v>-8750</v>
      </c>
      <c r="Y16" s="242">
        <f t="shared" ca="1" si="189"/>
        <v>-16933.412588271996</v>
      </c>
      <c r="Z16" s="242">
        <f t="shared" ca="1" si="189"/>
        <v>-23916.126790656897</v>
      </c>
      <c r="AA16" s="242">
        <f t="shared" ca="1" si="189"/>
        <v>-33129.982956807209</v>
      </c>
      <c r="AB16" s="242">
        <f t="shared" ca="1" si="189"/>
        <v>-40213.925723996523</v>
      </c>
      <c r="AC16" s="242">
        <f t="shared" ca="1" si="189"/>
        <v>-47342.143133481324</v>
      </c>
      <c r="AD16" s="242">
        <f t="shared" ca="1" si="189"/>
        <v>-54514.911901775973</v>
      </c>
      <c r="AE16" s="242">
        <f t="shared" ca="1" si="189"/>
        <v>-61732.510474872972</v>
      </c>
      <c r="AF16" s="242">
        <f t="shared" ca="1" si="189"/>
        <v>-68995.21903905239</v>
      </c>
      <c r="AG16" s="242">
        <f t="shared" ca="1" si="189"/>
        <v>-76303.319531758476</v>
      </c>
      <c r="AH16" s="242">
        <f t="shared" ca="1" si="189"/>
        <v>-83657.095652544522</v>
      </c>
      <c r="AI16" s="242">
        <f t="shared" ca="1" si="189"/>
        <v>-91056.832874085987</v>
      </c>
      <c r="AJ16" s="242">
        <f t="shared" ca="1" si="189"/>
        <v>-98502.818453262662</v>
      </c>
      <c r="AK16" s="242">
        <f t="shared" ca="1" si="189"/>
        <v>-105995.34144230957</v>
      </c>
      <c r="AL16" s="242">
        <f t="shared" ca="1" si="189"/>
        <v>-113534.69270003859</v>
      </c>
      <c r="AM16" s="242">
        <f t="shared" ca="1" si="189"/>
        <v>-121121.16490312877</v>
      </c>
      <c r="AN16" s="242">
        <f t="shared" ca="1" si="189"/>
        <v>-128755.05255748869</v>
      </c>
      <c r="AO16" s="242">
        <f t="shared" ca="1" si="189"/>
        <v>-135386.98808968262</v>
      </c>
      <c r="AP16" s="242">
        <f t="shared" ca="1" si="189"/>
        <v>-118297.9124369834</v>
      </c>
      <c r="AQ16" s="242">
        <f t="shared" ca="1" si="189"/>
        <v>-93484.806958564237</v>
      </c>
      <c r="AR16" s="242">
        <f t="shared" ca="1" si="189"/>
        <v>-75965.379570905105</v>
      </c>
      <c r="AS16" s="242">
        <f t="shared" ca="1" si="189"/>
        <v>-59500.101762073245</v>
      </c>
      <c r="AT16" s="242">
        <f t="shared" ca="1" si="189"/>
        <v>-43513.738966936216</v>
      </c>
      <c r="AU16" s="242">
        <f t="shared" ca="1" si="189"/>
        <v>-27427.461404329515</v>
      </c>
      <c r="AV16" s="242">
        <f t="shared" ca="1" si="189"/>
        <v>-13471.313483933714</v>
      </c>
      <c r="AW16" s="242">
        <f t="shared" ca="1" si="189"/>
        <v>-13555.509193224425</v>
      </c>
      <c r="AX16" s="242">
        <f t="shared" ca="1" si="189"/>
        <v>-13640.231125697872</v>
      </c>
      <c r="AY16" s="242">
        <f t="shared" ca="1" si="189"/>
        <v>-13725.482570248685</v>
      </c>
      <c r="AZ16" s="242">
        <f t="shared" ca="1" si="189"/>
        <v>-13811.266836327297</v>
      </c>
      <c r="BA16" s="242">
        <f t="shared" ca="1" si="189"/>
        <v>-13836.21302906808</v>
      </c>
      <c r="BB16" s="242">
        <f t="shared" ca="1" si="189"/>
        <v>-9110.3087460042443</v>
      </c>
      <c r="BC16" s="242">
        <f t="shared" ca="1" si="189"/>
        <v>-9167.2481756783382</v>
      </c>
      <c r="BD16" s="242">
        <f t="shared" ca="1" si="189"/>
        <v>-9224.5434767864353</v>
      </c>
      <c r="BE16" s="242">
        <f t="shared" ca="1" si="189"/>
        <v>-9282.1968735249538</v>
      </c>
      <c r="BF16" s="242">
        <f t="shared" ca="1" si="189"/>
        <v>-9340.2106039912906</v>
      </c>
      <c r="BG16" s="242">
        <f t="shared" ca="1" si="189"/>
        <v>-9398.5869202709291</v>
      </c>
      <c r="BH16" s="242">
        <f t="shared" ca="1" si="189"/>
        <v>-9457.3280885250133</v>
      </c>
      <c r="BI16" s="242">
        <f t="shared" ca="1" si="189"/>
        <v>-9516.4363890781824</v>
      </c>
      <c r="BJ16" s="242">
        <f t="shared" ca="1" si="189"/>
        <v>-9575.9141165069595</v>
      </c>
      <c r="BK16" s="242">
        <f t="shared" ca="1" si="189"/>
        <v>-9635.7635797290422</v>
      </c>
      <c r="BL16" s="242">
        <f t="shared" ca="1" si="189"/>
        <v>-9695.9871020927385</v>
      </c>
      <c r="BM16" s="242">
        <f t="shared" ca="1" si="189"/>
        <v>-9693.3715697174193</v>
      </c>
      <c r="BN16" s="242">
        <f t="shared" ca="1" si="189"/>
        <v>-4797.20310906737</v>
      </c>
      <c r="BO16" s="242">
        <f t="shared" ca="1" si="189"/>
        <v>-4827.1856284769601</v>
      </c>
      <c r="BP16" s="242">
        <f t="shared" ca="1" si="189"/>
        <v>-4857.3555386280641</v>
      </c>
      <c r="BQ16" s="242">
        <f t="shared" ca="1" si="189"/>
        <v>-4887.7140107124287</v>
      </c>
      <c r="BR16" s="242">
        <f t="shared" ca="1" si="189"/>
        <v>-4918.262223241647</v>
      </c>
      <c r="BS16" s="242">
        <f t="shared" ref="BS16:BZ16" ca="1" si="190">-(BS115+BS125+BS133)</f>
        <v>-4949.0013620930258</v>
      </c>
      <c r="BT16" s="242">
        <f t="shared" ca="1" si="190"/>
        <v>-4979.9326205557445</v>
      </c>
      <c r="BU16" s="242">
        <f t="shared" ca="1" si="190"/>
        <v>-5011.0571993770427</v>
      </c>
      <c r="BV16" s="242">
        <f t="shared" ca="1" si="190"/>
        <v>-5042.3763068084372</v>
      </c>
      <c r="BW16" s="242">
        <f t="shared" ca="1" si="190"/>
        <v>-5073.8911586534523</v>
      </c>
      <c r="BX16" s="242">
        <f t="shared" ca="1" si="190"/>
        <v>-5105.6029783142731</v>
      </c>
      <c r="BY16" s="242">
        <f t="shared" ca="1" si="190"/>
        <v>-5072.4010815365473</v>
      </c>
      <c r="BZ16" s="242">
        <f t="shared" ca="1" si="190"/>
        <v>0</v>
      </c>
      <c r="CA16" s="242">
        <f t="shared" ref="CA16:EL16" ca="1" si="191">-(CA115+CA125+CA133)</f>
        <v>0</v>
      </c>
      <c r="CB16" s="242">
        <f t="shared" ca="1" si="191"/>
        <v>0</v>
      </c>
      <c r="CC16" s="242">
        <f t="shared" ca="1" si="191"/>
        <v>0</v>
      </c>
      <c r="CD16" s="242">
        <f t="shared" ca="1" si="191"/>
        <v>0</v>
      </c>
      <c r="CE16" s="242">
        <f t="shared" ca="1" si="191"/>
        <v>0</v>
      </c>
      <c r="CF16" s="242">
        <f t="shared" ca="1" si="191"/>
        <v>0</v>
      </c>
      <c r="CG16" s="242">
        <f t="shared" ca="1" si="191"/>
        <v>0</v>
      </c>
      <c r="CH16" s="242">
        <f t="shared" ca="1" si="191"/>
        <v>0</v>
      </c>
      <c r="CI16" s="242">
        <f t="shared" ca="1" si="191"/>
        <v>0</v>
      </c>
      <c r="CJ16" s="242">
        <f t="shared" ca="1" si="191"/>
        <v>0</v>
      </c>
      <c r="CK16" s="242">
        <f t="shared" ca="1" si="191"/>
        <v>0</v>
      </c>
      <c r="CL16" s="242">
        <f t="shared" ca="1" si="191"/>
        <v>0</v>
      </c>
      <c r="CM16" s="242">
        <f t="shared" ca="1" si="191"/>
        <v>0</v>
      </c>
      <c r="CN16" s="242">
        <f t="shared" ca="1" si="191"/>
        <v>0</v>
      </c>
      <c r="CO16" s="242">
        <f t="shared" ca="1" si="191"/>
        <v>0</v>
      </c>
      <c r="CP16" s="242">
        <f t="shared" ca="1" si="191"/>
        <v>0</v>
      </c>
      <c r="CQ16" s="242">
        <f t="shared" ca="1" si="191"/>
        <v>0</v>
      </c>
      <c r="CR16" s="242">
        <f t="shared" ca="1" si="191"/>
        <v>0</v>
      </c>
      <c r="CS16" s="242">
        <f t="shared" ca="1" si="191"/>
        <v>0</v>
      </c>
      <c r="CT16" s="242">
        <f t="shared" ca="1" si="191"/>
        <v>0</v>
      </c>
      <c r="CU16" s="242">
        <f t="shared" ca="1" si="191"/>
        <v>0</v>
      </c>
      <c r="CV16" s="242">
        <f t="shared" ca="1" si="191"/>
        <v>0</v>
      </c>
      <c r="CW16" s="242">
        <f t="shared" ca="1" si="191"/>
        <v>0</v>
      </c>
      <c r="CX16" s="242">
        <f t="shared" ca="1" si="191"/>
        <v>0</v>
      </c>
      <c r="CY16" s="242">
        <f t="shared" ca="1" si="191"/>
        <v>0</v>
      </c>
      <c r="CZ16" s="242">
        <f t="shared" ca="1" si="191"/>
        <v>0</v>
      </c>
      <c r="DA16" s="242">
        <f t="shared" ca="1" si="191"/>
        <v>0</v>
      </c>
      <c r="DB16" s="242">
        <f t="shared" ca="1" si="191"/>
        <v>0</v>
      </c>
      <c r="DC16" s="242">
        <f t="shared" ca="1" si="191"/>
        <v>0</v>
      </c>
      <c r="DD16" s="242">
        <f t="shared" ca="1" si="191"/>
        <v>0</v>
      </c>
      <c r="DE16" s="242">
        <f t="shared" ca="1" si="191"/>
        <v>0</v>
      </c>
      <c r="DF16" s="242">
        <f t="shared" ca="1" si="191"/>
        <v>0</v>
      </c>
      <c r="DG16" s="242">
        <f t="shared" ca="1" si="191"/>
        <v>0</v>
      </c>
      <c r="DH16" s="242">
        <f t="shared" ca="1" si="191"/>
        <v>0</v>
      </c>
      <c r="DI16" s="242">
        <f t="shared" ca="1" si="191"/>
        <v>0</v>
      </c>
      <c r="DJ16" s="242">
        <f t="shared" ca="1" si="191"/>
        <v>0</v>
      </c>
      <c r="DK16" s="242">
        <f t="shared" ca="1" si="191"/>
        <v>0</v>
      </c>
      <c r="DL16" s="242">
        <f t="shared" ca="1" si="191"/>
        <v>0</v>
      </c>
      <c r="DM16" s="242">
        <f t="shared" ca="1" si="191"/>
        <v>0</v>
      </c>
      <c r="DN16" s="242">
        <f t="shared" ca="1" si="191"/>
        <v>0</v>
      </c>
      <c r="DO16" s="242">
        <f t="shared" ca="1" si="191"/>
        <v>0</v>
      </c>
      <c r="DP16" s="242">
        <f t="shared" ca="1" si="191"/>
        <v>0</v>
      </c>
      <c r="DQ16" s="242">
        <f t="shared" ca="1" si="191"/>
        <v>0</v>
      </c>
      <c r="DR16" s="242">
        <f t="shared" ca="1" si="191"/>
        <v>0</v>
      </c>
      <c r="DS16" s="242">
        <f t="shared" ca="1" si="191"/>
        <v>0</v>
      </c>
      <c r="DT16" s="242">
        <f t="shared" ca="1" si="191"/>
        <v>0</v>
      </c>
      <c r="DU16" s="242">
        <f t="shared" ca="1" si="191"/>
        <v>0</v>
      </c>
      <c r="DV16" s="242">
        <f t="shared" ca="1" si="191"/>
        <v>0</v>
      </c>
      <c r="DW16" s="242">
        <f t="shared" ca="1" si="191"/>
        <v>0</v>
      </c>
      <c r="DX16" s="242">
        <f t="shared" ca="1" si="191"/>
        <v>0</v>
      </c>
      <c r="DY16" s="242">
        <f t="shared" ca="1" si="191"/>
        <v>0</v>
      </c>
      <c r="DZ16" s="242">
        <f t="shared" ca="1" si="191"/>
        <v>0</v>
      </c>
      <c r="EA16" s="242">
        <f t="shared" ca="1" si="191"/>
        <v>0</v>
      </c>
      <c r="EB16" s="242">
        <f t="shared" ca="1" si="191"/>
        <v>0</v>
      </c>
      <c r="EC16" s="242">
        <f t="shared" ca="1" si="191"/>
        <v>0</v>
      </c>
      <c r="ED16" s="242">
        <f t="shared" ca="1" si="191"/>
        <v>0</v>
      </c>
      <c r="EE16" s="242">
        <f t="shared" ca="1" si="191"/>
        <v>0</v>
      </c>
      <c r="EF16" s="242">
        <f t="shared" ca="1" si="191"/>
        <v>0</v>
      </c>
      <c r="EG16" s="242">
        <f t="shared" ca="1" si="191"/>
        <v>0</v>
      </c>
      <c r="EH16" s="242">
        <f t="shared" ca="1" si="191"/>
        <v>0</v>
      </c>
      <c r="EI16" s="242">
        <f t="shared" ca="1" si="191"/>
        <v>0</v>
      </c>
      <c r="EJ16" s="242">
        <f t="shared" ca="1" si="191"/>
        <v>0</v>
      </c>
      <c r="EK16" s="242">
        <f t="shared" ca="1" si="191"/>
        <v>0</v>
      </c>
      <c r="EL16" s="242">
        <f t="shared" ca="1" si="191"/>
        <v>0</v>
      </c>
      <c r="EM16" s="242">
        <f t="shared" ref="EM16:ET16" ca="1" si="192">-(EM115+EM125+EM133)</f>
        <v>0</v>
      </c>
      <c r="EN16" s="242">
        <f t="shared" ca="1" si="192"/>
        <v>0</v>
      </c>
      <c r="EO16" s="242">
        <f t="shared" ca="1" si="192"/>
        <v>0</v>
      </c>
      <c r="EP16" s="242">
        <f t="shared" ca="1" si="192"/>
        <v>0</v>
      </c>
      <c r="EQ16" s="242">
        <f t="shared" ca="1" si="192"/>
        <v>0</v>
      </c>
      <c r="ER16" s="242">
        <f t="shared" ca="1" si="192"/>
        <v>0</v>
      </c>
      <c r="ES16" s="242">
        <f t="shared" ca="1" si="192"/>
        <v>0</v>
      </c>
      <c r="ET16" s="242">
        <f t="shared" ca="1" si="192"/>
        <v>0</v>
      </c>
    </row>
    <row r="17" spans="2:150" x14ac:dyDescent="0.2">
      <c r="B17" s="99" t="s">
        <v>135</v>
      </c>
      <c r="C17" s="99"/>
      <c r="D17" s="246">
        <f ca="1">SUM(F17:ET17)</f>
        <v>-30184134.141057178</v>
      </c>
      <c r="E17" s="99"/>
      <c r="F17" s="246">
        <f t="shared" ref="F17:AK17" ca="1" si="193">SUM(F9:F16)</f>
        <v>-3771575.8597919773</v>
      </c>
      <c r="G17" s="246">
        <f t="shared" ca="1" si="193"/>
        <v>-133075.85979197739</v>
      </c>
      <c r="H17" s="246">
        <f t="shared" ca="1" si="193"/>
        <v>-133075.85979197739</v>
      </c>
      <c r="I17" s="246">
        <f t="shared" ca="1" si="193"/>
        <v>-133075.85979197739</v>
      </c>
      <c r="J17" s="246">
        <f t="shared" ca="1" si="193"/>
        <v>-133075.85979197739</v>
      </c>
      <c r="K17" s="246">
        <f t="shared" ca="1" si="193"/>
        <v>-133075.85979197739</v>
      </c>
      <c r="L17" s="246">
        <f t="shared" ca="1" si="193"/>
        <v>-133075.85979197739</v>
      </c>
      <c r="M17" s="246">
        <f t="shared" ca="1" si="193"/>
        <v>-133075.85979197739</v>
      </c>
      <c r="N17" s="246">
        <f t="shared" ca="1" si="193"/>
        <v>-133075.85979197739</v>
      </c>
      <c r="O17" s="246">
        <f t="shared" ca="1" si="193"/>
        <v>-133075.85979197739</v>
      </c>
      <c r="P17" s="246">
        <f t="shared" ca="1" si="193"/>
        <v>-133075.85979197739</v>
      </c>
      <c r="Q17" s="246">
        <f t="shared" ca="1" si="193"/>
        <v>-133075.85979197739</v>
      </c>
      <c r="R17" s="246">
        <f t="shared" ca="1" si="193"/>
        <v>-133075.85979197739</v>
      </c>
      <c r="S17" s="246">
        <f t="shared" ca="1" si="193"/>
        <v>-133075.85979197739</v>
      </c>
      <c r="T17" s="246">
        <f t="shared" ca="1" si="193"/>
        <v>-133075.85979197739</v>
      </c>
      <c r="U17" s="246">
        <f t="shared" ca="1" si="193"/>
        <v>-1109050.8597919773</v>
      </c>
      <c r="V17" s="246">
        <f t="shared" ca="1" si="193"/>
        <v>-1109050.8597919773</v>
      </c>
      <c r="W17" s="246">
        <f t="shared" ca="1" si="193"/>
        <v>-1109050.8597919773</v>
      </c>
      <c r="X17" s="246">
        <f t="shared" ca="1" si="193"/>
        <v>-1643589.0731194136</v>
      </c>
      <c r="Y17" s="246">
        <f t="shared" ca="1" si="193"/>
        <v>-1117234.2723802493</v>
      </c>
      <c r="Z17" s="246">
        <f t="shared" ca="1" si="193"/>
        <v>-1124216.9865826343</v>
      </c>
      <c r="AA17" s="246">
        <f t="shared" ca="1" si="193"/>
        <v>-1133430.8427487845</v>
      </c>
      <c r="AB17" s="246">
        <f t="shared" ca="1" si="193"/>
        <v>-1140514.7855159738</v>
      </c>
      <c r="AC17" s="246">
        <f t="shared" ca="1" si="193"/>
        <v>-1147643.0029254586</v>
      </c>
      <c r="AD17" s="246">
        <f t="shared" ca="1" si="193"/>
        <v>-1154815.7716937533</v>
      </c>
      <c r="AE17" s="246">
        <f t="shared" ca="1" si="193"/>
        <v>-1162033.3702668503</v>
      </c>
      <c r="AF17" s="246">
        <f t="shared" ca="1" si="193"/>
        <v>-1169296.0788310298</v>
      </c>
      <c r="AG17" s="246">
        <f t="shared" ca="1" si="193"/>
        <v>-1176604.1793237359</v>
      </c>
      <c r="AH17" s="246">
        <f t="shared" ca="1" si="193"/>
        <v>-1183957.9554445217</v>
      </c>
      <c r="AI17" s="246">
        <f t="shared" ca="1" si="193"/>
        <v>-1191357.6926660633</v>
      </c>
      <c r="AJ17" s="246">
        <f t="shared" ca="1" si="193"/>
        <v>-1198803.6782452399</v>
      </c>
      <c r="AK17" s="246">
        <f t="shared" ca="1" si="193"/>
        <v>-1206296.2012342869</v>
      </c>
      <c r="AL17" s="246">
        <f t="shared" ref="AL17:BL17" ca="1" si="194">SUM(AL9:AL16)</f>
        <v>-1213835.552492016</v>
      </c>
      <c r="AM17" s="246">
        <f t="shared" ca="1" si="194"/>
        <v>-1221422.0246951061</v>
      </c>
      <c r="AN17" s="246">
        <f t="shared" ca="1" si="194"/>
        <v>-1229055.912349466</v>
      </c>
      <c r="AO17" s="246">
        <f t="shared" ca="1" si="194"/>
        <v>-135386.98808968262</v>
      </c>
      <c r="AP17" s="246">
        <f t="shared" ca="1" si="194"/>
        <v>-118297.9124369834</v>
      </c>
      <c r="AQ17" s="246">
        <f t="shared" ca="1" si="194"/>
        <v>-93484.806958564237</v>
      </c>
      <c r="AR17" s="246">
        <f t="shared" ca="1" si="194"/>
        <v>-75965.379570905105</v>
      </c>
      <c r="AS17" s="246">
        <f t="shared" ca="1" si="194"/>
        <v>-59500.101762073245</v>
      </c>
      <c r="AT17" s="246">
        <f t="shared" ca="1" si="194"/>
        <v>-43513.738966936216</v>
      </c>
      <c r="AU17" s="246">
        <f t="shared" ca="1" si="194"/>
        <v>-27427.461404329515</v>
      </c>
      <c r="AV17" s="246">
        <f t="shared" ca="1" si="194"/>
        <v>-13471.313483933714</v>
      </c>
      <c r="AW17" s="246">
        <f t="shared" ca="1" si="194"/>
        <v>-13555.509193224425</v>
      </c>
      <c r="AX17" s="246">
        <f t="shared" ca="1" si="194"/>
        <v>-13640.231125697872</v>
      </c>
      <c r="AY17" s="246">
        <f t="shared" ca="1" si="194"/>
        <v>-13725.482570248685</v>
      </c>
      <c r="AZ17" s="246">
        <f t="shared" ca="1" si="194"/>
        <v>-13811.266836327297</v>
      </c>
      <c r="BA17" s="246">
        <f t="shared" ca="1" si="194"/>
        <v>-13836.21302906808</v>
      </c>
      <c r="BB17" s="246">
        <f t="shared" ca="1" si="194"/>
        <v>-9110.3087460042443</v>
      </c>
      <c r="BC17" s="246">
        <f t="shared" ca="1" si="194"/>
        <v>-9167.2481756783382</v>
      </c>
      <c r="BD17" s="246">
        <f t="shared" ca="1" si="194"/>
        <v>-9224.5434767864353</v>
      </c>
      <c r="BE17" s="246">
        <f t="shared" ca="1" si="194"/>
        <v>-9282.1968735249538</v>
      </c>
      <c r="BF17" s="246">
        <f t="shared" ca="1" si="194"/>
        <v>-9340.2106039912906</v>
      </c>
      <c r="BG17" s="246">
        <f t="shared" ca="1" si="194"/>
        <v>-9398.5869202709291</v>
      </c>
      <c r="BH17" s="246">
        <f t="shared" ca="1" si="194"/>
        <v>-9457.3280885250133</v>
      </c>
      <c r="BI17" s="246">
        <f t="shared" ca="1" si="194"/>
        <v>-9516.4363890781824</v>
      </c>
      <c r="BJ17" s="246">
        <f t="shared" ca="1" si="194"/>
        <v>-9575.9141165069595</v>
      </c>
      <c r="BK17" s="246">
        <f t="shared" ca="1" si="194"/>
        <v>-9635.7635797290422</v>
      </c>
      <c r="BL17" s="246">
        <f t="shared" ca="1" si="194"/>
        <v>-9695.9871020927385</v>
      </c>
      <c r="BM17" s="246">
        <f t="shared" ref="BM17:BZ17" ca="1" si="195">SUM(BM9:BM16)</f>
        <v>-9693.3715697174193</v>
      </c>
      <c r="BN17" s="246">
        <f t="shared" ca="1" si="195"/>
        <v>-4797.20310906737</v>
      </c>
      <c r="BO17" s="246">
        <f t="shared" ca="1" si="195"/>
        <v>-4827.1856284769601</v>
      </c>
      <c r="BP17" s="246">
        <f t="shared" ca="1" si="195"/>
        <v>-4857.3555386280641</v>
      </c>
      <c r="BQ17" s="246">
        <f t="shared" ca="1" si="195"/>
        <v>-4887.7140107124287</v>
      </c>
      <c r="BR17" s="246">
        <f t="shared" ca="1" si="195"/>
        <v>-4918.262223241647</v>
      </c>
      <c r="BS17" s="246">
        <f t="shared" ca="1" si="195"/>
        <v>-4949.0013620930258</v>
      </c>
      <c r="BT17" s="246">
        <f t="shared" ca="1" si="195"/>
        <v>-4979.9326205557445</v>
      </c>
      <c r="BU17" s="246">
        <f t="shared" ca="1" si="195"/>
        <v>-5011.0571993770427</v>
      </c>
      <c r="BV17" s="246">
        <f t="shared" ca="1" si="195"/>
        <v>-5042.3763068084372</v>
      </c>
      <c r="BW17" s="246">
        <f t="shared" ca="1" si="195"/>
        <v>-5073.8911586534523</v>
      </c>
      <c r="BX17" s="246">
        <f t="shared" ca="1" si="195"/>
        <v>-5105.6029783142731</v>
      </c>
      <c r="BY17" s="246">
        <f t="shared" ca="1" si="195"/>
        <v>-5072.4010815365473</v>
      </c>
      <c r="BZ17" s="246">
        <f t="shared" ca="1" si="195"/>
        <v>0</v>
      </c>
      <c r="CA17" s="246">
        <f t="shared" ref="CA17:EL17" ca="1" si="196">SUM(CA9:CA16)</f>
        <v>0</v>
      </c>
      <c r="CB17" s="246">
        <f t="shared" ca="1" si="196"/>
        <v>0</v>
      </c>
      <c r="CC17" s="246">
        <f t="shared" ca="1" si="196"/>
        <v>0</v>
      </c>
      <c r="CD17" s="246">
        <f t="shared" ca="1" si="196"/>
        <v>0</v>
      </c>
      <c r="CE17" s="246">
        <f t="shared" ca="1" si="196"/>
        <v>0</v>
      </c>
      <c r="CF17" s="246">
        <f t="shared" ca="1" si="196"/>
        <v>0</v>
      </c>
      <c r="CG17" s="246">
        <f t="shared" ca="1" si="196"/>
        <v>0</v>
      </c>
      <c r="CH17" s="246">
        <f t="shared" ca="1" si="196"/>
        <v>0</v>
      </c>
      <c r="CI17" s="246">
        <f t="shared" ca="1" si="196"/>
        <v>0</v>
      </c>
      <c r="CJ17" s="246">
        <f t="shared" ca="1" si="196"/>
        <v>0</v>
      </c>
      <c r="CK17" s="246">
        <f t="shared" ca="1" si="196"/>
        <v>0</v>
      </c>
      <c r="CL17" s="246">
        <f t="shared" ca="1" si="196"/>
        <v>0</v>
      </c>
      <c r="CM17" s="246">
        <f t="shared" ca="1" si="196"/>
        <v>0</v>
      </c>
      <c r="CN17" s="246">
        <f t="shared" ca="1" si="196"/>
        <v>0</v>
      </c>
      <c r="CO17" s="246">
        <f t="shared" ca="1" si="196"/>
        <v>0</v>
      </c>
      <c r="CP17" s="246">
        <f t="shared" ca="1" si="196"/>
        <v>0</v>
      </c>
      <c r="CQ17" s="246">
        <f t="shared" ca="1" si="196"/>
        <v>0</v>
      </c>
      <c r="CR17" s="246">
        <f t="shared" ca="1" si="196"/>
        <v>0</v>
      </c>
      <c r="CS17" s="246">
        <f t="shared" ca="1" si="196"/>
        <v>0</v>
      </c>
      <c r="CT17" s="246">
        <f t="shared" ca="1" si="196"/>
        <v>0</v>
      </c>
      <c r="CU17" s="246">
        <f t="shared" ca="1" si="196"/>
        <v>0</v>
      </c>
      <c r="CV17" s="246">
        <f t="shared" ca="1" si="196"/>
        <v>0</v>
      </c>
      <c r="CW17" s="246">
        <f t="shared" ca="1" si="196"/>
        <v>0</v>
      </c>
      <c r="CX17" s="246">
        <f t="shared" ca="1" si="196"/>
        <v>0</v>
      </c>
      <c r="CY17" s="246">
        <f t="shared" ca="1" si="196"/>
        <v>0</v>
      </c>
      <c r="CZ17" s="246">
        <f t="shared" ca="1" si="196"/>
        <v>0</v>
      </c>
      <c r="DA17" s="246">
        <f t="shared" ca="1" si="196"/>
        <v>0</v>
      </c>
      <c r="DB17" s="246">
        <f t="shared" ca="1" si="196"/>
        <v>0</v>
      </c>
      <c r="DC17" s="246">
        <f t="shared" ca="1" si="196"/>
        <v>0</v>
      </c>
      <c r="DD17" s="246">
        <f t="shared" ca="1" si="196"/>
        <v>0</v>
      </c>
      <c r="DE17" s="246">
        <f t="shared" ca="1" si="196"/>
        <v>0</v>
      </c>
      <c r="DF17" s="246">
        <f t="shared" ca="1" si="196"/>
        <v>0</v>
      </c>
      <c r="DG17" s="246">
        <f t="shared" ca="1" si="196"/>
        <v>0</v>
      </c>
      <c r="DH17" s="246">
        <f t="shared" ca="1" si="196"/>
        <v>0</v>
      </c>
      <c r="DI17" s="246">
        <f t="shared" ca="1" si="196"/>
        <v>0</v>
      </c>
      <c r="DJ17" s="246">
        <f t="shared" ca="1" si="196"/>
        <v>0</v>
      </c>
      <c r="DK17" s="246">
        <f t="shared" ca="1" si="196"/>
        <v>0</v>
      </c>
      <c r="DL17" s="246">
        <f t="shared" ca="1" si="196"/>
        <v>0</v>
      </c>
      <c r="DM17" s="246">
        <f t="shared" ca="1" si="196"/>
        <v>0</v>
      </c>
      <c r="DN17" s="246">
        <f t="shared" ca="1" si="196"/>
        <v>0</v>
      </c>
      <c r="DO17" s="246">
        <f t="shared" ca="1" si="196"/>
        <v>0</v>
      </c>
      <c r="DP17" s="246">
        <f t="shared" ca="1" si="196"/>
        <v>0</v>
      </c>
      <c r="DQ17" s="246">
        <f t="shared" ca="1" si="196"/>
        <v>0</v>
      </c>
      <c r="DR17" s="246">
        <f t="shared" ca="1" si="196"/>
        <v>0</v>
      </c>
      <c r="DS17" s="246">
        <f t="shared" ca="1" si="196"/>
        <v>0</v>
      </c>
      <c r="DT17" s="246">
        <f t="shared" ca="1" si="196"/>
        <v>0</v>
      </c>
      <c r="DU17" s="246">
        <f t="shared" ca="1" si="196"/>
        <v>0</v>
      </c>
      <c r="DV17" s="246">
        <f t="shared" ca="1" si="196"/>
        <v>0</v>
      </c>
      <c r="DW17" s="246">
        <f t="shared" ca="1" si="196"/>
        <v>0</v>
      </c>
      <c r="DX17" s="246">
        <f t="shared" ca="1" si="196"/>
        <v>0</v>
      </c>
      <c r="DY17" s="246">
        <f t="shared" ca="1" si="196"/>
        <v>0</v>
      </c>
      <c r="DZ17" s="246">
        <f t="shared" ca="1" si="196"/>
        <v>0</v>
      </c>
      <c r="EA17" s="246">
        <f t="shared" ca="1" si="196"/>
        <v>0</v>
      </c>
      <c r="EB17" s="246">
        <f t="shared" ca="1" si="196"/>
        <v>0</v>
      </c>
      <c r="EC17" s="246">
        <f t="shared" ca="1" si="196"/>
        <v>0</v>
      </c>
      <c r="ED17" s="246">
        <f t="shared" ca="1" si="196"/>
        <v>0</v>
      </c>
      <c r="EE17" s="246">
        <f t="shared" ca="1" si="196"/>
        <v>0</v>
      </c>
      <c r="EF17" s="246">
        <f t="shared" ca="1" si="196"/>
        <v>0</v>
      </c>
      <c r="EG17" s="246">
        <f t="shared" ca="1" si="196"/>
        <v>0</v>
      </c>
      <c r="EH17" s="246">
        <f t="shared" ca="1" si="196"/>
        <v>0</v>
      </c>
      <c r="EI17" s="246">
        <f t="shared" ca="1" si="196"/>
        <v>0</v>
      </c>
      <c r="EJ17" s="246">
        <f t="shared" ca="1" si="196"/>
        <v>0</v>
      </c>
      <c r="EK17" s="246">
        <f t="shared" ca="1" si="196"/>
        <v>0</v>
      </c>
      <c r="EL17" s="246">
        <f t="shared" ca="1" si="196"/>
        <v>0</v>
      </c>
      <c r="EM17" s="246">
        <f t="shared" ref="EM17:ET17" ca="1" si="197">SUM(EM9:EM16)</f>
        <v>0</v>
      </c>
      <c r="EN17" s="246">
        <f t="shared" ca="1" si="197"/>
        <v>0</v>
      </c>
      <c r="EO17" s="246">
        <f t="shared" ca="1" si="197"/>
        <v>0</v>
      </c>
      <c r="EP17" s="246">
        <f t="shared" ca="1" si="197"/>
        <v>0</v>
      </c>
      <c r="EQ17" s="246">
        <f t="shared" ca="1" si="197"/>
        <v>0</v>
      </c>
      <c r="ER17" s="246">
        <f t="shared" ca="1" si="197"/>
        <v>0</v>
      </c>
      <c r="ES17" s="246">
        <f t="shared" ca="1" si="197"/>
        <v>0</v>
      </c>
      <c r="ET17" s="246">
        <f t="shared" ca="1" si="197"/>
        <v>0</v>
      </c>
    </row>
    <row r="18" spans="2:150" x14ac:dyDescent="0.2"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</row>
    <row r="19" spans="2:150" x14ac:dyDescent="0.2">
      <c r="B19" s="83" t="s">
        <v>50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</row>
    <row r="20" spans="2:150" x14ac:dyDescent="0.2">
      <c r="B20" t="s">
        <v>136</v>
      </c>
      <c r="D20" s="242">
        <f t="shared" ref="D20:D24" ca="1" si="198">SUM(F20:ET20)</f>
        <v>7546033.5352514284</v>
      </c>
      <c r="F20" s="242">
        <f ca="1">-F89</f>
        <v>2021575.8597919769</v>
      </c>
      <c r="G20" s="242">
        <f t="shared" ref="G20:BR20" ca="1" si="199">-G89</f>
        <v>133075.85979197652</v>
      </c>
      <c r="H20" s="242">
        <f t="shared" ca="1" si="199"/>
        <v>133075.85979197652</v>
      </c>
      <c r="I20" s="242">
        <f t="shared" ca="1" si="199"/>
        <v>133075.85979197652</v>
      </c>
      <c r="J20" s="242">
        <f t="shared" ca="1" si="199"/>
        <v>133075.85979197652</v>
      </c>
      <c r="K20" s="242">
        <f t="shared" ca="1" si="199"/>
        <v>133075.85979197652</v>
      </c>
      <c r="L20" s="242">
        <f t="shared" ca="1" si="199"/>
        <v>133075.85979197652</v>
      </c>
      <c r="M20" s="242">
        <f t="shared" ca="1" si="199"/>
        <v>133075.85979197652</v>
      </c>
      <c r="N20" s="242">
        <f t="shared" ca="1" si="199"/>
        <v>133075.85979197652</v>
      </c>
      <c r="O20" s="242">
        <f t="shared" ca="1" si="199"/>
        <v>133075.85979197652</v>
      </c>
      <c r="P20" s="242">
        <f t="shared" ca="1" si="199"/>
        <v>133075.85979197652</v>
      </c>
      <c r="Q20" s="242">
        <f t="shared" ca="1" si="199"/>
        <v>133075.85979197652</v>
      </c>
      <c r="R20" s="242">
        <f t="shared" ca="1" si="199"/>
        <v>133075.85979197652</v>
      </c>
      <c r="S20" s="242">
        <f t="shared" ca="1" si="199"/>
        <v>133075.85979197652</v>
      </c>
      <c r="T20" s="242">
        <f t="shared" ca="1" si="199"/>
        <v>133075.85979197652</v>
      </c>
      <c r="U20" s="242">
        <f t="shared" ca="1" si="199"/>
        <v>1109050.8597919764</v>
      </c>
      <c r="V20" s="242">
        <f t="shared" ca="1" si="199"/>
        <v>1109050.8597919764</v>
      </c>
      <c r="W20" s="242">
        <f t="shared" ca="1" si="199"/>
        <v>1109050.8597919764</v>
      </c>
      <c r="X20" s="242">
        <f t="shared" ca="1" si="199"/>
        <v>334243.05899712583</v>
      </c>
      <c r="Y20" s="242">
        <f t="shared" ca="1" si="199"/>
        <v>0</v>
      </c>
      <c r="Z20" s="242">
        <f t="shared" ca="1" si="199"/>
        <v>0</v>
      </c>
      <c r="AA20" s="242">
        <f t="shared" ca="1" si="199"/>
        <v>0</v>
      </c>
      <c r="AB20" s="242">
        <f t="shared" ca="1" si="199"/>
        <v>0</v>
      </c>
      <c r="AC20" s="242">
        <f t="shared" ca="1" si="199"/>
        <v>0</v>
      </c>
      <c r="AD20" s="242">
        <f t="shared" ca="1" si="199"/>
        <v>0</v>
      </c>
      <c r="AE20" s="242">
        <f t="shared" ca="1" si="199"/>
        <v>0</v>
      </c>
      <c r="AF20" s="242">
        <f t="shared" ca="1" si="199"/>
        <v>0</v>
      </c>
      <c r="AG20" s="242">
        <f t="shared" ca="1" si="199"/>
        <v>0</v>
      </c>
      <c r="AH20" s="242">
        <f t="shared" ca="1" si="199"/>
        <v>0</v>
      </c>
      <c r="AI20" s="242">
        <f t="shared" ca="1" si="199"/>
        <v>0</v>
      </c>
      <c r="AJ20" s="242">
        <f t="shared" ca="1" si="199"/>
        <v>0</v>
      </c>
      <c r="AK20" s="242">
        <f t="shared" ca="1" si="199"/>
        <v>0</v>
      </c>
      <c r="AL20" s="242">
        <f t="shared" ca="1" si="199"/>
        <v>0</v>
      </c>
      <c r="AM20" s="242">
        <f t="shared" ca="1" si="199"/>
        <v>0</v>
      </c>
      <c r="AN20" s="242">
        <f t="shared" ca="1" si="199"/>
        <v>0</v>
      </c>
      <c r="AO20" s="242">
        <f t="shared" ca="1" si="199"/>
        <v>0</v>
      </c>
      <c r="AP20" s="242">
        <f t="shared" ca="1" si="199"/>
        <v>0</v>
      </c>
      <c r="AQ20" s="242">
        <f t="shared" ca="1" si="199"/>
        <v>0</v>
      </c>
      <c r="AR20" s="242">
        <f t="shared" ca="1" si="199"/>
        <v>0</v>
      </c>
      <c r="AS20" s="242">
        <f t="shared" ca="1" si="199"/>
        <v>0</v>
      </c>
      <c r="AT20" s="242">
        <f t="shared" ca="1" si="199"/>
        <v>0</v>
      </c>
      <c r="AU20" s="242">
        <f t="shared" ca="1" si="199"/>
        <v>0</v>
      </c>
      <c r="AV20" s="242">
        <f t="shared" ca="1" si="199"/>
        <v>0</v>
      </c>
      <c r="AW20" s="242">
        <f t="shared" ca="1" si="199"/>
        <v>0</v>
      </c>
      <c r="AX20" s="242">
        <f t="shared" ca="1" si="199"/>
        <v>0</v>
      </c>
      <c r="AY20" s="242">
        <f t="shared" ca="1" si="199"/>
        <v>0</v>
      </c>
      <c r="AZ20" s="242">
        <f t="shared" ca="1" si="199"/>
        <v>0</v>
      </c>
      <c r="BA20" s="242">
        <f t="shared" ca="1" si="199"/>
        <v>0</v>
      </c>
      <c r="BB20" s="242">
        <f t="shared" ca="1" si="199"/>
        <v>0</v>
      </c>
      <c r="BC20" s="242">
        <f t="shared" ca="1" si="199"/>
        <v>0</v>
      </c>
      <c r="BD20" s="242">
        <f t="shared" ca="1" si="199"/>
        <v>0</v>
      </c>
      <c r="BE20" s="242">
        <f t="shared" ca="1" si="199"/>
        <v>0</v>
      </c>
      <c r="BF20" s="242">
        <f t="shared" ca="1" si="199"/>
        <v>0</v>
      </c>
      <c r="BG20" s="242">
        <f t="shared" ca="1" si="199"/>
        <v>0</v>
      </c>
      <c r="BH20" s="242">
        <f t="shared" ca="1" si="199"/>
        <v>0</v>
      </c>
      <c r="BI20" s="242">
        <f t="shared" ca="1" si="199"/>
        <v>0</v>
      </c>
      <c r="BJ20" s="242">
        <f t="shared" ca="1" si="199"/>
        <v>0</v>
      </c>
      <c r="BK20" s="242">
        <f t="shared" ca="1" si="199"/>
        <v>0</v>
      </c>
      <c r="BL20" s="242">
        <f t="shared" ca="1" si="199"/>
        <v>0</v>
      </c>
      <c r="BM20" s="242">
        <f t="shared" ca="1" si="199"/>
        <v>0</v>
      </c>
      <c r="BN20" s="242">
        <f t="shared" ca="1" si="199"/>
        <v>0</v>
      </c>
      <c r="BO20" s="242">
        <f t="shared" ca="1" si="199"/>
        <v>0</v>
      </c>
      <c r="BP20" s="242">
        <f t="shared" ca="1" si="199"/>
        <v>0</v>
      </c>
      <c r="BQ20" s="242">
        <f t="shared" ca="1" si="199"/>
        <v>0</v>
      </c>
      <c r="BR20" s="242">
        <f t="shared" ca="1" si="199"/>
        <v>0</v>
      </c>
      <c r="BS20" s="242">
        <f t="shared" ref="BS20:BZ20" ca="1" si="200">-BS89</f>
        <v>0</v>
      </c>
      <c r="BT20" s="242">
        <f t="shared" ca="1" si="200"/>
        <v>0</v>
      </c>
      <c r="BU20" s="242">
        <f t="shared" ca="1" si="200"/>
        <v>0</v>
      </c>
      <c r="BV20" s="242">
        <f t="shared" ca="1" si="200"/>
        <v>0</v>
      </c>
      <c r="BW20" s="242">
        <f t="shared" ca="1" si="200"/>
        <v>0</v>
      </c>
      <c r="BX20" s="242">
        <f t="shared" ca="1" si="200"/>
        <v>0</v>
      </c>
      <c r="BY20" s="242">
        <f t="shared" ca="1" si="200"/>
        <v>0</v>
      </c>
      <c r="BZ20" s="242">
        <f t="shared" ca="1" si="200"/>
        <v>0</v>
      </c>
      <c r="CA20" s="242">
        <f t="shared" ref="CA20:EL20" ca="1" si="201">-CA89</f>
        <v>0</v>
      </c>
      <c r="CB20" s="242">
        <f t="shared" ca="1" si="201"/>
        <v>0</v>
      </c>
      <c r="CC20" s="242">
        <f t="shared" ca="1" si="201"/>
        <v>0</v>
      </c>
      <c r="CD20" s="242">
        <f t="shared" ca="1" si="201"/>
        <v>0</v>
      </c>
      <c r="CE20" s="242">
        <f t="shared" ca="1" si="201"/>
        <v>0</v>
      </c>
      <c r="CF20" s="242">
        <f t="shared" ca="1" si="201"/>
        <v>0</v>
      </c>
      <c r="CG20" s="242">
        <f t="shared" ca="1" si="201"/>
        <v>0</v>
      </c>
      <c r="CH20" s="242">
        <f t="shared" ca="1" si="201"/>
        <v>0</v>
      </c>
      <c r="CI20" s="242">
        <f t="shared" ca="1" si="201"/>
        <v>0</v>
      </c>
      <c r="CJ20" s="242">
        <f t="shared" ca="1" si="201"/>
        <v>0</v>
      </c>
      <c r="CK20" s="242">
        <f t="shared" ca="1" si="201"/>
        <v>0</v>
      </c>
      <c r="CL20" s="242">
        <f t="shared" ca="1" si="201"/>
        <v>0</v>
      </c>
      <c r="CM20" s="242">
        <f t="shared" ca="1" si="201"/>
        <v>0</v>
      </c>
      <c r="CN20" s="242">
        <f t="shared" ca="1" si="201"/>
        <v>0</v>
      </c>
      <c r="CO20" s="242">
        <f t="shared" ca="1" si="201"/>
        <v>0</v>
      </c>
      <c r="CP20" s="242">
        <f t="shared" ca="1" si="201"/>
        <v>0</v>
      </c>
      <c r="CQ20" s="242">
        <f t="shared" ca="1" si="201"/>
        <v>0</v>
      </c>
      <c r="CR20" s="242">
        <f t="shared" ca="1" si="201"/>
        <v>0</v>
      </c>
      <c r="CS20" s="242">
        <f t="shared" ca="1" si="201"/>
        <v>0</v>
      </c>
      <c r="CT20" s="242">
        <f t="shared" ca="1" si="201"/>
        <v>0</v>
      </c>
      <c r="CU20" s="242">
        <f t="shared" ca="1" si="201"/>
        <v>0</v>
      </c>
      <c r="CV20" s="242">
        <f t="shared" ca="1" si="201"/>
        <v>0</v>
      </c>
      <c r="CW20" s="242">
        <f t="shared" ca="1" si="201"/>
        <v>0</v>
      </c>
      <c r="CX20" s="242">
        <f t="shared" ca="1" si="201"/>
        <v>0</v>
      </c>
      <c r="CY20" s="242">
        <f t="shared" ca="1" si="201"/>
        <v>0</v>
      </c>
      <c r="CZ20" s="242">
        <f t="shared" ca="1" si="201"/>
        <v>0</v>
      </c>
      <c r="DA20" s="242">
        <f t="shared" ca="1" si="201"/>
        <v>0</v>
      </c>
      <c r="DB20" s="242">
        <f t="shared" ca="1" si="201"/>
        <v>0</v>
      </c>
      <c r="DC20" s="242">
        <f t="shared" ca="1" si="201"/>
        <v>0</v>
      </c>
      <c r="DD20" s="242">
        <f t="shared" ca="1" si="201"/>
        <v>0</v>
      </c>
      <c r="DE20" s="242">
        <f t="shared" ca="1" si="201"/>
        <v>0</v>
      </c>
      <c r="DF20" s="242">
        <f t="shared" ca="1" si="201"/>
        <v>0</v>
      </c>
      <c r="DG20" s="242">
        <f t="shared" ca="1" si="201"/>
        <v>0</v>
      </c>
      <c r="DH20" s="242">
        <f t="shared" ca="1" si="201"/>
        <v>0</v>
      </c>
      <c r="DI20" s="242">
        <f t="shared" ca="1" si="201"/>
        <v>0</v>
      </c>
      <c r="DJ20" s="242">
        <f t="shared" ca="1" si="201"/>
        <v>0</v>
      </c>
      <c r="DK20" s="242">
        <f t="shared" ca="1" si="201"/>
        <v>0</v>
      </c>
      <c r="DL20" s="242">
        <f t="shared" ca="1" si="201"/>
        <v>0</v>
      </c>
      <c r="DM20" s="242">
        <f t="shared" ca="1" si="201"/>
        <v>0</v>
      </c>
      <c r="DN20" s="242">
        <f t="shared" ca="1" si="201"/>
        <v>0</v>
      </c>
      <c r="DO20" s="242">
        <f t="shared" ca="1" si="201"/>
        <v>0</v>
      </c>
      <c r="DP20" s="242">
        <f t="shared" ca="1" si="201"/>
        <v>0</v>
      </c>
      <c r="DQ20" s="242">
        <f t="shared" ca="1" si="201"/>
        <v>0</v>
      </c>
      <c r="DR20" s="242">
        <f t="shared" ca="1" si="201"/>
        <v>0</v>
      </c>
      <c r="DS20" s="242">
        <f t="shared" ca="1" si="201"/>
        <v>0</v>
      </c>
      <c r="DT20" s="242">
        <f t="shared" ca="1" si="201"/>
        <v>0</v>
      </c>
      <c r="DU20" s="242">
        <f t="shared" ca="1" si="201"/>
        <v>0</v>
      </c>
      <c r="DV20" s="242">
        <f t="shared" ca="1" si="201"/>
        <v>0</v>
      </c>
      <c r="DW20" s="242">
        <f t="shared" ca="1" si="201"/>
        <v>0</v>
      </c>
      <c r="DX20" s="242">
        <f t="shared" ca="1" si="201"/>
        <v>0</v>
      </c>
      <c r="DY20" s="242">
        <f t="shared" ca="1" si="201"/>
        <v>0</v>
      </c>
      <c r="DZ20" s="242">
        <f t="shared" ca="1" si="201"/>
        <v>0</v>
      </c>
      <c r="EA20" s="242">
        <f t="shared" ca="1" si="201"/>
        <v>0</v>
      </c>
      <c r="EB20" s="242">
        <f t="shared" ca="1" si="201"/>
        <v>0</v>
      </c>
      <c r="EC20" s="242">
        <f t="shared" ca="1" si="201"/>
        <v>0</v>
      </c>
      <c r="ED20" s="242">
        <f t="shared" ca="1" si="201"/>
        <v>0</v>
      </c>
      <c r="EE20" s="242">
        <f t="shared" ca="1" si="201"/>
        <v>0</v>
      </c>
      <c r="EF20" s="242">
        <f t="shared" ca="1" si="201"/>
        <v>0</v>
      </c>
      <c r="EG20" s="242">
        <f t="shared" ca="1" si="201"/>
        <v>0</v>
      </c>
      <c r="EH20" s="242">
        <f t="shared" ca="1" si="201"/>
        <v>0</v>
      </c>
      <c r="EI20" s="242">
        <f t="shared" ca="1" si="201"/>
        <v>0</v>
      </c>
      <c r="EJ20" s="242">
        <f t="shared" ca="1" si="201"/>
        <v>0</v>
      </c>
      <c r="EK20" s="242">
        <f t="shared" ca="1" si="201"/>
        <v>0</v>
      </c>
      <c r="EL20" s="242">
        <f t="shared" ca="1" si="201"/>
        <v>0</v>
      </c>
      <c r="EM20" s="242">
        <f t="shared" ref="EM20:ET20" ca="1" si="202">-EM89</f>
        <v>0</v>
      </c>
      <c r="EN20" s="242">
        <f t="shared" ca="1" si="202"/>
        <v>0</v>
      </c>
      <c r="EO20" s="242">
        <f t="shared" ca="1" si="202"/>
        <v>0</v>
      </c>
      <c r="EP20" s="242">
        <f t="shared" ca="1" si="202"/>
        <v>0</v>
      </c>
      <c r="EQ20" s="242">
        <f t="shared" ca="1" si="202"/>
        <v>0</v>
      </c>
      <c r="ER20" s="242">
        <f t="shared" ca="1" si="202"/>
        <v>0</v>
      </c>
      <c r="ES20" s="242">
        <f t="shared" ca="1" si="202"/>
        <v>0</v>
      </c>
      <c r="ET20" s="242">
        <f t="shared" ca="1" si="202"/>
        <v>0</v>
      </c>
    </row>
    <row r="21" spans="2:150" x14ac:dyDescent="0.2">
      <c r="B21" t="s">
        <v>244</v>
      </c>
      <c r="D21" s="242">
        <f t="shared" ca="1" si="198"/>
        <v>0</v>
      </c>
      <c r="F21" s="242">
        <f>-F95</f>
        <v>0</v>
      </c>
      <c r="G21" s="242">
        <f t="shared" ref="G21:BR21" si="203">-G95</f>
        <v>0</v>
      </c>
      <c r="H21" s="242">
        <f t="shared" si="203"/>
        <v>0</v>
      </c>
      <c r="I21" s="242">
        <f t="shared" si="203"/>
        <v>0</v>
      </c>
      <c r="J21" s="242">
        <f t="shared" si="203"/>
        <v>0</v>
      </c>
      <c r="K21" s="242">
        <f t="shared" si="203"/>
        <v>0</v>
      </c>
      <c r="L21" s="242">
        <f t="shared" si="203"/>
        <v>0</v>
      </c>
      <c r="M21" s="242">
        <f t="shared" si="203"/>
        <v>0</v>
      </c>
      <c r="N21" s="242">
        <f t="shared" si="203"/>
        <v>0</v>
      </c>
      <c r="O21" s="242">
        <f t="shared" si="203"/>
        <v>0</v>
      </c>
      <c r="P21" s="242">
        <f t="shared" si="203"/>
        <v>0</v>
      </c>
      <c r="Q21" s="242">
        <f t="shared" si="203"/>
        <v>0</v>
      </c>
      <c r="R21" s="242">
        <f t="shared" ca="1" si="203"/>
        <v>0</v>
      </c>
      <c r="S21" s="242">
        <f t="shared" ca="1" si="203"/>
        <v>0</v>
      </c>
      <c r="T21" s="242">
        <f t="shared" ca="1" si="203"/>
        <v>0</v>
      </c>
      <c r="U21" s="242">
        <f t="shared" ca="1" si="203"/>
        <v>0</v>
      </c>
      <c r="V21" s="242">
        <f t="shared" ca="1" si="203"/>
        <v>0</v>
      </c>
      <c r="W21" s="242">
        <f t="shared" ca="1" si="203"/>
        <v>0</v>
      </c>
      <c r="X21" s="242">
        <f t="shared" ca="1" si="203"/>
        <v>0</v>
      </c>
      <c r="Y21" s="242">
        <f t="shared" ca="1" si="203"/>
        <v>0</v>
      </c>
      <c r="Z21" s="242">
        <f t="shared" ca="1" si="203"/>
        <v>0</v>
      </c>
      <c r="AA21" s="242">
        <f t="shared" ca="1" si="203"/>
        <v>0</v>
      </c>
      <c r="AB21" s="242">
        <f t="shared" ca="1" si="203"/>
        <v>0</v>
      </c>
      <c r="AC21" s="242">
        <f t="shared" ca="1" si="203"/>
        <v>0</v>
      </c>
      <c r="AD21" s="242">
        <f t="shared" ca="1" si="203"/>
        <v>0</v>
      </c>
      <c r="AE21" s="242">
        <f t="shared" ca="1" si="203"/>
        <v>0</v>
      </c>
      <c r="AF21" s="242">
        <f t="shared" ca="1" si="203"/>
        <v>0</v>
      </c>
      <c r="AG21" s="242">
        <f t="shared" ca="1" si="203"/>
        <v>0</v>
      </c>
      <c r="AH21" s="242">
        <f t="shared" ca="1" si="203"/>
        <v>0</v>
      </c>
      <c r="AI21" s="242">
        <f t="shared" ca="1" si="203"/>
        <v>0</v>
      </c>
      <c r="AJ21" s="242">
        <f t="shared" ca="1" si="203"/>
        <v>0</v>
      </c>
      <c r="AK21" s="242">
        <f t="shared" ca="1" si="203"/>
        <v>0</v>
      </c>
      <c r="AL21" s="242">
        <f t="shared" ca="1" si="203"/>
        <v>0</v>
      </c>
      <c r="AM21" s="242">
        <f t="shared" ca="1" si="203"/>
        <v>0</v>
      </c>
      <c r="AN21" s="242">
        <f t="shared" ca="1" si="203"/>
        <v>0</v>
      </c>
      <c r="AO21" s="242">
        <f t="shared" ca="1" si="203"/>
        <v>0</v>
      </c>
      <c r="AP21" s="242">
        <f t="shared" ca="1" si="203"/>
        <v>0</v>
      </c>
      <c r="AQ21" s="242">
        <f t="shared" ca="1" si="203"/>
        <v>0</v>
      </c>
      <c r="AR21" s="242">
        <f t="shared" ca="1" si="203"/>
        <v>0</v>
      </c>
      <c r="AS21" s="242">
        <f t="shared" ca="1" si="203"/>
        <v>0</v>
      </c>
      <c r="AT21" s="242">
        <f t="shared" ca="1" si="203"/>
        <v>0</v>
      </c>
      <c r="AU21" s="242">
        <f t="shared" ca="1" si="203"/>
        <v>0</v>
      </c>
      <c r="AV21" s="242">
        <f t="shared" ca="1" si="203"/>
        <v>0</v>
      </c>
      <c r="AW21" s="242">
        <f t="shared" ca="1" si="203"/>
        <v>0</v>
      </c>
      <c r="AX21" s="242">
        <f t="shared" ca="1" si="203"/>
        <v>0</v>
      </c>
      <c r="AY21" s="242">
        <f t="shared" ca="1" si="203"/>
        <v>0</v>
      </c>
      <c r="AZ21" s="242">
        <f t="shared" ca="1" si="203"/>
        <v>0</v>
      </c>
      <c r="BA21" s="242">
        <f t="shared" ca="1" si="203"/>
        <v>0</v>
      </c>
      <c r="BB21" s="242">
        <f t="shared" ca="1" si="203"/>
        <v>0</v>
      </c>
      <c r="BC21" s="242">
        <f t="shared" ca="1" si="203"/>
        <v>0</v>
      </c>
      <c r="BD21" s="242">
        <f t="shared" ca="1" si="203"/>
        <v>0</v>
      </c>
      <c r="BE21" s="242">
        <f t="shared" ca="1" si="203"/>
        <v>0</v>
      </c>
      <c r="BF21" s="242">
        <f t="shared" ca="1" si="203"/>
        <v>0</v>
      </c>
      <c r="BG21" s="242">
        <f t="shared" ca="1" si="203"/>
        <v>0</v>
      </c>
      <c r="BH21" s="242">
        <f t="shared" ca="1" si="203"/>
        <v>0</v>
      </c>
      <c r="BI21" s="242">
        <f t="shared" ca="1" si="203"/>
        <v>0</v>
      </c>
      <c r="BJ21" s="242">
        <f t="shared" ca="1" si="203"/>
        <v>0</v>
      </c>
      <c r="BK21" s="242">
        <f t="shared" ca="1" si="203"/>
        <v>0</v>
      </c>
      <c r="BL21" s="242">
        <f t="shared" ca="1" si="203"/>
        <v>0</v>
      </c>
      <c r="BM21" s="242">
        <f t="shared" ca="1" si="203"/>
        <v>0</v>
      </c>
      <c r="BN21" s="242">
        <f t="shared" ca="1" si="203"/>
        <v>0</v>
      </c>
      <c r="BO21" s="242">
        <f t="shared" ca="1" si="203"/>
        <v>0</v>
      </c>
      <c r="BP21" s="242">
        <f t="shared" ca="1" si="203"/>
        <v>0</v>
      </c>
      <c r="BQ21" s="242">
        <f t="shared" ca="1" si="203"/>
        <v>0</v>
      </c>
      <c r="BR21" s="242">
        <f t="shared" ca="1" si="203"/>
        <v>0</v>
      </c>
      <c r="BS21" s="242">
        <f t="shared" ref="BS21:BZ21" ca="1" si="204">-BS95</f>
        <v>0</v>
      </c>
      <c r="BT21" s="242">
        <f t="shared" ca="1" si="204"/>
        <v>0</v>
      </c>
      <c r="BU21" s="242">
        <f t="shared" ca="1" si="204"/>
        <v>0</v>
      </c>
      <c r="BV21" s="242">
        <f t="shared" ca="1" si="204"/>
        <v>0</v>
      </c>
      <c r="BW21" s="242">
        <f t="shared" ca="1" si="204"/>
        <v>0</v>
      </c>
      <c r="BX21" s="242">
        <f t="shared" ca="1" si="204"/>
        <v>0</v>
      </c>
      <c r="BY21" s="242">
        <f t="shared" ca="1" si="204"/>
        <v>0</v>
      </c>
      <c r="BZ21" s="242">
        <f t="shared" ca="1" si="204"/>
        <v>0</v>
      </c>
      <c r="CA21" s="242">
        <f t="shared" ref="CA21:EL21" ca="1" si="205">-CA95</f>
        <v>0</v>
      </c>
      <c r="CB21" s="242">
        <f t="shared" ca="1" si="205"/>
        <v>0</v>
      </c>
      <c r="CC21" s="242">
        <f t="shared" ca="1" si="205"/>
        <v>0</v>
      </c>
      <c r="CD21" s="242">
        <f t="shared" ca="1" si="205"/>
        <v>0</v>
      </c>
      <c r="CE21" s="242">
        <f t="shared" ca="1" si="205"/>
        <v>0</v>
      </c>
      <c r="CF21" s="242">
        <f t="shared" ca="1" si="205"/>
        <v>0</v>
      </c>
      <c r="CG21" s="242">
        <f t="shared" ca="1" si="205"/>
        <v>0</v>
      </c>
      <c r="CH21" s="242">
        <f t="shared" ca="1" si="205"/>
        <v>0</v>
      </c>
      <c r="CI21" s="242">
        <f t="shared" ca="1" si="205"/>
        <v>0</v>
      </c>
      <c r="CJ21" s="242">
        <f t="shared" ca="1" si="205"/>
        <v>0</v>
      </c>
      <c r="CK21" s="242">
        <f t="shared" ca="1" si="205"/>
        <v>0</v>
      </c>
      <c r="CL21" s="242">
        <f t="shared" ca="1" si="205"/>
        <v>0</v>
      </c>
      <c r="CM21" s="242">
        <f t="shared" ca="1" si="205"/>
        <v>0</v>
      </c>
      <c r="CN21" s="242">
        <f t="shared" ca="1" si="205"/>
        <v>0</v>
      </c>
      <c r="CO21" s="242">
        <f t="shared" ca="1" si="205"/>
        <v>0</v>
      </c>
      <c r="CP21" s="242">
        <f t="shared" ca="1" si="205"/>
        <v>0</v>
      </c>
      <c r="CQ21" s="242">
        <f t="shared" ca="1" si="205"/>
        <v>0</v>
      </c>
      <c r="CR21" s="242">
        <f t="shared" ca="1" si="205"/>
        <v>0</v>
      </c>
      <c r="CS21" s="242">
        <f t="shared" ca="1" si="205"/>
        <v>0</v>
      </c>
      <c r="CT21" s="242">
        <f t="shared" ca="1" si="205"/>
        <v>0</v>
      </c>
      <c r="CU21" s="242">
        <f t="shared" ca="1" si="205"/>
        <v>0</v>
      </c>
      <c r="CV21" s="242">
        <f t="shared" ca="1" si="205"/>
        <v>0</v>
      </c>
      <c r="CW21" s="242">
        <f t="shared" ca="1" si="205"/>
        <v>0</v>
      </c>
      <c r="CX21" s="242">
        <f t="shared" ca="1" si="205"/>
        <v>0</v>
      </c>
      <c r="CY21" s="242">
        <f t="shared" ca="1" si="205"/>
        <v>0</v>
      </c>
      <c r="CZ21" s="242">
        <f t="shared" ca="1" si="205"/>
        <v>0</v>
      </c>
      <c r="DA21" s="242">
        <f t="shared" ca="1" si="205"/>
        <v>0</v>
      </c>
      <c r="DB21" s="242">
        <f t="shared" ca="1" si="205"/>
        <v>0</v>
      </c>
      <c r="DC21" s="242">
        <f t="shared" ca="1" si="205"/>
        <v>0</v>
      </c>
      <c r="DD21" s="242">
        <f t="shared" ca="1" si="205"/>
        <v>0</v>
      </c>
      <c r="DE21" s="242">
        <f t="shared" ca="1" si="205"/>
        <v>0</v>
      </c>
      <c r="DF21" s="242">
        <f t="shared" ca="1" si="205"/>
        <v>0</v>
      </c>
      <c r="DG21" s="242">
        <f t="shared" ca="1" si="205"/>
        <v>0</v>
      </c>
      <c r="DH21" s="242">
        <f t="shared" ca="1" si="205"/>
        <v>0</v>
      </c>
      <c r="DI21" s="242">
        <f t="shared" ca="1" si="205"/>
        <v>0</v>
      </c>
      <c r="DJ21" s="242">
        <f t="shared" ca="1" si="205"/>
        <v>0</v>
      </c>
      <c r="DK21" s="242">
        <f t="shared" ca="1" si="205"/>
        <v>0</v>
      </c>
      <c r="DL21" s="242">
        <f t="shared" ca="1" si="205"/>
        <v>0</v>
      </c>
      <c r="DM21" s="242">
        <f t="shared" ca="1" si="205"/>
        <v>0</v>
      </c>
      <c r="DN21" s="242">
        <f t="shared" ca="1" si="205"/>
        <v>0</v>
      </c>
      <c r="DO21" s="242">
        <f t="shared" ca="1" si="205"/>
        <v>0</v>
      </c>
      <c r="DP21" s="242">
        <f t="shared" ca="1" si="205"/>
        <v>0</v>
      </c>
      <c r="DQ21" s="242">
        <f t="shared" ca="1" si="205"/>
        <v>0</v>
      </c>
      <c r="DR21" s="242">
        <f t="shared" ca="1" si="205"/>
        <v>0</v>
      </c>
      <c r="DS21" s="242">
        <f t="shared" ca="1" si="205"/>
        <v>0</v>
      </c>
      <c r="DT21" s="242">
        <f t="shared" ca="1" si="205"/>
        <v>0</v>
      </c>
      <c r="DU21" s="242">
        <f t="shared" ca="1" si="205"/>
        <v>0</v>
      </c>
      <c r="DV21" s="242">
        <f t="shared" ca="1" si="205"/>
        <v>0</v>
      </c>
      <c r="DW21" s="242">
        <f t="shared" ca="1" si="205"/>
        <v>0</v>
      </c>
      <c r="DX21" s="242">
        <f t="shared" ca="1" si="205"/>
        <v>0</v>
      </c>
      <c r="DY21" s="242">
        <f t="shared" ca="1" si="205"/>
        <v>0</v>
      </c>
      <c r="DZ21" s="242">
        <f t="shared" ca="1" si="205"/>
        <v>0</v>
      </c>
      <c r="EA21" s="242">
        <f t="shared" ca="1" si="205"/>
        <v>0</v>
      </c>
      <c r="EB21" s="242">
        <f t="shared" ca="1" si="205"/>
        <v>0</v>
      </c>
      <c r="EC21" s="242">
        <f t="shared" ca="1" si="205"/>
        <v>0</v>
      </c>
      <c r="ED21" s="242">
        <f t="shared" ca="1" si="205"/>
        <v>0</v>
      </c>
      <c r="EE21" s="242">
        <f t="shared" ca="1" si="205"/>
        <v>0</v>
      </c>
      <c r="EF21" s="242">
        <f t="shared" ca="1" si="205"/>
        <v>0</v>
      </c>
      <c r="EG21" s="242">
        <f t="shared" ca="1" si="205"/>
        <v>0</v>
      </c>
      <c r="EH21" s="242">
        <f t="shared" ca="1" si="205"/>
        <v>0</v>
      </c>
      <c r="EI21" s="242">
        <f t="shared" ca="1" si="205"/>
        <v>0</v>
      </c>
      <c r="EJ21" s="242">
        <f t="shared" ca="1" si="205"/>
        <v>0</v>
      </c>
      <c r="EK21" s="242">
        <f t="shared" ca="1" si="205"/>
        <v>0</v>
      </c>
      <c r="EL21" s="242">
        <f t="shared" ca="1" si="205"/>
        <v>0</v>
      </c>
      <c r="EM21" s="242">
        <f t="shared" ref="EM21:ET21" ca="1" si="206">-EM95</f>
        <v>0</v>
      </c>
      <c r="EN21" s="242">
        <f t="shared" ca="1" si="206"/>
        <v>0</v>
      </c>
      <c r="EO21" s="242">
        <f t="shared" ca="1" si="206"/>
        <v>0</v>
      </c>
      <c r="EP21" s="242">
        <f t="shared" ca="1" si="206"/>
        <v>0</v>
      </c>
      <c r="EQ21" s="242">
        <f t="shared" ca="1" si="206"/>
        <v>0</v>
      </c>
      <c r="ER21" s="242">
        <f t="shared" ca="1" si="206"/>
        <v>0</v>
      </c>
      <c r="ES21" s="242">
        <f t="shared" ca="1" si="206"/>
        <v>0</v>
      </c>
      <c r="ET21" s="242">
        <f t="shared" ca="1" si="206"/>
        <v>0</v>
      </c>
    </row>
    <row r="22" spans="2:150" x14ac:dyDescent="0.2">
      <c r="B22" t="s">
        <v>289</v>
      </c>
      <c r="D22" s="242">
        <f t="shared" ca="1" si="198"/>
        <v>0</v>
      </c>
      <c r="F22" s="242">
        <f ca="1">-F101</f>
        <v>0</v>
      </c>
      <c r="G22" s="242">
        <f t="shared" ref="G22:BR22" ca="1" si="207">-G101</f>
        <v>0</v>
      </c>
      <c r="H22" s="242">
        <f t="shared" ca="1" si="207"/>
        <v>0</v>
      </c>
      <c r="I22" s="242">
        <f t="shared" ca="1" si="207"/>
        <v>0</v>
      </c>
      <c r="J22" s="242">
        <f t="shared" ca="1" si="207"/>
        <v>0</v>
      </c>
      <c r="K22" s="242">
        <f t="shared" ca="1" si="207"/>
        <v>0</v>
      </c>
      <c r="L22" s="242">
        <f t="shared" ca="1" si="207"/>
        <v>0</v>
      </c>
      <c r="M22" s="242">
        <f t="shared" ca="1" si="207"/>
        <v>0</v>
      </c>
      <c r="N22" s="242">
        <f t="shared" ca="1" si="207"/>
        <v>0</v>
      </c>
      <c r="O22" s="242">
        <f t="shared" ca="1" si="207"/>
        <v>0</v>
      </c>
      <c r="P22" s="242">
        <f t="shared" ca="1" si="207"/>
        <v>0</v>
      </c>
      <c r="Q22" s="242">
        <f t="shared" ca="1" si="207"/>
        <v>0</v>
      </c>
      <c r="R22" s="242">
        <f t="shared" ca="1" si="207"/>
        <v>0</v>
      </c>
      <c r="S22" s="242">
        <f t="shared" ca="1" si="207"/>
        <v>0</v>
      </c>
      <c r="T22" s="242">
        <f t="shared" ca="1" si="207"/>
        <v>0</v>
      </c>
      <c r="U22" s="242">
        <f t="shared" ca="1" si="207"/>
        <v>0</v>
      </c>
      <c r="V22" s="242">
        <f t="shared" ca="1" si="207"/>
        <v>0</v>
      </c>
      <c r="W22" s="242">
        <f t="shared" ca="1" si="207"/>
        <v>0</v>
      </c>
      <c r="X22" s="242">
        <f t="shared" ca="1" si="207"/>
        <v>0</v>
      </c>
      <c r="Y22" s="242">
        <f t="shared" ca="1" si="207"/>
        <v>0</v>
      </c>
      <c r="Z22" s="242">
        <f t="shared" ca="1" si="207"/>
        <v>0</v>
      </c>
      <c r="AA22" s="242">
        <f t="shared" ca="1" si="207"/>
        <v>0</v>
      </c>
      <c r="AB22" s="242">
        <f t="shared" ca="1" si="207"/>
        <v>0</v>
      </c>
      <c r="AC22" s="242">
        <f t="shared" ca="1" si="207"/>
        <v>0</v>
      </c>
      <c r="AD22" s="242">
        <f t="shared" ca="1" si="207"/>
        <v>0</v>
      </c>
      <c r="AE22" s="242">
        <f t="shared" ca="1" si="207"/>
        <v>0</v>
      </c>
      <c r="AF22" s="242">
        <f t="shared" ca="1" si="207"/>
        <v>0</v>
      </c>
      <c r="AG22" s="242">
        <f t="shared" ca="1" si="207"/>
        <v>0</v>
      </c>
      <c r="AH22" s="242">
        <f t="shared" ca="1" si="207"/>
        <v>0</v>
      </c>
      <c r="AI22" s="242">
        <f t="shared" ca="1" si="207"/>
        <v>0</v>
      </c>
      <c r="AJ22" s="242">
        <f t="shared" ca="1" si="207"/>
        <v>0</v>
      </c>
      <c r="AK22" s="242">
        <f t="shared" ca="1" si="207"/>
        <v>0</v>
      </c>
      <c r="AL22" s="242">
        <f t="shared" ca="1" si="207"/>
        <v>0</v>
      </c>
      <c r="AM22" s="242">
        <f t="shared" ca="1" si="207"/>
        <v>0</v>
      </c>
      <c r="AN22" s="242">
        <f t="shared" ca="1" si="207"/>
        <v>0</v>
      </c>
      <c r="AO22" s="242">
        <f t="shared" ca="1" si="207"/>
        <v>0</v>
      </c>
      <c r="AP22" s="242">
        <f t="shared" ca="1" si="207"/>
        <v>0</v>
      </c>
      <c r="AQ22" s="242">
        <f t="shared" ca="1" si="207"/>
        <v>0</v>
      </c>
      <c r="AR22" s="242">
        <f t="shared" ca="1" si="207"/>
        <v>0</v>
      </c>
      <c r="AS22" s="242">
        <f t="shared" ca="1" si="207"/>
        <v>0</v>
      </c>
      <c r="AT22" s="242">
        <f t="shared" ca="1" si="207"/>
        <v>0</v>
      </c>
      <c r="AU22" s="242">
        <f t="shared" ca="1" si="207"/>
        <v>0</v>
      </c>
      <c r="AV22" s="242">
        <f t="shared" ca="1" si="207"/>
        <v>0</v>
      </c>
      <c r="AW22" s="242">
        <f t="shared" ca="1" si="207"/>
        <v>0</v>
      </c>
      <c r="AX22" s="242">
        <f t="shared" ca="1" si="207"/>
        <v>0</v>
      </c>
      <c r="AY22" s="242">
        <f t="shared" ca="1" si="207"/>
        <v>0</v>
      </c>
      <c r="AZ22" s="242">
        <f t="shared" ca="1" si="207"/>
        <v>0</v>
      </c>
      <c r="BA22" s="242">
        <f t="shared" ca="1" si="207"/>
        <v>0</v>
      </c>
      <c r="BB22" s="242">
        <f t="shared" ca="1" si="207"/>
        <v>0</v>
      </c>
      <c r="BC22" s="242">
        <f t="shared" ca="1" si="207"/>
        <v>0</v>
      </c>
      <c r="BD22" s="242">
        <f t="shared" ca="1" si="207"/>
        <v>0</v>
      </c>
      <c r="BE22" s="242">
        <f t="shared" ca="1" si="207"/>
        <v>0</v>
      </c>
      <c r="BF22" s="242">
        <f t="shared" ca="1" si="207"/>
        <v>0</v>
      </c>
      <c r="BG22" s="242">
        <f t="shared" ca="1" si="207"/>
        <v>0</v>
      </c>
      <c r="BH22" s="242">
        <f t="shared" ca="1" si="207"/>
        <v>0</v>
      </c>
      <c r="BI22" s="242">
        <f t="shared" ca="1" si="207"/>
        <v>0</v>
      </c>
      <c r="BJ22" s="242">
        <f t="shared" ca="1" si="207"/>
        <v>0</v>
      </c>
      <c r="BK22" s="242">
        <f t="shared" ca="1" si="207"/>
        <v>0</v>
      </c>
      <c r="BL22" s="242">
        <f t="shared" ca="1" si="207"/>
        <v>0</v>
      </c>
      <c r="BM22" s="242">
        <f t="shared" ca="1" si="207"/>
        <v>0</v>
      </c>
      <c r="BN22" s="242">
        <f t="shared" ca="1" si="207"/>
        <v>0</v>
      </c>
      <c r="BO22" s="242">
        <f t="shared" ca="1" si="207"/>
        <v>0</v>
      </c>
      <c r="BP22" s="242">
        <f t="shared" ca="1" si="207"/>
        <v>0</v>
      </c>
      <c r="BQ22" s="242">
        <f t="shared" ca="1" si="207"/>
        <v>0</v>
      </c>
      <c r="BR22" s="242">
        <f t="shared" ca="1" si="207"/>
        <v>0</v>
      </c>
      <c r="BS22" s="242">
        <f t="shared" ref="BS22:BZ22" ca="1" si="208">-BS101</f>
        <v>0</v>
      </c>
      <c r="BT22" s="242">
        <f t="shared" ca="1" si="208"/>
        <v>0</v>
      </c>
      <c r="BU22" s="242">
        <f t="shared" ca="1" si="208"/>
        <v>0</v>
      </c>
      <c r="BV22" s="242">
        <f t="shared" ca="1" si="208"/>
        <v>0</v>
      </c>
      <c r="BW22" s="242">
        <f t="shared" ca="1" si="208"/>
        <v>0</v>
      </c>
      <c r="BX22" s="242">
        <f t="shared" ca="1" si="208"/>
        <v>0</v>
      </c>
      <c r="BY22" s="242">
        <f t="shared" ca="1" si="208"/>
        <v>0</v>
      </c>
      <c r="BZ22" s="242">
        <f t="shared" ca="1" si="208"/>
        <v>0</v>
      </c>
      <c r="CA22" s="242">
        <f t="shared" ref="CA22:EL22" ca="1" si="209">-CA101</f>
        <v>0</v>
      </c>
      <c r="CB22" s="242">
        <f t="shared" ca="1" si="209"/>
        <v>0</v>
      </c>
      <c r="CC22" s="242">
        <f t="shared" ca="1" si="209"/>
        <v>0</v>
      </c>
      <c r="CD22" s="242">
        <f t="shared" ca="1" si="209"/>
        <v>0</v>
      </c>
      <c r="CE22" s="242">
        <f t="shared" ca="1" si="209"/>
        <v>0</v>
      </c>
      <c r="CF22" s="242">
        <f t="shared" ca="1" si="209"/>
        <v>0</v>
      </c>
      <c r="CG22" s="242">
        <f t="shared" ca="1" si="209"/>
        <v>0</v>
      </c>
      <c r="CH22" s="242">
        <f t="shared" ca="1" si="209"/>
        <v>0</v>
      </c>
      <c r="CI22" s="242">
        <f t="shared" ca="1" si="209"/>
        <v>0</v>
      </c>
      <c r="CJ22" s="242">
        <f t="shared" ca="1" si="209"/>
        <v>0</v>
      </c>
      <c r="CK22" s="242">
        <f t="shared" ca="1" si="209"/>
        <v>0</v>
      </c>
      <c r="CL22" s="242">
        <f t="shared" ca="1" si="209"/>
        <v>0</v>
      </c>
      <c r="CM22" s="242">
        <f t="shared" ca="1" si="209"/>
        <v>0</v>
      </c>
      <c r="CN22" s="242">
        <f t="shared" ca="1" si="209"/>
        <v>0</v>
      </c>
      <c r="CO22" s="242">
        <f t="shared" ca="1" si="209"/>
        <v>0</v>
      </c>
      <c r="CP22" s="242">
        <f t="shared" ca="1" si="209"/>
        <v>0</v>
      </c>
      <c r="CQ22" s="242">
        <f t="shared" ca="1" si="209"/>
        <v>0</v>
      </c>
      <c r="CR22" s="242">
        <f t="shared" ca="1" si="209"/>
        <v>0</v>
      </c>
      <c r="CS22" s="242">
        <f t="shared" ca="1" si="209"/>
        <v>0</v>
      </c>
      <c r="CT22" s="242">
        <f t="shared" ca="1" si="209"/>
        <v>0</v>
      </c>
      <c r="CU22" s="242">
        <f t="shared" ca="1" si="209"/>
        <v>0</v>
      </c>
      <c r="CV22" s="242">
        <f t="shared" ca="1" si="209"/>
        <v>0</v>
      </c>
      <c r="CW22" s="242">
        <f t="shared" ca="1" si="209"/>
        <v>0</v>
      </c>
      <c r="CX22" s="242">
        <f t="shared" ca="1" si="209"/>
        <v>0</v>
      </c>
      <c r="CY22" s="242">
        <f t="shared" ca="1" si="209"/>
        <v>0</v>
      </c>
      <c r="CZ22" s="242">
        <f t="shared" ca="1" si="209"/>
        <v>0</v>
      </c>
      <c r="DA22" s="242">
        <f t="shared" ca="1" si="209"/>
        <v>0</v>
      </c>
      <c r="DB22" s="242">
        <f t="shared" ca="1" si="209"/>
        <v>0</v>
      </c>
      <c r="DC22" s="242">
        <f t="shared" ca="1" si="209"/>
        <v>0</v>
      </c>
      <c r="DD22" s="242">
        <f t="shared" ca="1" si="209"/>
        <v>0</v>
      </c>
      <c r="DE22" s="242">
        <f t="shared" ca="1" si="209"/>
        <v>0</v>
      </c>
      <c r="DF22" s="242">
        <f t="shared" ca="1" si="209"/>
        <v>0</v>
      </c>
      <c r="DG22" s="242">
        <f t="shared" ca="1" si="209"/>
        <v>0</v>
      </c>
      <c r="DH22" s="242">
        <f t="shared" ca="1" si="209"/>
        <v>0</v>
      </c>
      <c r="DI22" s="242">
        <f t="shared" ca="1" si="209"/>
        <v>0</v>
      </c>
      <c r="DJ22" s="242">
        <f t="shared" ca="1" si="209"/>
        <v>0</v>
      </c>
      <c r="DK22" s="242">
        <f t="shared" ca="1" si="209"/>
        <v>0</v>
      </c>
      <c r="DL22" s="242">
        <f t="shared" ca="1" si="209"/>
        <v>0</v>
      </c>
      <c r="DM22" s="242">
        <f t="shared" ca="1" si="209"/>
        <v>0</v>
      </c>
      <c r="DN22" s="242">
        <f t="shared" ca="1" si="209"/>
        <v>0</v>
      </c>
      <c r="DO22" s="242">
        <f t="shared" ca="1" si="209"/>
        <v>0</v>
      </c>
      <c r="DP22" s="242">
        <f t="shared" ca="1" si="209"/>
        <v>0</v>
      </c>
      <c r="DQ22" s="242">
        <f t="shared" ca="1" si="209"/>
        <v>0</v>
      </c>
      <c r="DR22" s="242">
        <f t="shared" ca="1" si="209"/>
        <v>0</v>
      </c>
      <c r="DS22" s="242">
        <f t="shared" ca="1" si="209"/>
        <v>0</v>
      </c>
      <c r="DT22" s="242">
        <f t="shared" ca="1" si="209"/>
        <v>0</v>
      </c>
      <c r="DU22" s="242">
        <f t="shared" ca="1" si="209"/>
        <v>0</v>
      </c>
      <c r="DV22" s="242">
        <f t="shared" ca="1" si="209"/>
        <v>0</v>
      </c>
      <c r="DW22" s="242">
        <f t="shared" ca="1" si="209"/>
        <v>0</v>
      </c>
      <c r="DX22" s="242">
        <f t="shared" ca="1" si="209"/>
        <v>0</v>
      </c>
      <c r="DY22" s="242">
        <f t="shared" ca="1" si="209"/>
        <v>0</v>
      </c>
      <c r="DZ22" s="242">
        <f t="shared" ca="1" si="209"/>
        <v>0</v>
      </c>
      <c r="EA22" s="242">
        <f t="shared" ca="1" si="209"/>
        <v>0</v>
      </c>
      <c r="EB22" s="242">
        <f t="shared" ca="1" si="209"/>
        <v>0</v>
      </c>
      <c r="EC22" s="242">
        <f t="shared" ca="1" si="209"/>
        <v>0</v>
      </c>
      <c r="ED22" s="242">
        <f t="shared" ca="1" si="209"/>
        <v>0</v>
      </c>
      <c r="EE22" s="242">
        <f t="shared" ca="1" si="209"/>
        <v>0</v>
      </c>
      <c r="EF22" s="242">
        <f t="shared" ca="1" si="209"/>
        <v>0</v>
      </c>
      <c r="EG22" s="242">
        <f t="shared" ca="1" si="209"/>
        <v>0</v>
      </c>
      <c r="EH22" s="242">
        <f t="shared" ca="1" si="209"/>
        <v>0</v>
      </c>
      <c r="EI22" s="242">
        <f t="shared" ca="1" si="209"/>
        <v>0</v>
      </c>
      <c r="EJ22" s="242">
        <f t="shared" ca="1" si="209"/>
        <v>0</v>
      </c>
      <c r="EK22" s="242">
        <f t="shared" ca="1" si="209"/>
        <v>0</v>
      </c>
      <c r="EL22" s="242">
        <f t="shared" ca="1" si="209"/>
        <v>0</v>
      </c>
      <c r="EM22" s="242">
        <f t="shared" ref="EM22:ET22" ca="1" si="210">-EM101</f>
        <v>0</v>
      </c>
      <c r="EN22" s="242">
        <f t="shared" ca="1" si="210"/>
        <v>0</v>
      </c>
      <c r="EO22" s="242">
        <f t="shared" ca="1" si="210"/>
        <v>0</v>
      </c>
      <c r="EP22" s="242">
        <f t="shared" ca="1" si="210"/>
        <v>0</v>
      </c>
      <c r="EQ22" s="242">
        <f t="shared" ca="1" si="210"/>
        <v>0</v>
      </c>
      <c r="ER22" s="242">
        <f t="shared" ca="1" si="210"/>
        <v>0</v>
      </c>
      <c r="ES22" s="242">
        <f t="shared" ca="1" si="210"/>
        <v>0</v>
      </c>
      <c r="ET22" s="242">
        <f t="shared" ca="1" si="210"/>
        <v>0</v>
      </c>
    </row>
    <row r="23" spans="2:150" x14ac:dyDescent="0.2">
      <c r="B23" t="s">
        <v>137</v>
      </c>
      <c r="D23" s="242">
        <f t="shared" ca="1" si="198"/>
        <v>22638100.605564758</v>
      </c>
      <c r="F23" s="242">
        <f ca="1">F114+F122</f>
        <v>1750000</v>
      </c>
      <c r="G23" s="242">
        <f t="shared" ref="G23:BR23" ca="1" si="211">G114+G122</f>
        <v>0</v>
      </c>
      <c r="H23" s="242">
        <f t="shared" ca="1" si="211"/>
        <v>0</v>
      </c>
      <c r="I23" s="242">
        <f t="shared" ca="1" si="211"/>
        <v>0</v>
      </c>
      <c r="J23" s="242">
        <f t="shared" ca="1" si="211"/>
        <v>0</v>
      </c>
      <c r="K23" s="242">
        <f t="shared" ca="1" si="211"/>
        <v>0</v>
      </c>
      <c r="L23" s="242">
        <f t="shared" ca="1" si="211"/>
        <v>0</v>
      </c>
      <c r="M23" s="242">
        <f t="shared" ca="1" si="211"/>
        <v>0</v>
      </c>
      <c r="N23" s="242">
        <f t="shared" ca="1" si="211"/>
        <v>0</v>
      </c>
      <c r="O23" s="242">
        <f t="shared" ca="1" si="211"/>
        <v>0</v>
      </c>
      <c r="P23" s="242">
        <f t="shared" ca="1" si="211"/>
        <v>0</v>
      </c>
      <c r="Q23" s="242">
        <f t="shared" ca="1" si="211"/>
        <v>0</v>
      </c>
      <c r="R23" s="242">
        <f t="shared" ca="1" si="211"/>
        <v>0</v>
      </c>
      <c r="S23" s="242">
        <f t="shared" ca="1" si="211"/>
        <v>0</v>
      </c>
      <c r="T23" s="242">
        <f t="shared" ca="1" si="211"/>
        <v>0</v>
      </c>
      <c r="U23" s="242">
        <f t="shared" ca="1" si="211"/>
        <v>0</v>
      </c>
      <c r="V23" s="242">
        <f t="shared" ca="1" si="211"/>
        <v>0</v>
      </c>
      <c r="W23" s="242">
        <f t="shared" ca="1" si="211"/>
        <v>0</v>
      </c>
      <c r="X23" s="242">
        <f t="shared" ca="1" si="211"/>
        <v>1309346.014122277</v>
      </c>
      <c r="Y23" s="242">
        <f t="shared" ca="1" si="211"/>
        <v>1117234.2723802566</v>
      </c>
      <c r="Z23" s="242">
        <f t="shared" ca="1" si="211"/>
        <v>1124216.986582642</v>
      </c>
      <c r="AA23" s="242">
        <f t="shared" ca="1" si="211"/>
        <v>1133430.8427487928</v>
      </c>
      <c r="AB23" s="242">
        <f t="shared" ca="1" si="211"/>
        <v>1140514.7855159827</v>
      </c>
      <c r="AC23" s="242">
        <f t="shared" ca="1" si="211"/>
        <v>1147643.0029254681</v>
      </c>
      <c r="AD23" s="242">
        <f t="shared" ca="1" si="211"/>
        <v>1154815.7716937633</v>
      </c>
      <c r="AE23" s="242">
        <f t="shared" ca="1" si="211"/>
        <v>1162033.3702668608</v>
      </c>
      <c r="AF23" s="242">
        <f t="shared" ca="1" si="211"/>
        <v>1169296.0788310408</v>
      </c>
      <c r="AG23" s="242">
        <f t="shared" ca="1" si="211"/>
        <v>1176604.1793237475</v>
      </c>
      <c r="AH23" s="242">
        <f t="shared" ca="1" si="211"/>
        <v>1183957.9554445341</v>
      </c>
      <c r="AI23" s="242">
        <f t="shared" ca="1" si="211"/>
        <v>1191357.6926660759</v>
      </c>
      <c r="AJ23" s="242">
        <f t="shared" ca="1" si="211"/>
        <v>1198803.6782452532</v>
      </c>
      <c r="AK23" s="242">
        <f t="shared" ca="1" si="211"/>
        <v>1206296.2012343006</v>
      </c>
      <c r="AL23" s="242">
        <f t="shared" ca="1" si="211"/>
        <v>1213835.55249203</v>
      </c>
      <c r="AM23" s="242">
        <f t="shared" ca="1" si="211"/>
        <v>1221422.0246951205</v>
      </c>
      <c r="AN23" s="242">
        <f t="shared" ca="1" si="211"/>
        <v>1229055.9123494807</v>
      </c>
      <c r="AO23" s="242">
        <f t="shared" ca="1" si="211"/>
        <v>135386.98808969773</v>
      </c>
      <c r="AP23" s="242">
        <f t="shared" ca="1" si="211"/>
        <v>118297.9124369987</v>
      </c>
      <c r="AQ23" s="242">
        <f t="shared" ca="1" si="211"/>
        <v>93484.806958579706</v>
      </c>
      <c r="AR23" s="242">
        <f t="shared" ca="1" si="211"/>
        <v>75965.379570920704</v>
      </c>
      <c r="AS23" s="242">
        <f t="shared" ca="1" si="211"/>
        <v>59500.10176208886</v>
      </c>
      <c r="AT23" s="242">
        <f t="shared" ca="1" si="211"/>
        <v>43513.738966951787</v>
      </c>
      <c r="AU23" s="242">
        <f ca="1">AU114+AU122</f>
        <v>27427.461404344969</v>
      </c>
      <c r="AV23" s="242">
        <f t="shared" ca="1" si="211"/>
        <v>13471.313483948761</v>
      </c>
      <c r="AW23" s="242">
        <f t="shared" ca="1" si="211"/>
        <v>13555.509193239152</v>
      </c>
      <c r="AX23" s="242">
        <f t="shared" ca="1" si="211"/>
        <v>13640.231125711987</v>
      </c>
      <c r="AY23" s="242">
        <f t="shared" ca="1" si="211"/>
        <v>13725.482570262189</v>
      </c>
      <c r="AZ23" s="242">
        <f t="shared" ca="1" si="211"/>
        <v>13811.266836340015</v>
      </c>
      <c r="BA23" s="242">
        <f t="shared" ca="1" si="211"/>
        <v>13836.213029079707</v>
      </c>
      <c r="BB23" s="242">
        <f t="shared" ca="1" si="211"/>
        <v>9110.308746014809</v>
      </c>
      <c r="BC23" s="242">
        <f t="shared" ca="1" si="211"/>
        <v>9167.2481756874768</v>
      </c>
      <c r="BD23" s="242">
        <f t="shared" ca="1" si="211"/>
        <v>9224.5434767940897</v>
      </c>
      <c r="BE23" s="242">
        <f t="shared" ca="1" si="211"/>
        <v>9282.1968735308328</v>
      </c>
      <c r="BF23" s="242">
        <f t="shared" ca="1" si="211"/>
        <v>9340.2106039950741</v>
      </c>
      <c r="BG23" s="242">
        <f t="shared" ca="1" si="211"/>
        <v>9398.5869202724425</v>
      </c>
      <c r="BH23" s="242">
        <f t="shared" ca="1" si="211"/>
        <v>9457.3280885240529</v>
      </c>
      <c r="BI23" s="242">
        <f t="shared" ca="1" si="211"/>
        <v>9516.4363890743989</v>
      </c>
      <c r="BJ23" s="242">
        <f t="shared" ca="1" si="211"/>
        <v>9575.914116500091</v>
      </c>
      <c r="BK23" s="242">
        <f t="shared" ca="1" si="211"/>
        <v>9635.7635797187395</v>
      </c>
      <c r="BL23" s="242">
        <f t="shared" ca="1" si="211"/>
        <v>9695.9871020786813</v>
      </c>
      <c r="BM23" s="242">
        <f t="shared" ca="1" si="211"/>
        <v>9693.3715696994332</v>
      </c>
      <c r="BN23" s="242">
        <f t="shared" ca="1" si="211"/>
        <v>4797.2031090447272</v>
      </c>
      <c r="BO23" s="242">
        <f t="shared" ca="1" si="211"/>
        <v>4827.1856284496025</v>
      </c>
      <c r="BP23" s="242">
        <f t="shared" ca="1" si="211"/>
        <v>4857.3555385955551</v>
      </c>
      <c r="BQ23" s="242">
        <f t="shared" ca="1" si="211"/>
        <v>4887.7140106743318</v>
      </c>
      <c r="BR23" s="242">
        <f t="shared" ca="1" si="211"/>
        <v>4918.2622231974965</v>
      </c>
      <c r="BS23" s="242">
        <f t="shared" ref="BS23:BZ23" ca="1" si="212">BS114+BS122</f>
        <v>4949.0013620424434</v>
      </c>
      <c r="BT23" s="242">
        <f t="shared" ca="1" si="212"/>
        <v>4979.9326204984682</v>
      </c>
      <c r="BU23" s="242">
        <f t="shared" ca="1" si="212"/>
        <v>5011.0571993123158</v>
      </c>
      <c r="BV23" s="242">
        <f t="shared" ca="1" si="212"/>
        <v>5042.3763067359687</v>
      </c>
      <c r="BW23" s="242">
        <f t="shared" ca="1" si="212"/>
        <v>5073.8911585728929</v>
      </c>
      <c r="BX23" s="242">
        <f t="shared" ca="1" si="212"/>
        <v>5105.602978224837</v>
      </c>
      <c r="BY23" s="242">
        <f t="shared" ca="1" si="212"/>
        <v>5072.4008283544099</v>
      </c>
      <c r="BZ23" s="242">
        <f t="shared" ca="1" si="212"/>
        <v>0</v>
      </c>
      <c r="CA23" s="242">
        <f t="shared" ref="CA23:EL23" ca="1" si="213">CA114+CA122</f>
        <v>0</v>
      </c>
      <c r="CB23" s="242">
        <f t="shared" ca="1" si="213"/>
        <v>0</v>
      </c>
      <c r="CC23" s="242">
        <f t="shared" ca="1" si="213"/>
        <v>0</v>
      </c>
      <c r="CD23" s="242">
        <f t="shared" ca="1" si="213"/>
        <v>0</v>
      </c>
      <c r="CE23" s="242">
        <f t="shared" ca="1" si="213"/>
        <v>0</v>
      </c>
      <c r="CF23" s="242">
        <f t="shared" ca="1" si="213"/>
        <v>0</v>
      </c>
      <c r="CG23" s="242">
        <f t="shared" ca="1" si="213"/>
        <v>0</v>
      </c>
      <c r="CH23" s="242">
        <f t="shared" ca="1" si="213"/>
        <v>0</v>
      </c>
      <c r="CI23" s="242">
        <f t="shared" ca="1" si="213"/>
        <v>0</v>
      </c>
      <c r="CJ23" s="242">
        <f t="shared" ca="1" si="213"/>
        <v>0</v>
      </c>
      <c r="CK23" s="242">
        <f t="shared" ca="1" si="213"/>
        <v>0</v>
      </c>
      <c r="CL23" s="242">
        <f t="shared" ca="1" si="213"/>
        <v>0</v>
      </c>
      <c r="CM23" s="242">
        <f t="shared" ca="1" si="213"/>
        <v>0</v>
      </c>
      <c r="CN23" s="242">
        <f t="shared" ca="1" si="213"/>
        <v>0</v>
      </c>
      <c r="CO23" s="242">
        <f t="shared" ca="1" si="213"/>
        <v>0</v>
      </c>
      <c r="CP23" s="242">
        <f t="shared" ca="1" si="213"/>
        <v>0</v>
      </c>
      <c r="CQ23" s="242">
        <f t="shared" ca="1" si="213"/>
        <v>0</v>
      </c>
      <c r="CR23" s="242">
        <f t="shared" ca="1" si="213"/>
        <v>0</v>
      </c>
      <c r="CS23" s="242">
        <f t="shared" ca="1" si="213"/>
        <v>0</v>
      </c>
      <c r="CT23" s="242">
        <f t="shared" ca="1" si="213"/>
        <v>0</v>
      </c>
      <c r="CU23" s="242">
        <f t="shared" ca="1" si="213"/>
        <v>0</v>
      </c>
      <c r="CV23" s="242">
        <f t="shared" ca="1" si="213"/>
        <v>0</v>
      </c>
      <c r="CW23" s="242">
        <f t="shared" ca="1" si="213"/>
        <v>0</v>
      </c>
      <c r="CX23" s="242">
        <f t="shared" ca="1" si="213"/>
        <v>0</v>
      </c>
      <c r="CY23" s="242">
        <f t="shared" ca="1" si="213"/>
        <v>0</v>
      </c>
      <c r="CZ23" s="242">
        <f t="shared" ca="1" si="213"/>
        <v>0</v>
      </c>
      <c r="DA23" s="242">
        <f t="shared" ca="1" si="213"/>
        <v>0</v>
      </c>
      <c r="DB23" s="242">
        <f t="shared" ca="1" si="213"/>
        <v>0</v>
      </c>
      <c r="DC23" s="242">
        <f t="shared" ca="1" si="213"/>
        <v>0</v>
      </c>
      <c r="DD23" s="242">
        <f t="shared" ca="1" si="213"/>
        <v>0</v>
      </c>
      <c r="DE23" s="242">
        <f t="shared" ca="1" si="213"/>
        <v>0</v>
      </c>
      <c r="DF23" s="242">
        <f t="shared" ca="1" si="213"/>
        <v>0</v>
      </c>
      <c r="DG23" s="242">
        <f t="shared" ca="1" si="213"/>
        <v>0</v>
      </c>
      <c r="DH23" s="242">
        <f t="shared" ca="1" si="213"/>
        <v>0</v>
      </c>
      <c r="DI23" s="242">
        <f t="shared" ca="1" si="213"/>
        <v>0</v>
      </c>
      <c r="DJ23" s="242">
        <f t="shared" ca="1" si="213"/>
        <v>0</v>
      </c>
      <c r="DK23" s="242">
        <f t="shared" ca="1" si="213"/>
        <v>0</v>
      </c>
      <c r="DL23" s="242">
        <f t="shared" ca="1" si="213"/>
        <v>0</v>
      </c>
      <c r="DM23" s="242">
        <f t="shared" ca="1" si="213"/>
        <v>0</v>
      </c>
      <c r="DN23" s="242">
        <f t="shared" ca="1" si="213"/>
        <v>0</v>
      </c>
      <c r="DO23" s="242">
        <f t="shared" ca="1" si="213"/>
        <v>0</v>
      </c>
      <c r="DP23" s="242">
        <f t="shared" ca="1" si="213"/>
        <v>0</v>
      </c>
      <c r="DQ23" s="242">
        <f t="shared" ca="1" si="213"/>
        <v>0</v>
      </c>
      <c r="DR23" s="242">
        <f t="shared" ca="1" si="213"/>
        <v>0</v>
      </c>
      <c r="DS23" s="242">
        <f t="shared" ca="1" si="213"/>
        <v>0</v>
      </c>
      <c r="DT23" s="242">
        <f t="shared" ca="1" si="213"/>
        <v>0</v>
      </c>
      <c r="DU23" s="242">
        <f t="shared" ca="1" si="213"/>
        <v>0</v>
      </c>
      <c r="DV23" s="242">
        <f t="shared" ca="1" si="213"/>
        <v>0</v>
      </c>
      <c r="DW23" s="242">
        <f t="shared" ca="1" si="213"/>
        <v>0</v>
      </c>
      <c r="DX23" s="242">
        <f t="shared" ca="1" si="213"/>
        <v>0</v>
      </c>
      <c r="DY23" s="242">
        <f t="shared" ca="1" si="213"/>
        <v>0</v>
      </c>
      <c r="DZ23" s="242">
        <f t="shared" ca="1" si="213"/>
        <v>0</v>
      </c>
      <c r="EA23" s="242">
        <f t="shared" ca="1" si="213"/>
        <v>0</v>
      </c>
      <c r="EB23" s="242">
        <f t="shared" ca="1" si="213"/>
        <v>0</v>
      </c>
      <c r="EC23" s="242">
        <f t="shared" ca="1" si="213"/>
        <v>0</v>
      </c>
      <c r="ED23" s="242">
        <f t="shared" ca="1" si="213"/>
        <v>0</v>
      </c>
      <c r="EE23" s="242">
        <f t="shared" ca="1" si="213"/>
        <v>0</v>
      </c>
      <c r="EF23" s="242">
        <f t="shared" ca="1" si="213"/>
        <v>0</v>
      </c>
      <c r="EG23" s="242">
        <f t="shared" ca="1" si="213"/>
        <v>0</v>
      </c>
      <c r="EH23" s="242">
        <f t="shared" ca="1" si="213"/>
        <v>0</v>
      </c>
      <c r="EI23" s="242">
        <f t="shared" ca="1" si="213"/>
        <v>0</v>
      </c>
      <c r="EJ23" s="242">
        <f t="shared" ca="1" si="213"/>
        <v>0</v>
      </c>
      <c r="EK23" s="242">
        <f t="shared" ca="1" si="213"/>
        <v>0</v>
      </c>
      <c r="EL23" s="242">
        <f t="shared" ca="1" si="213"/>
        <v>0</v>
      </c>
      <c r="EM23" s="242">
        <f t="shared" ref="EM23:ET23" ca="1" si="214">EM114+EM122</f>
        <v>0</v>
      </c>
      <c r="EN23" s="242">
        <f t="shared" ca="1" si="214"/>
        <v>0</v>
      </c>
      <c r="EO23" s="242">
        <f t="shared" ca="1" si="214"/>
        <v>0</v>
      </c>
      <c r="EP23" s="242">
        <f t="shared" ca="1" si="214"/>
        <v>0</v>
      </c>
      <c r="EQ23" s="242">
        <f t="shared" ca="1" si="214"/>
        <v>0</v>
      </c>
      <c r="ER23" s="242">
        <f t="shared" ca="1" si="214"/>
        <v>0</v>
      </c>
      <c r="ES23" s="242">
        <f t="shared" ca="1" si="214"/>
        <v>0</v>
      </c>
      <c r="ET23" s="242">
        <f t="shared" ca="1" si="214"/>
        <v>0</v>
      </c>
    </row>
    <row r="24" spans="2:150" x14ac:dyDescent="0.2">
      <c r="B24" s="99" t="s">
        <v>138</v>
      </c>
      <c r="C24" s="99"/>
      <c r="D24" s="246">
        <f t="shared" ca="1" si="198"/>
        <v>30184134.140816189</v>
      </c>
      <c r="E24" s="99"/>
      <c r="F24" s="246">
        <f ca="1">SUM(F19:F23)</f>
        <v>3771575.8597919769</v>
      </c>
      <c r="G24" s="246">
        <f t="shared" ref="G24:K24" ca="1" si="215">SUM(G19:G23)</f>
        <v>133075.85979197652</v>
      </c>
      <c r="H24" s="246">
        <f t="shared" ca="1" si="215"/>
        <v>133075.85979197652</v>
      </c>
      <c r="I24" s="246">
        <f t="shared" ca="1" si="215"/>
        <v>133075.85979197652</v>
      </c>
      <c r="J24" s="246">
        <f t="shared" ca="1" si="215"/>
        <v>133075.85979197652</v>
      </c>
      <c r="K24" s="246">
        <f t="shared" ca="1" si="215"/>
        <v>133075.85979197652</v>
      </c>
      <c r="L24" s="246">
        <f t="shared" ref="L24" ca="1" si="216">SUM(L19:L23)</f>
        <v>133075.85979197652</v>
      </c>
      <c r="M24" s="246">
        <f t="shared" ref="M24" ca="1" si="217">SUM(M19:M23)</f>
        <v>133075.85979197652</v>
      </c>
      <c r="N24" s="246">
        <f t="shared" ref="N24" ca="1" si="218">SUM(N19:N23)</f>
        <v>133075.85979197652</v>
      </c>
      <c r="O24" s="246">
        <f t="shared" ref="O24" ca="1" si="219">SUM(O19:O23)</f>
        <v>133075.85979197652</v>
      </c>
      <c r="P24" s="246">
        <f t="shared" ref="P24" ca="1" si="220">SUM(P19:P23)</f>
        <v>133075.85979197652</v>
      </c>
      <c r="Q24" s="246">
        <f t="shared" ref="Q24" ca="1" si="221">SUM(Q19:Q23)</f>
        <v>133075.85979197652</v>
      </c>
      <c r="R24" s="246">
        <f t="shared" ref="R24" ca="1" si="222">SUM(R19:R23)</f>
        <v>133075.85979197652</v>
      </c>
      <c r="S24" s="246">
        <f t="shared" ref="S24" ca="1" si="223">SUM(S19:S23)</f>
        <v>133075.85979197652</v>
      </c>
      <c r="T24" s="246">
        <f t="shared" ref="T24" ca="1" si="224">SUM(T19:T23)</f>
        <v>133075.85979197652</v>
      </c>
      <c r="U24" s="246">
        <f t="shared" ref="U24" ca="1" si="225">SUM(U19:U23)</f>
        <v>1109050.8597919764</v>
      </c>
      <c r="V24" s="246">
        <f t="shared" ref="V24" ca="1" si="226">SUM(V19:V23)</f>
        <v>1109050.8597919764</v>
      </c>
      <c r="W24" s="246">
        <f t="shared" ref="W24" ca="1" si="227">SUM(W19:W23)</f>
        <v>1109050.8597919764</v>
      </c>
      <c r="X24" s="246">
        <f t="shared" ref="X24" ca="1" si="228">SUM(X19:X23)</f>
        <v>1643589.0731194029</v>
      </c>
      <c r="Y24" s="246">
        <f t="shared" ref="Y24" ca="1" si="229">SUM(Y19:Y23)</f>
        <v>1117234.2723802566</v>
      </c>
      <c r="Z24" s="246">
        <f t="shared" ref="Z24" ca="1" si="230">SUM(Z19:Z23)</f>
        <v>1124216.986582642</v>
      </c>
      <c r="AA24" s="246">
        <f t="shared" ref="AA24" ca="1" si="231">SUM(AA19:AA23)</f>
        <v>1133430.8427487928</v>
      </c>
      <c r="AB24" s="246">
        <f t="shared" ref="AB24" ca="1" si="232">SUM(AB19:AB23)</f>
        <v>1140514.7855159827</v>
      </c>
      <c r="AC24" s="246">
        <f t="shared" ref="AC24" ca="1" si="233">SUM(AC19:AC23)</f>
        <v>1147643.0029254681</v>
      </c>
      <c r="AD24" s="246">
        <f t="shared" ref="AD24" ca="1" si="234">SUM(AD19:AD23)</f>
        <v>1154815.7716937633</v>
      </c>
      <c r="AE24" s="246">
        <f t="shared" ref="AE24" ca="1" si="235">SUM(AE19:AE23)</f>
        <v>1162033.3702668608</v>
      </c>
      <c r="AF24" s="246">
        <f t="shared" ref="AF24" ca="1" si="236">SUM(AF19:AF23)</f>
        <v>1169296.0788310408</v>
      </c>
      <c r="AG24" s="246">
        <f t="shared" ref="AG24" ca="1" si="237">SUM(AG19:AG23)</f>
        <v>1176604.1793237475</v>
      </c>
      <c r="AH24" s="246">
        <f t="shared" ref="AH24" ca="1" si="238">SUM(AH19:AH23)</f>
        <v>1183957.9554445341</v>
      </c>
      <c r="AI24" s="246">
        <f t="shared" ref="AI24" ca="1" si="239">SUM(AI19:AI23)</f>
        <v>1191357.6926660759</v>
      </c>
      <c r="AJ24" s="246">
        <f t="shared" ref="AJ24" ca="1" si="240">SUM(AJ19:AJ23)</f>
        <v>1198803.6782452532</v>
      </c>
      <c r="AK24" s="246">
        <f t="shared" ref="AK24" ca="1" si="241">SUM(AK19:AK23)</f>
        <v>1206296.2012343006</v>
      </c>
      <c r="AL24" s="246">
        <f t="shared" ref="AL24" ca="1" si="242">SUM(AL19:AL23)</f>
        <v>1213835.55249203</v>
      </c>
      <c r="AM24" s="246">
        <f t="shared" ref="AM24" ca="1" si="243">SUM(AM19:AM23)</f>
        <v>1221422.0246951205</v>
      </c>
      <c r="AN24" s="246">
        <f t="shared" ref="AN24" ca="1" si="244">SUM(AN19:AN23)</f>
        <v>1229055.9123494807</v>
      </c>
      <c r="AO24" s="246">
        <f t="shared" ref="AO24" ca="1" si="245">SUM(AO19:AO23)</f>
        <v>135386.98808969773</v>
      </c>
      <c r="AP24" s="246">
        <f t="shared" ref="AP24" ca="1" si="246">SUM(AP19:AP23)</f>
        <v>118297.9124369987</v>
      </c>
      <c r="AQ24" s="246">
        <f t="shared" ref="AQ24" ca="1" si="247">SUM(AQ19:AQ23)</f>
        <v>93484.806958579706</v>
      </c>
      <c r="AR24" s="246">
        <f t="shared" ref="AR24" ca="1" si="248">SUM(AR19:AR23)</f>
        <v>75965.379570920704</v>
      </c>
      <c r="AS24" s="246">
        <f t="shared" ref="AS24" ca="1" si="249">SUM(AS19:AS23)</f>
        <v>59500.10176208886</v>
      </c>
      <c r="AT24" s="246">
        <f t="shared" ref="AT24" ca="1" si="250">SUM(AT19:AT23)</f>
        <v>43513.738966951787</v>
      </c>
      <c r="AU24" s="246">
        <f t="shared" ref="AU24" ca="1" si="251">SUM(AU19:AU23)</f>
        <v>27427.461404344969</v>
      </c>
      <c r="AV24" s="246">
        <f t="shared" ref="AV24" ca="1" si="252">SUM(AV19:AV23)</f>
        <v>13471.313483948761</v>
      </c>
      <c r="AW24" s="246">
        <f t="shared" ref="AW24" ca="1" si="253">SUM(AW19:AW23)</f>
        <v>13555.509193239152</v>
      </c>
      <c r="AX24" s="246">
        <f t="shared" ref="AX24" ca="1" si="254">SUM(AX19:AX23)</f>
        <v>13640.231125711987</v>
      </c>
      <c r="AY24" s="246">
        <f t="shared" ref="AY24" ca="1" si="255">SUM(AY19:AY23)</f>
        <v>13725.482570262189</v>
      </c>
      <c r="AZ24" s="246">
        <f t="shared" ref="AZ24" ca="1" si="256">SUM(AZ19:AZ23)</f>
        <v>13811.266836340015</v>
      </c>
      <c r="BA24" s="246">
        <f t="shared" ref="BA24" ca="1" si="257">SUM(BA19:BA23)</f>
        <v>13836.213029079707</v>
      </c>
      <c r="BB24" s="246">
        <f t="shared" ref="BB24" ca="1" si="258">SUM(BB19:BB23)</f>
        <v>9110.308746014809</v>
      </c>
      <c r="BC24" s="246">
        <f t="shared" ref="BC24" ca="1" si="259">SUM(BC19:BC23)</f>
        <v>9167.2481756874768</v>
      </c>
      <c r="BD24" s="246">
        <f t="shared" ref="BD24" ca="1" si="260">SUM(BD19:BD23)</f>
        <v>9224.5434767940897</v>
      </c>
      <c r="BE24" s="246">
        <f t="shared" ref="BE24" ca="1" si="261">SUM(BE19:BE23)</f>
        <v>9282.1968735308328</v>
      </c>
      <c r="BF24" s="246">
        <f t="shared" ref="BF24" ca="1" si="262">SUM(BF19:BF23)</f>
        <v>9340.2106039950741</v>
      </c>
      <c r="BG24" s="246">
        <f t="shared" ref="BG24" ca="1" si="263">SUM(BG19:BG23)</f>
        <v>9398.5869202724425</v>
      </c>
      <c r="BH24" s="246">
        <f t="shared" ref="BH24" ca="1" si="264">SUM(BH19:BH23)</f>
        <v>9457.3280885240529</v>
      </c>
      <c r="BI24" s="246">
        <f t="shared" ref="BI24" ca="1" si="265">SUM(BI19:BI23)</f>
        <v>9516.4363890743989</v>
      </c>
      <c r="BJ24" s="246">
        <f t="shared" ref="BJ24" ca="1" si="266">SUM(BJ19:BJ23)</f>
        <v>9575.914116500091</v>
      </c>
      <c r="BK24" s="246">
        <f t="shared" ref="BK24" ca="1" si="267">SUM(BK19:BK23)</f>
        <v>9635.7635797187395</v>
      </c>
      <c r="BL24" s="246">
        <f t="shared" ref="BL24" ca="1" si="268">SUM(BL19:BL23)</f>
        <v>9695.9871020786813</v>
      </c>
      <c r="BM24" s="246">
        <f t="shared" ref="BM24" ca="1" si="269">SUM(BM19:BM23)</f>
        <v>9693.3715696994332</v>
      </c>
      <c r="BN24" s="246">
        <f t="shared" ref="BN24" ca="1" si="270">SUM(BN19:BN23)</f>
        <v>4797.2031090447272</v>
      </c>
      <c r="BO24" s="246">
        <f t="shared" ref="BO24" ca="1" si="271">SUM(BO19:BO23)</f>
        <v>4827.1856284496025</v>
      </c>
      <c r="BP24" s="246">
        <f t="shared" ref="BP24" ca="1" si="272">SUM(BP19:BP23)</f>
        <v>4857.3555385955551</v>
      </c>
      <c r="BQ24" s="246">
        <f t="shared" ref="BQ24" ca="1" si="273">SUM(BQ19:BQ23)</f>
        <v>4887.7140106743318</v>
      </c>
      <c r="BR24" s="246">
        <f t="shared" ref="BR24" ca="1" si="274">SUM(BR19:BR23)</f>
        <v>4918.2622231974965</v>
      </c>
      <c r="BS24" s="246">
        <f t="shared" ref="BS24" ca="1" si="275">SUM(BS19:BS23)</f>
        <v>4949.0013620424434</v>
      </c>
      <c r="BT24" s="246">
        <f t="shared" ref="BT24" ca="1" si="276">SUM(BT19:BT23)</f>
        <v>4979.9326204984682</v>
      </c>
      <c r="BU24" s="246">
        <f t="shared" ref="BU24" ca="1" si="277">SUM(BU19:BU23)</f>
        <v>5011.0571993123158</v>
      </c>
      <c r="BV24" s="246">
        <f t="shared" ref="BV24" ca="1" si="278">SUM(BV19:BV23)</f>
        <v>5042.3763067359687</v>
      </c>
      <c r="BW24" s="246">
        <f t="shared" ref="BW24" ca="1" si="279">SUM(BW19:BW23)</f>
        <v>5073.8911585728929</v>
      </c>
      <c r="BX24" s="246">
        <f t="shared" ref="BX24" ca="1" si="280">SUM(BX19:BX23)</f>
        <v>5105.602978224837</v>
      </c>
      <c r="BY24" s="246">
        <f t="shared" ref="BY24" ca="1" si="281">SUM(BY19:BY23)</f>
        <v>5072.4008283544099</v>
      </c>
      <c r="BZ24" s="246">
        <f t="shared" ref="BZ24:EK24" ca="1" si="282">SUM(BZ19:BZ23)</f>
        <v>0</v>
      </c>
      <c r="CA24" s="246">
        <f t="shared" ca="1" si="282"/>
        <v>0</v>
      </c>
      <c r="CB24" s="246">
        <f t="shared" ca="1" si="282"/>
        <v>0</v>
      </c>
      <c r="CC24" s="246">
        <f t="shared" ca="1" si="282"/>
        <v>0</v>
      </c>
      <c r="CD24" s="246">
        <f t="shared" ca="1" si="282"/>
        <v>0</v>
      </c>
      <c r="CE24" s="246">
        <f t="shared" ca="1" si="282"/>
        <v>0</v>
      </c>
      <c r="CF24" s="246">
        <f t="shared" ca="1" si="282"/>
        <v>0</v>
      </c>
      <c r="CG24" s="246">
        <f t="shared" ca="1" si="282"/>
        <v>0</v>
      </c>
      <c r="CH24" s="246">
        <f t="shared" ca="1" si="282"/>
        <v>0</v>
      </c>
      <c r="CI24" s="246">
        <f t="shared" ca="1" si="282"/>
        <v>0</v>
      </c>
      <c r="CJ24" s="246">
        <f t="shared" ca="1" si="282"/>
        <v>0</v>
      </c>
      <c r="CK24" s="246">
        <f t="shared" ca="1" si="282"/>
        <v>0</v>
      </c>
      <c r="CL24" s="246">
        <f t="shared" ca="1" si="282"/>
        <v>0</v>
      </c>
      <c r="CM24" s="246">
        <f t="shared" ca="1" si="282"/>
        <v>0</v>
      </c>
      <c r="CN24" s="246">
        <f t="shared" ca="1" si="282"/>
        <v>0</v>
      </c>
      <c r="CO24" s="246">
        <f t="shared" ca="1" si="282"/>
        <v>0</v>
      </c>
      <c r="CP24" s="246">
        <f t="shared" ca="1" si="282"/>
        <v>0</v>
      </c>
      <c r="CQ24" s="246">
        <f t="shared" ca="1" si="282"/>
        <v>0</v>
      </c>
      <c r="CR24" s="246">
        <f t="shared" ca="1" si="282"/>
        <v>0</v>
      </c>
      <c r="CS24" s="246">
        <f t="shared" ca="1" si="282"/>
        <v>0</v>
      </c>
      <c r="CT24" s="246">
        <f t="shared" ca="1" si="282"/>
        <v>0</v>
      </c>
      <c r="CU24" s="246">
        <f t="shared" ca="1" si="282"/>
        <v>0</v>
      </c>
      <c r="CV24" s="246">
        <f t="shared" ca="1" si="282"/>
        <v>0</v>
      </c>
      <c r="CW24" s="246">
        <f t="shared" ca="1" si="282"/>
        <v>0</v>
      </c>
      <c r="CX24" s="246">
        <f t="shared" ca="1" si="282"/>
        <v>0</v>
      </c>
      <c r="CY24" s="246">
        <f t="shared" ca="1" si="282"/>
        <v>0</v>
      </c>
      <c r="CZ24" s="246">
        <f t="shared" ca="1" si="282"/>
        <v>0</v>
      </c>
      <c r="DA24" s="246">
        <f t="shared" ca="1" si="282"/>
        <v>0</v>
      </c>
      <c r="DB24" s="246">
        <f t="shared" ca="1" si="282"/>
        <v>0</v>
      </c>
      <c r="DC24" s="246">
        <f t="shared" ca="1" si="282"/>
        <v>0</v>
      </c>
      <c r="DD24" s="246">
        <f t="shared" ca="1" si="282"/>
        <v>0</v>
      </c>
      <c r="DE24" s="246">
        <f t="shared" ca="1" si="282"/>
        <v>0</v>
      </c>
      <c r="DF24" s="246">
        <f t="shared" ca="1" si="282"/>
        <v>0</v>
      </c>
      <c r="DG24" s="246">
        <f t="shared" ca="1" si="282"/>
        <v>0</v>
      </c>
      <c r="DH24" s="246">
        <f t="shared" ca="1" si="282"/>
        <v>0</v>
      </c>
      <c r="DI24" s="246">
        <f t="shared" ca="1" si="282"/>
        <v>0</v>
      </c>
      <c r="DJ24" s="246">
        <f t="shared" ca="1" si="282"/>
        <v>0</v>
      </c>
      <c r="DK24" s="246">
        <f t="shared" ca="1" si="282"/>
        <v>0</v>
      </c>
      <c r="DL24" s="246">
        <f t="shared" ca="1" si="282"/>
        <v>0</v>
      </c>
      <c r="DM24" s="246">
        <f t="shared" ca="1" si="282"/>
        <v>0</v>
      </c>
      <c r="DN24" s="246">
        <f t="shared" ca="1" si="282"/>
        <v>0</v>
      </c>
      <c r="DO24" s="246">
        <f t="shared" ca="1" si="282"/>
        <v>0</v>
      </c>
      <c r="DP24" s="246">
        <f t="shared" ca="1" si="282"/>
        <v>0</v>
      </c>
      <c r="DQ24" s="246">
        <f t="shared" ca="1" si="282"/>
        <v>0</v>
      </c>
      <c r="DR24" s="246">
        <f t="shared" ca="1" si="282"/>
        <v>0</v>
      </c>
      <c r="DS24" s="246">
        <f t="shared" ca="1" si="282"/>
        <v>0</v>
      </c>
      <c r="DT24" s="246">
        <f t="shared" ca="1" si="282"/>
        <v>0</v>
      </c>
      <c r="DU24" s="246">
        <f t="shared" ca="1" si="282"/>
        <v>0</v>
      </c>
      <c r="DV24" s="246">
        <f t="shared" ca="1" si="282"/>
        <v>0</v>
      </c>
      <c r="DW24" s="246">
        <f t="shared" ca="1" si="282"/>
        <v>0</v>
      </c>
      <c r="DX24" s="246">
        <f t="shared" ca="1" si="282"/>
        <v>0</v>
      </c>
      <c r="DY24" s="246">
        <f t="shared" ca="1" si="282"/>
        <v>0</v>
      </c>
      <c r="DZ24" s="246">
        <f t="shared" ca="1" si="282"/>
        <v>0</v>
      </c>
      <c r="EA24" s="246">
        <f t="shared" ca="1" si="282"/>
        <v>0</v>
      </c>
      <c r="EB24" s="246">
        <f t="shared" ca="1" si="282"/>
        <v>0</v>
      </c>
      <c r="EC24" s="246">
        <f t="shared" ca="1" si="282"/>
        <v>0</v>
      </c>
      <c r="ED24" s="246">
        <f t="shared" ca="1" si="282"/>
        <v>0</v>
      </c>
      <c r="EE24" s="246">
        <f t="shared" ca="1" si="282"/>
        <v>0</v>
      </c>
      <c r="EF24" s="246">
        <f t="shared" ca="1" si="282"/>
        <v>0</v>
      </c>
      <c r="EG24" s="246">
        <f t="shared" ca="1" si="282"/>
        <v>0</v>
      </c>
      <c r="EH24" s="246">
        <f t="shared" ca="1" si="282"/>
        <v>0</v>
      </c>
      <c r="EI24" s="246">
        <f t="shared" ca="1" si="282"/>
        <v>0</v>
      </c>
      <c r="EJ24" s="246">
        <f t="shared" ca="1" si="282"/>
        <v>0</v>
      </c>
      <c r="EK24" s="246">
        <f t="shared" ca="1" si="282"/>
        <v>0</v>
      </c>
      <c r="EL24" s="246">
        <f t="shared" ref="EL24:ET24" ca="1" si="283">SUM(EL19:EL23)</f>
        <v>0</v>
      </c>
      <c r="EM24" s="246">
        <f t="shared" ca="1" si="283"/>
        <v>0</v>
      </c>
      <c r="EN24" s="246">
        <f t="shared" ca="1" si="283"/>
        <v>0</v>
      </c>
      <c r="EO24" s="246">
        <f t="shared" ca="1" si="283"/>
        <v>0</v>
      </c>
      <c r="EP24" s="246">
        <f t="shared" ca="1" si="283"/>
        <v>0</v>
      </c>
      <c r="EQ24" s="246">
        <f t="shared" ca="1" si="283"/>
        <v>0</v>
      </c>
      <c r="ER24" s="246">
        <f t="shared" ca="1" si="283"/>
        <v>0</v>
      </c>
      <c r="ES24" s="246">
        <f t="shared" ca="1" si="283"/>
        <v>0</v>
      </c>
      <c r="ET24" s="246">
        <f t="shared" ca="1" si="283"/>
        <v>0</v>
      </c>
    </row>
    <row r="25" spans="2:150" x14ac:dyDescent="0.2">
      <c r="B25" s="83"/>
      <c r="C25" s="83"/>
      <c r="D25" s="100"/>
      <c r="E25" s="83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</row>
    <row r="26" spans="2:150" x14ac:dyDescent="0.2">
      <c r="B26" s="144" t="s">
        <v>287</v>
      </c>
      <c r="D26" s="247">
        <f ca="1">D17+D24</f>
        <v>-2.4098902940750122E-4</v>
      </c>
      <c r="F26" s="247">
        <f ca="1">F17+F24</f>
        <v>0</v>
      </c>
      <c r="G26" s="247">
        <f t="shared" ref="G26:BR26" ca="1" si="284">G17+G24</f>
        <v>-8.7311491370201111E-10</v>
      </c>
      <c r="H26" s="247">
        <f t="shared" ca="1" si="284"/>
        <v>-8.7311491370201111E-10</v>
      </c>
      <c r="I26" s="247">
        <f t="shared" ca="1" si="284"/>
        <v>-8.7311491370201111E-10</v>
      </c>
      <c r="J26" s="247">
        <f t="shared" ca="1" si="284"/>
        <v>-8.7311491370201111E-10</v>
      </c>
      <c r="K26" s="247">
        <f t="shared" ca="1" si="284"/>
        <v>-8.7311491370201111E-10</v>
      </c>
      <c r="L26" s="247">
        <f t="shared" ca="1" si="284"/>
        <v>-8.7311491370201111E-10</v>
      </c>
      <c r="M26" s="247">
        <f t="shared" ca="1" si="284"/>
        <v>-8.7311491370201111E-10</v>
      </c>
      <c r="N26" s="247">
        <f t="shared" ca="1" si="284"/>
        <v>-8.7311491370201111E-10</v>
      </c>
      <c r="O26" s="247">
        <f t="shared" ca="1" si="284"/>
        <v>-8.7311491370201111E-10</v>
      </c>
      <c r="P26" s="247">
        <f t="shared" ca="1" si="284"/>
        <v>-8.7311491370201111E-10</v>
      </c>
      <c r="Q26" s="247">
        <f t="shared" ca="1" si="284"/>
        <v>-8.7311491370201111E-10</v>
      </c>
      <c r="R26" s="247">
        <f t="shared" ca="1" si="284"/>
        <v>-8.7311491370201111E-10</v>
      </c>
      <c r="S26" s="247">
        <f t="shared" ca="1" si="284"/>
        <v>-8.7311491370201111E-10</v>
      </c>
      <c r="T26" s="247">
        <f t="shared" ca="1" si="284"/>
        <v>-8.7311491370201111E-10</v>
      </c>
      <c r="U26" s="247">
        <f t="shared" ca="1" si="284"/>
        <v>0</v>
      </c>
      <c r="V26" s="247">
        <f t="shared" ca="1" si="284"/>
        <v>0</v>
      </c>
      <c r="W26" s="247">
        <f t="shared" ca="1" si="284"/>
        <v>0</v>
      </c>
      <c r="X26" s="247">
        <f t="shared" ca="1" si="284"/>
        <v>-1.0710209608078003E-8</v>
      </c>
      <c r="Y26" s="247">
        <f t="shared" ca="1" si="284"/>
        <v>7.2177499532699585E-9</v>
      </c>
      <c r="Z26" s="247">
        <f t="shared" ca="1" si="284"/>
        <v>7.6834112405776978E-9</v>
      </c>
      <c r="AA26" s="247">
        <f t="shared" ca="1" si="284"/>
        <v>8.3819031715393066E-9</v>
      </c>
      <c r="AB26" s="247">
        <f t="shared" ca="1" si="284"/>
        <v>8.8475644588470459E-9</v>
      </c>
      <c r="AC26" s="247">
        <f t="shared" ca="1" si="284"/>
        <v>9.5460563898086548E-9</v>
      </c>
      <c r="AD26" s="247">
        <f t="shared" ca="1" si="284"/>
        <v>1.0011717677116394E-8</v>
      </c>
      <c r="AE26" s="247">
        <f t="shared" ca="1" si="284"/>
        <v>1.0477378964424133E-8</v>
      </c>
      <c r="AF26" s="247">
        <f t="shared" ca="1" si="284"/>
        <v>1.0943040251731873E-8</v>
      </c>
      <c r="AG26" s="247">
        <f t="shared" ca="1" si="284"/>
        <v>1.1641532182693481E-8</v>
      </c>
      <c r="AH26" s="247">
        <f t="shared" ca="1" si="284"/>
        <v>1.234002411365509E-8</v>
      </c>
      <c r="AI26" s="247">
        <f t="shared" ca="1" si="284"/>
        <v>1.257285475730896E-8</v>
      </c>
      <c r="AJ26" s="247">
        <f t="shared" ca="1" si="284"/>
        <v>1.3271346688270569E-8</v>
      </c>
      <c r="AK26" s="247">
        <f t="shared" ca="1" si="284"/>
        <v>1.3737007975578308E-8</v>
      </c>
      <c r="AL26" s="247">
        <f t="shared" ca="1" si="284"/>
        <v>1.3969838619232178E-8</v>
      </c>
      <c r="AM26" s="247">
        <f ca="1">AM17+AM24</f>
        <v>1.4435499906539917E-8</v>
      </c>
      <c r="AN26" s="247">
        <f ca="1">AN17+AN24</f>
        <v>1.4668330550193787E-8</v>
      </c>
      <c r="AO26" s="247">
        <f ca="1">AO17+AO24</f>
        <v>1.5104888007044792E-8</v>
      </c>
      <c r="AP26" s="247">
        <f t="shared" ca="1" si="284"/>
        <v>1.5294062905013561E-8</v>
      </c>
      <c r="AQ26" s="247">
        <f t="shared" ca="1" si="284"/>
        <v>1.5468685887753963E-8</v>
      </c>
      <c r="AR26" s="247">
        <f t="shared" ca="1" si="284"/>
        <v>1.5599653124809265E-8</v>
      </c>
      <c r="AS26" s="247">
        <f t="shared" ca="1" si="284"/>
        <v>1.5614205040037632E-8</v>
      </c>
      <c r="AT26" s="247">
        <f t="shared" ca="1" si="284"/>
        <v>1.5570549294352531E-8</v>
      </c>
      <c r="AU26" s="247">
        <f t="shared" ca="1" si="284"/>
        <v>1.5454133972525597E-8</v>
      </c>
      <c r="AV26" s="247">
        <f t="shared" ca="1" si="284"/>
        <v>1.5046680346131325E-8</v>
      </c>
      <c r="AW26" s="247">
        <f t="shared" ca="1" si="284"/>
        <v>1.4726538211107254E-8</v>
      </c>
      <c r="AX26" s="247">
        <f t="shared" ca="1" si="284"/>
        <v>1.4115357771515846E-8</v>
      </c>
      <c r="AY26" s="247">
        <f t="shared" ca="1" si="284"/>
        <v>1.3504177331924438E-8</v>
      </c>
      <c r="AZ26" s="247">
        <f t="shared" ca="1" si="284"/>
        <v>1.2718373909592628E-8</v>
      </c>
      <c r="BA26" s="247">
        <f t="shared" ca="1" si="284"/>
        <v>1.1626980267465115E-8</v>
      </c>
      <c r="BB26" s="247">
        <f t="shared" ca="1" si="284"/>
        <v>1.0564690455794334E-8</v>
      </c>
      <c r="BC26" s="247">
        <f t="shared" ca="1" si="284"/>
        <v>9.1386027634143829E-9</v>
      </c>
      <c r="BD26" s="247">
        <f t="shared" ca="1" si="284"/>
        <v>7.6543074101209641E-9</v>
      </c>
      <c r="BE26" s="247">
        <f t="shared" ca="1" si="284"/>
        <v>5.8789737522602081E-9</v>
      </c>
      <c r="BF26" s="247">
        <f t="shared" ca="1" si="284"/>
        <v>3.7834979593753815E-9</v>
      </c>
      <c r="BG26" s="247">
        <f t="shared" ca="1" si="284"/>
        <v>1.5133991837501526E-9</v>
      </c>
      <c r="BH26" s="247">
        <f t="shared" ca="1" si="284"/>
        <v>-9.6042640507221222E-10</v>
      </c>
      <c r="BI26" s="247">
        <f t="shared" ca="1" si="284"/>
        <v>-3.7834979593753815E-9</v>
      </c>
      <c r="BJ26" s="247">
        <f t="shared" ca="1" si="284"/>
        <v>-6.8685039877891541E-9</v>
      </c>
      <c r="BK26" s="247">
        <f t="shared" ca="1" si="284"/>
        <v>-1.0302755981683731E-8</v>
      </c>
      <c r="BL26" s="247">
        <f t="shared" ca="1" si="284"/>
        <v>-1.4057150110602379E-8</v>
      </c>
      <c r="BM26" s="247">
        <f t="shared" ca="1" si="284"/>
        <v>-1.7986167222261429E-8</v>
      </c>
      <c r="BN26" s="247">
        <f t="shared" ca="1" si="284"/>
        <v>-2.2642780095338821E-8</v>
      </c>
      <c r="BO26" s="247">
        <f t="shared" ca="1" si="284"/>
        <v>-2.7357600629329681E-8</v>
      </c>
      <c r="BP26" s="247">
        <f t="shared" ca="1" si="284"/>
        <v>-3.2508978620171547E-8</v>
      </c>
      <c r="BQ26" s="247">
        <f t="shared" ca="1" si="284"/>
        <v>-3.8096914067864418E-8</v>
      </c>
      <c r="BR26" s="247">
        <f t="shared" ca="1" si="284"/>
        <v>-4.4150510802865028E-8</v>
      </c>
      <c r="BS26" s="247">
        <f t="shared" ref="BS26:BZ26" ca="1" si="285">BS17+BS24</f>
        <v>-5.0582457333803177E-8</v>
      </c>
      <c r="BT26" s="247">
        <f t="shared" ca="1" si="285"/>
        <v>-5.7276338338851929E-8</v>
      </c>
      <c r="BU26" s="247">
        <f t="shared" ca="1" si="285"/>
        <v>-6.4726918935775757E-8</v>
      </c>
      <c r="BV26" s="247">
        <f t="shared" ca="1" si="285"/>
        <v>-7.2468537837266922E-8</v>
      </c>
      <c r="BW26" s="247">
        <f t="shared" ca="1" si="285"/>
        <v>-8.0559402704238892E-8</v>
      </c>
      <c r="BX26" s="247">
        <f t="shared" ca="1" si="285"/>
        <v>-8.9436070993542671E-8</v>
      </c>
      <c r="BY26" s="247">
        <f t="shared" ca="1" si="285"/>
        <v>-2.5318213738501072E-4</v>
      </c>
      <c r="BZ26" s="247">
        <f t="shared" ca="1" si="285"/>
        <v>0</v>
      </c>
      <c r="CA26" s="247">
        <f t="shared" ref="CA26:EL26" ca="1" si="286">CA17+CA24</f>
        <v>0</v>
      </c>
      <c r="CB26" s="247">
        <f t="shared" ca="1" si="286"/>
        <v>0</v>
      </c>
      <c r="CC26" s="247">
        <f t="shared" ca="1" si="286"/>
        <v>0</v>
      </c>
      <c r="CD26" s="247">
        <f t="shared" ca="1" si="286"/>
        <v>0</v>
      </c>
      <c r="CE26" s="247">
        <f t="shared" ca="1" si="286"/>
        <v>0</v>
      </c>
      <c r="CF26" s="247">
        <f t="shared" ca="1" si="286"/>
        <v>0</v>
      </c>
      <c r="CG26" s="247">
        <f t="shared" ca="1" si="286"/>
        <v>0</v>
      </c>
      <c r="CH26" s="247">
        <f t="shared" ca="1" si="286"/>
        <v>0</v>
      </c>
      <c r="CI26" s="247">
        <f t="shared" ca="1" si="286"/>
        <v>0</v>
      </c>
      <c r="CJ26" s="247">
        <f t="shared" ca="1" si="286"/>
        <v>0</v>
      </c>
      <c r="CK26" s="247">
        <f t="shared" ca="1" si="286"/>
        <v>0</v>
      </c>
      <c r="CL26" s="247">
        <f t="shared" ca="1" si="286"/>
        <v>0</v>
      </c>
      <c r="CM26" s="247">
        <f t="shared" ca="1" si="286"/>
        <v>0</v>
      </c>
      <c r="CN26" s="247">
        <f t="shared" ca="1" si="286"/>
        <v>0</v>
      </c>
      <c r="CO26" s="247">
        <f t="shared" ca="1" si="286"/>
        <v>0</v>
      </c>
      <c r="CP26" s="247">
        <f t="shared" ca="1" si="286"/>
        <v>0</v>
      </c>
      <c r="CQ26" s="247">
        <f t="shared" ca="1" si="286"/>
        <v>0</v>
      </c>
      <c r="CR26" s="247">
        <f t="shared" ca="1" si="286"/>
        <v>0</v>
      </c>
      <c r="CS26" s="247">
        <f t="shared" ca="1" si="286"/>
        <v>0</v>
      </c>
      <c r="CT26" s="247">
        <f t="shared" ca="1" si="286"/>
        <v>0</v>
      </c>
      <c r="CU26" s="247">
        <f t="shared" ca="1" si="286"/>
        <v>0</v>
      </c>
      <c r="CV26" s="247">
        <f t="shared" ca="1" si="286"/>
        <v>0</v>
      </c>
      <c r="CW26" s="247">
        <f t="shared" ca="1" si="286"/>
        <v>0</v>
      </c>
      <c r="CX26" s="247">
        <f t="shared" ca="1" si="286"/>
        <v>0</v>
      </c>
      <c r="CY26" s="247">
        <f t="shared" ca="1" si="286"/>
        <v>0</v>
      </c>
      <c r="CZ26" s="247">
        <f t="shared" ca="1" si="286"/>
        <v>0</v>
      </c>
      <c r="DA26" s="247">
        <f t="shared" ca="1" si="286"/>
        <v>0</v>
      </c>
      <c r="DB26" s="247">
        <f t="shared" ca="1" si="286"/>
        <v>0</v>
      </c>
      <c r="DC26" s="247">
        <f t="shared" ca="1" si="286"/>
        <v>0</v>
      </c>
      <c r="DD26" s="247">
        <f t="shared" ca="1" si="286"/>
        <v>0</v>
      </c>
      <c r="DE26" s="247">
        <f t="shared" ca="1" si="286"/>
        <v>0</v>
      </c>
      <c r="DF26" s="247">
        <f t="shared" ca="1" si="286"/>
        <v>0</v>
      </c>
      <c r="DG26" s="247">
        <f t="shared" ca="1" si="286"/>
        <v>0</v>
      </c>
      <c r="DH26" s="247">
        <f t="shared" ca="1" si="286"/>
        <v>0</v>
      </c>
      <c r="DI26" s="247">
        <f t="shared" ca="1" si="286"/>
        <v>0</v>
      </c>
      <c r="DJ26" s="247">
        <f t="shared" ca="1" si="286"/>
        <v>0</v>
      </c>
      <c r="DK26" s="247">
        <f t="shared" ca="1" si="286"/>
        <v>0</v>
      </c>
      <c r="DL26" s="247">
        <f t="shared" ca="1" si="286"/>
        <v>0</v>
      </c>
      <c r="DM26" s="247">
        <f t="shared" ca="1" si="286"/>
        <v>0</v>
      </c>
      <c r="DN26" s="247">
        <f t="shared" ca="1" si="286"/>
        <v>0</v>
      </c>
      <c r="DO26" s="247">
        <f t="shared" ca="1" si="286"/>
        <v>0</v>
      </c>
      <c r="DP26" s="247">
        <f t="shared" ca="1" si="286"/>
        <v>0</v>
      </c>
      <c r="DQ26" s="247">
        <f t="shared" ca="1" si="286"/>
        <v>0</v>
      </c>
      <c r="DR26" s="247">
        <f t="shared" ca="1" si="286"/>
        <v>0</v>
      </c>
      <c r="DS26" s="247">
        <f t="shared" ca="1" si="286"/>
        <v>0</v>
      </c>
      <c r="DT26" s="247">
        <f t="shared" ca="1" si="286"/>
        <v>0</v>
      </c>
      <c r="DU26" s="247">
        <f t="shared" ca="1" si="286"/>
        <v>0</v>
      </c>
      <c r="DV26" s="247">
        <f t="shared" ca="1" si="286"/>
        <v>0</v>
      </c>
      <c r="DW26" s="247">
        <f t="shared" ca="1" si="286"/>
        <v>0</v>
      </c>
      <c r="DX26" s="247">
        <f t="shared" ca="1" si="286"/>
        <v>0</v>
      </c>
      <c r="DY26" s="247">
        <f t="shared" ca="1" si="286"/>
        <v>0</v>
      </c>
      <c r="DZ26" s="247">
        <f t="shared" ca="1" si="286"/>
        <v>0</v>
      </c>
      <c r="EA26" s="247">
        <f t="shared" ca="1" si="286"/>
        <v>0</v>
      </c>
      <c r="EB26" s="247">
        <f t="shared" ca="1" si="286"/>
        <v>0</v>
      </c>
      <c r="EC26" s="247">
        <f t="shared" ca="1" si="286"/>
        <v>0</v>
      </c>
      <c r="ED26" s="247">
        <f t="shared" ca="1" si="286"/>
        <v>0</v>
      </c>
      <c r="EE26" s="247">
        <f t="shared" ca="1" si="286"/>
        <v>0</v>
      </c>
      <c r="EF26" s="247">
        <f t="shared" ca="1" si="286"/>
        <v>0</v>
      </c>
      <c r="EG26" s="247">
        <f t="shared" ca="1" si="286"/>
        <v>0</v>
      </c>
      <c r="EH26" s="247">
        <f t="shared" ca="1" si="286"/>
        <v>0</v>
      </c>
      <c r="EI26" s="247">
        <f t="shared" ca="1" si="286"/>
        <v>0</v>
      </c>
      <c r="EJ26" s="247">
        <f t="shared" ca="1" si="286"/>
        <v>0</v>
      </c>
      <c r="EK26" s="247">
        <f t="shared" ca="1" si="286"/>
        <v>0</v>
      </c>
      <c r="EL26" s="247">
        <f t="shared" ca="1" si="286"/>
        <v>0</v>
      </c>
      <c r="EM26" s="247">
        <f t="shared" ref="EM26:ET26" ca="1" si="287">EM17+EM24</f>
        <v>0</v>
      </c>
      <c r="EN26" s="247">
        <f t="shared" ca="1" si="287"/>
        <v>0</v>
      </c>
      <c r="EO26" s="247">
        <f t="shared" ca="1" si="287"/>
        <v>0</v>
      </c>
      <c r="EP26" s="247">
        <f t="shared" ca="1" si="287"/>
        <v>0</v>
      </c>
      <c r="EQ26" s="247">
        <f t="shared" ca="1" si="287"/>
        <v>0</v>
      </c>
      <c r="ER26" s="247">
        <f t="shared" ca="1" si="287"/>
        <v>0</v>
      </c>
      <c r="ES26" s="247">
        <f t="shared" ca="1" si="287"/>
        <v>0</v>
      </c>
      <c r="ET26" s="247">
        <f t="shared" ca="1" si="287"/>
        <v>0</v>
      </c>
    </row>
    <row r="27" spans="2:150" s="95" customFormat="1" ht="16" thickBot="1" x14ac:dyDescent="0.25">
      <c r="D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</row>
    <row r="28" spans="2:150" x14ac:dyDescent="0.2"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</row>
    <row r="29" spans="2:150" x14ac:dyDescent="0.2">
      <c r="B29" s="83" t="s">
        <v>139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</row>
    <row r="30" spans="2:150" x14ac:dyDescent="0.2">
      <c r="B30" s="4" t="s">
        <v>140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</row>
    <row r="31" spans="2:150" x14ac:dyDescent="0.2">
      <c r="B31" t="s">
        <v>142</v>
      </c>
      <c r="F31" s="7">
        <f>E31+F32</f>
        <v>0</v>
      </c>
      <c r="G31" s="7">
        <f t="shared" ref="G31:R31" si="288">F31+G32</f>
        <v>0</v>
      </c>
      <c r="H31" s="7">
        <f t="shared" si="288"/>
        <v>0</v>
      </c>
      <c r="I31" s="7">
        <f t="shared" si="288"/>
        <v>0</v>
      </c>
      <c r="J31" s="7">
        <f t="shared" si="288"/>
        <v>0</v>
      </c>
      <c r="K31" s="7">
        <f t="shared" si="288"/>
        <v>0</v>
      </c>
      <c r="L31" s="7">
        <f t="shared" si="288"/>
        <v>0</v>
      </c>
      <c r="M31" s="7">
        <f t="shared" si="288"/>
        <v>0</v>
      </c>
      <c r="N31" s="7">
        <f t="shared" si="288"/>
        <v>0</v>
      </c>
      <c r="O31" s="7">
        <f t="shared" si="288"/>
        <v>0</v>
      </c>
      <c r="P31" s="7">
        <f t="shared" si="288"/>
        <v>0</v>
      </c>
      <c r="Q31" s="7">
        <f t="shared" si="288"/>
        <v>0</v>
      </c>
      <c r="R31" s="7">
        <f t="shared" si="288"/>
        <v>0</v>
      </c>
      <c r="S31" s="7">
        <f t="shared" ref="S31" si="289">R31+S32</f>
        <v>0</v>
      </c>
      <c r="T31" s="7">
        <f t="shared" ref="T31" si="290">S31+T32</f>
        <v>0</v>
      </c>
      <c r="U31" s="7">
        <f t="shared" ref="U31" si="291">T31+U32</f>
        <v>0</v>
      </c>
      <c r="V31" s="7">
        <f t="shared" ref="V31" si="292">U31+V32</f>
        <v>0</v>
      </c>
      <c r="W31" s="7">
        <f t="shared" ref="W31" si="293">V31+W32</f>
        <v>0</v>
      </c>
      <c r="X31" s="7">
        <f t="shared" ref="X31" si="294">W31+X32</f>
        <v>0</v>
      </c>
      <c r="Y31" s="7">
        <f t="shared" ref="Y31" si="295">X31+Y32</f>
        <v>0</v>
      </c>
      <c r="Z31" s="7">
        <f t="shared" ref="Z31" si="296">Y31+Z32</f>
        <v>0</v>
      </c>
      <c r="AA31" s="7">
        <f t="shared" ref="AA31" si="297">Z31+AA32</f>
        <v>0</v>
      </c>
      <c r="AB31" s="7">
        <f t="shared" ref="AB31" si="298">AA31+AB32</f>
        <v>0</v>
      </c>
      <c r="AC31" s="7">
        <f t="shared" ref="AC31" si="299">AB31+AC32</f>
        <v>0</v>
      </c>
      <c r="AD31" s="7">
        <f t="shared" ref="AD31" si="300">AC31+AD32</f>
        <v>0</v>
      </c>
      <c r="AE31" s="7">
        <f t="shared" ref="AE31" si="301">AD31+AE32</f>
        <v>0</v>
      </c>
      <c r="AF31" s="7">
        <f t="shared" ref="AF31" si="302">AE31+AF32</f>
        <v>0</v>
      </c>
      <c r="AG31" s="7">
        <f t="shared" ref="AG31" si="303">AF31+AG32</f>
        <v>0</v>
      </c>
      <c r="AH31" s="7">
        <f t="shared" ref="AH31" si="304">AG31+AH32</f>
        <v>0</v>
      </c>
      <c r="AI31" s="7">
        <f t="shared" ref="AI31" si="305">AH31+AI32</f>
        <v>0</v>
      </c>
      <c r="AJ31" s="7">
        <f t="shared" ref="AJ31" si="306">AI31+AJ32</f>
        <v>0</v>
      </c>
      <c r="AK31" s="7">
        <f t="shared" ref="AK31" si="307">AJ31+AK32</f>
        <v>0</v>
      </c>
      <c r="AL31" s="7">
        <f t="shared" ref="AL31" si="308">AK31+AL32</f>
        <v>0</v>
      </c>
      <c r="AM31" s="7">
        <f t="shared" ref="AM31" si="309">AL31+AM32</f>
        <v>0</v>
      </c>
      <c r="AN31" s="7">
        <f t="shared" ref="AN31" si="310">AM31+AN32</f>
        <v>0</v>
      </c>
      <c r="AO31" s="7">
        <f t="shared" ref="AO31" si="311">AN31+AO32</f>
        <v>0.35</v>
      </c>
      <c r="AP31" s="7">
        <f t="shared" ref="AP31" si="312">AO31+AP32</f>
        <v>0.44999999999999996</v>
      </c>
      <c r="AQ31" s="7">
        <f t="shared" ref="AQ31" si="313">AP31+AQ32</f>
        <v>0.54999999999999993</v>
      </c>
      <c r="AR31" s="7">
        <f t="shared" ref="AR31" si="314">AQ31+AR32</f>
        <v>0.64999999999999991</v>
      </c>
      <c r="AS31" s="7">
        <f t="shared" ref="AS31" si="315">AR31+AS32</f>
        <v>0.74999999999999989</v>
      </c>
      <c r="AT31" s="7">
        <f t="shared" ref="AT31" si="316">AS31+AT32</f>
        <v>0.84999999999999987</v>
      </c>
      <c r="AU31" s="7">
        <f t="shared" ref="AU31" si="317">AT31+AU32</f>
        <v>0.94999999999999984</v>
      </c>
      <c r="AV31" s="7">
        <f t="shared" ref="AV31:AW31" si="318">AU31+AV32</f>
        <v>0.95</v>
      </c>
      <c r="AW31" s="7">
        <f t="shared" si="318"/>
        <v>0.95</v>
      </c>
      <c r="AX31" s="7">
        <f t="shared" ref="AX31" si="319">AW31+AX32</f>
        <v>0.95</v>
      </c>
      <c r="AY31" s="7">
        <f t="shared" ref="AY31" si="320">AX31+AY32</f>
        <v>0.95</v>
      </c>
      <c r="AZ31" s="7">
        <f t="shared" ref="AZ31" si="321">AY31+AZ32</f>
        <v>0.95</v>
      </c>
      <c r="BA31" s="7">
        <f t="shared" ref="BA31" si="322">AZ31+BA32</f>
        <v>0.95</v>
      </c>
      <c r="BB31" s="7">
        <f t="shared" ref="BB31" si="323">BA31+BB32</f>
        <v>0.95</v>
      </c>
      <c r="BC31" s="7">
        <f t="shared" ref="BC31" si="324">BB31+BC32</f>
        <v>0.95</v>
      </c>
      <c r="BD31" s="7">
        <f t="shared" ref="BD31" si="325">BC31+BD32</f>
        <v>0.95</v>
      </c>
      <c r="BE31" s="7">
        <f t="shared" ref="BE31" si="326">BD31+BE32</f>
        <v>0.95</v>
      </c>
      <c r="BF31" s="7">
        <f t="shared" ref="BF31" si="327">BE31+BF32</f>
        <v>0.95</v>
      </c>
      <c r="BG31" s="7">
        <f t="shared" ref="BG31" si="328">BF31+BG32</f>
        <v>0.95</v>
      </c>
      <c r="BH31" s="7">
        <f t="shared" ref="BH31" si="329">BG31+BH32</f>
        <v>0.95</v>
      </c>
      <c r="BI31" s="7">
        <f t="shared" ref="BI31" si="330">BH31+BI32</f>
        <v>0.95</v>
      </c>
      <c r="BJ31" s="7">
        <f t="shared" ref="BJ31" si="331">BI31+BJ32</f>
        <v>0.95</v>
      </c>
      <c r="BK31" s="7">
        <f t="shared" ref="BK31" si="332">BJ31+BK32</f>
        <v>0.95</v>
      </c>
      <c r="BL31" s="7">
        <f t="shared" ref="BL31" si="333">BK31+BL32</f>
        <v>0.95</v>
      </c>
      <c r="BM31" s="7">
        <f t="shared" ref="BM31" si="334">BL31+BM32</f>
        <v>0.95</v>
      </c>
      <c r="BN31" s="7">
        <f t="shared" ref="BN31" si="335">BM31+BN32</f>
        <v>0.95</v>
      </c>
      <c r="BO31" s="7">
        <f t="shared" ref="BO31" si="336">BN31+BO32</f>
        <v>0.95</v>
      </c>
      <c r="BP31" s="7">
        <f t="shared" ref="BP31" si="337">BO31+BP32</f>
        <v>0.95</v>
      </c>
      <c r="BQ31" s="7">
        <f t="shared" ref="BQ31" si="338">BP31+BQ32</f>
        <v>0.95</v>
      </c>
      <c r="BR31" s="7">
        <f t="shared" ref="BR31" si="339">BQ31+BR32</f>
        <v>0.95</v>
      </c>
      <c r="BS31" s="7">
        <f t="shared" ref="BS31" si="340">BR31+BS32</f>
        <v>0.95</v>
      </c>
      <c r="BT31" s="7">
        <f t="shared" ref="BT31" si="341">BS31+BT32</f>
        <v>0.95</v>
      </c>
      <c r="BU31" s="7">
        <f t="shared" ref="BU31" si="342">BT31+BU32</f>
        <v>0.95</v>
      </c>
      <c r="BV31" s="7">
        <f t="shared" ref="BV31" si="343">BU31+BV32</f>
        <v>0.95</v>
      </c>
      <c r="BW31" s="7">
        <f t="shared" ref="BW31" si="344">BV31+BW32</f>
        <v>0.95</v>
      </c>
      <c r="BX31" s="7">
        <f t="shared" ref="BX31" si="345">BW31+BX32</f>
        <v>0.95</v>
      </c>
      <c r="BY31" s="7">
        <f t="shared" ref="BY31" si="346">BX31+BY32</f>
        <v>0.95</v>
      </c>
      <c r="BZ31" s="7">
        <f t="shared" ref="BZ31" si="347">BY31+BZ32</f>
        <v>0.95</v>
      </c>
      <c r="CA31" s="7">
        <f t="shared" ref="CA31" si="348">BZ31+CA32</f>
        <v>0.95</v>
      </c>
      <c r="CB31" s="7">
        <f t="shared" ref="CB31" si="349">CA31+CB32</f>
        <v>0.95</v>
      </c>
      <c r="CC31" s="7">
        <f t="shared" ref="CC31" si="350">CB31+CC32</f>
        <v>0.95</v>
      </c>
      <c r="CD31" s="7">
        <f t="shared" ref="CD31" si="351">CC31+CD32</f>
        <v>0.95</v>
      </c>
      <c r="CE31" s="7">
        <f t="shared" ref="CE31" si="352">CD31+CE32</f>
        <v>0.95</v>
      </c>
      <c r="CF31" s="7">
        <f t="shared" ref="CF31" si="353">CE31+CF32</f>
        <v>0.95</v>
      </c>
      <c r="CG31" s="7">
        <f t="shared" ref="CG31" si="354">CF31+CG32</f>
        <v>0.95</v>
      </c>
      <c r="CH31" s="7">
        <f t="shared" ref="CH31" si="355">CG31+CH32</f>
        <v>0.95</v>
      </c>
      <c r="CI31" s="7">
        <f t="shared" ref="CI31" si="356">CH31+CI32</f>
        <v>0.95</v>
      </c>
      <c r="CJ31" s="7">
        <f t="shared" ref="CJ31" si="357">CI31+CJ32</f>
        <v>0.95</v>
      </c>
      <c r="CK31" s="7">
        <f t="shared" ref="CK31" si="358">CJ31+CK32</f>
        <v>0.95</v>
      </c>
      <c r="CL31" s="7">
        <f t="shared" ref="CL31" si="359">CK31+CL32</f>
        <v>0.95</v>
      </c>
      <c r="CM31" s="7">
        <f t="shared" ref="CM31" si="360">CL31+CM32</f>
        <v>0.95</v>
      </c>
      <c r="CN31" s="7">
        <f t="shared" ref="CN31" si="361">CM31+CN32</f>
        <v>0.95</v>
      </c>
      <c r="CO31" s="7">
        <f t="shared" ref="CO31" si="362">CN31+CO32</f>
        <v>0.95</v>
      </c>
      <c r="CP31" s="7">
        <f t="shared" ref="CP31" si="363">CO31+CP32</f>
        <v>0.95</v>
      </c>
      <c r="CQ31" s="7">
        <f t="shared" ref="CQ31" si="364">CP31+CQ32</f>
        <v>0.95</v>
      </c>
      <c r="CR31" s="7">
        <f t="shared" ref="CR31" si="365">CQ31+CR32</f>
        <v>0.95</v>
      </c>
      <c r="CS31" s="7">
        <f t="shared" ref="CS31" si="366">CR31+CS32</f>
        <v>0.95</v>
      </c>
      <c r="CT31" s="7">
        <f t="shared" ref="CT31" si="367">CS31+CT32</f>
        <v>0.95</v>
      </c>
      <c r="CU31" s="7">
        <f t="shared" ref="CU31" si="368">CT31+CU32</f>
        <v>0.95</v>
      </c>
      <c r="CV31" s="7">
        <f t="shared" ref="CV31" si="369">CU31+CV32</f>
        <v>0.95</v>
      </c>
      <c r="CW31" s="7">
        <f t="shared" ref="CW31" si="370">CV31+CW32</f>
        <v>0.95</v>
      </c>
      <c r="CX31" s="7">
        <f t="shared" ref="CX31" si="371">CW31+CX32</f>
        <v>0.95</v>
      </c>
      <c r="CY31" s="7">
        <f t="shared" ref="CY31" si="372">CX31+CY32</f>
        <v>0.95</v>
      </c>
      <c r="CZ31" s="7">
        <f t="shared" ref="CZ31" si="373">CY31+CZ32</f>
        <v>0.95</v>
      </c>
      <c r="DA31" s="7">
        <f t="shared" ref="DA31" si="374">CZ31+DA32</f>
        <v>0.95</v>
      </c>
      <c r="DB31" s="7">
        <f t="shared" ref="DB31" si="375">DA31+DB32</f>
        <v>0.95</v>
      </c>
      <c r="DC31" s="7">
        <f t="shared" ref="DC31" si="376">DB31+DC32</f>
        <v>0.95</v>
      </c>
      <c r="DD31" s="7">
        <f t="shared" ref="DD31" si="377">DC31+DD32</f>
        <v>0.95</v>
      </c>
      <c r="DE31" s="7">
        <f t="shared" ref="DE31" si="378">DD31+DE32</f>
        <v>0.95</v>
      </c>
      <c r="DF31" s="7">
        <f t="shared" ref="DF31" si="379">DE31+DF32</f>
        <v>0.95</v>
      </c>
      <c r="DG31" s="7">
        <f t="shared" ref="DG31" si="380">DF31+DG32</f>
        <v>0.95</v>
      </c>
      <c r="DH31" s="7">
        <f t="shared" ref="DH31" si="381">DG31+DH32</f>
        <v>0.95</v>
      </c>
      <c r="DI31" s="7">
        <f t="shared" ref="DI31" si="382">DH31+DI32</f>
        <v>0.95</v>
      </c>
      <c r="DJ31" s="7">
        <f t="shared" ref="DJ31" si="383">DI31+DJ32</f>
        <v>0.95</v>
      </c>
      <c r="DK31" s="7">
        <f t="shared" ref="DK31" si="384">DJ31+DK32</f>
        <v>0.95</v>
      </c>
      <c r="DL31" s="7">
        <f t="shared" ref="DL31" si="385">DK31+DL32</f>
        <v>0.95</v>
      </c>
      <c r="DM31" s="7">
        <f t="shared" ref="DM31" si="386">DL31+DM32</f>
        <v>0.95</v>
      </c>
      <c r="DN31" s="7">
        <f t="shared" ref="DN31" si="387">DM31+DN32</f>
        <v>0.95</v>
      </c>
      <c r="DO31" s="7">
        <f t="shared" ref="DO31" si="388">DN31+DO32</f>
        <v>0.95</v>
      </c>
      <c r="DP31" s="7">
        <f t="shared" ref="DP31" si="389">DO31+DP32</f>
        <v>0.95</v>
      </c>
      <c r="DQ31" s="7">
        <f t="shared" ref="DQ31" si="390">DP31+DQ32</f>
        <v>0.95</v>
      </c>
      <c r="DR31" s="7">
        <f t="shared" ref="DR31" si="391">DQ31+DR32</f>
        <v>0.95</v>
      </c>
      <c r="DS31" s="7">
        <f t="shared" ref="DS31" si="392">DR31+DS32</f>
        <v>0.95</v>
      </c>
      <c r="DT31" s="7">
        <f t="shared" ref="DT31" si="393">DS31+DT32</f>
        <v>0.95</v>
      </c>
      <c r="DU31" s="7">
        <f t="shared" ref="DU31" si="394">DT31+DU32</f>
        <v>0.95</v>
      </c>
      <c r="DV31" s="7">
        <f t="shared" ref="DV31" si="395">DU31+DV32</f>
        <v>0.95</v>
      </c>
      <c r="DW31" s="7">
        <f t="shared" ref="DW31" si="396">DV31+DW32</f>
        <v>0.95</v>
      </c>
      <c r="DX31" s="7">
        <f t="shared" ref="DX31" si="397">DW31+DX32</f>
        <v>0.95</v>
      </c>
      <c r="DY31" s="7">
        <f t="shared" ref="DY31" si="398">DX31+DY32</f>
        <v>0.95</v>
      </c>
      <c r="DZ31" s="7">
        <f t="shared" ref="DZ31" si="399">DY31+DZ32</f>
        <v>0.95</v>
      </c>
      <c r="EA31" s="7">
        <f t="shared" ref="EA31" si="400">DZ31+EA32</f>
        <v>0.95</v>
      </c>
      <c r="EB31" s="7">
        <f t="shared" ref="EB31" si="401">EA31+EB32</f>
        <v>0.95</v>
      </c>
      <c r="EC31" s="7">
        <f t="shared" ref="EC31" si="402">EB31+EC32</f>
        <v>0.95</v>
      </c>
      <c r="ED31" s="7">
        <f t="shared" ref="ED31" si="403">EC31+ED32</f>
        <v>0.95</v>
      </c>
      <c r="EE31" s="7">
        <f t="shared" ref="EE31" si="404">ED31+EE32</f>
        <v>0.95</v>
      </c>
      <c r="EF31" s="7">
        <f t="shared" ref="EF31" si="405">EE31+EF32</f>
        <v>0.95</v>
      </c>
      <c r="EG31" s="7">
        <f t="shared" ref="EG31" si="406">EF31+EG32</f>
        <v>0.95</v>
      </c>
      <c r="EH31" s="7">
        <f t="shared" ref="EH31" si="407">EG31+EH32</f>
        <v>0.95</v>
      </c>
      <c r="EI31" s="7">
        <f t="shared" ref="EI31" si="408">EH31+EI32</f>
        <v>0.95</v>
      </c>
      <c r="EJ31" s="7">
        <f t="shared" ref="EJ31" si="409">EI31+EJ32</f>
        <v>0.95</v>
      </c>
      <c r="EK31" s="7">
        <f t="shared" ref="EK31" si="410">EJ31+EK32</f>
        <v>0.95</v>
      </c>
      <c r="EL31" s="7">
        <f t="shared" ref="EL31" si="411">EK31+EL32</f>
        <v>0.95</v>
      </c>
      <c r="EM31" s="7">
        <f t="shared" ref="EM31" si="412">EL31+EM32</f>
        <v>0.95</v>
      </c>
      <c r="EN31" s="7">
        <f t="shared" ref="EN31" si="413">EM31+EN32</f>
        <v>0.95</v>
      </c>
      <c r="EO31" s="7">
        <f t="shared" ref="EO31" si="414">EN31+EO32</f>
        <v>0.95</v>
      </c>
      <c r="EP31" s="7">
        <f t="shared" ref="EP31" si="415">EO31+EP32</f>
        <v>0.95</v>
      </c>
      <c r="EQ31" s="7">
        <f t="shared" ref="EQ31" si="416">EP31+EQ32</f>
        <v>0.95</v>
      </c>
      <c r="ER31" s="7">
        <f t="shared" ref="ER31" si="417">EQ31+ER32</f>
        <v>0.95</v>
      </c>
      <c r="ES31" s="7">
        <f t="shared" ref="ES31" si="418">ER31+ES32</f>
        <v>0.95</v>
      </c>
      <c r="ET31" s="7">
        <f t="shared" ref="ET31" si="419">ES31+ET32</f>
        <v>0.95</v>
      </c>
    </row>
    <row r="32" spans="2:150" x14ac:dyDescent="0.2">
      <c r="B32" t="s">
        <v>141</v>
      </c>
      <c r="F32" s="7">
        <f>IF(F$6=Assumptions!$F$38,Assumptions!$K$17,IF(F$6&gt;Assumptions!$F$38,MIN(Assumptions!$K$18,Assumptions!$K$19-SUM($E$32:E32)),0))</f>
        <v>0</v>
      </c>
      <c r="G32" s="7">
        <f>IF(G$6=Assumptions!$F$38,Assumptions!$K$17,IF(G$6&gt;Assumptions!$F$38,MIN(Assumptions!$K$18,Assumptions!$K$19-SUM($E$32:F32)),0))</f>
        <v>0</v>
      </c>
      <c r="H32" s="7">
        <f>IF(H$6=Assumptions!$F$38,Assumptions!$K$17,IF(H$6&gt;Assumptions!$F$38,MIN(Assumptions!$K$18,Assumptions!$K$19-SUM($E$32:G32)),0))</f>
        <v>0</v>
      </c>
      <c r="I32" s="7">
        <f>IF(I$6=Assumptions!$F$38,Assumptions!$K$17,IF(I$6&gt;Assumptions!$F$38,MIN(Assumptions!$K$18,Assumptions!$K$19-SUM($E$32:H32)),0))</f>
        <v>0</v>
      </c>
      <c r="J32" s="7">
        <f>IF(J$6=Assumptions!$F$38,Assumptions!$K$17,IF(J$6&gt;Assumptions!$F$38,MIN(Assumptions!$K$18,Assumptions!$K$19-SUM($E$32:I32)),0))</f>
        <v>0</v>
      </c>
      <c r="K32" s="7">
        <f>IF(K$6=Assumptions!$F$38,Assumptions!$K$17,IF(K$6&gt;Assumptions!$F$38,MIN(Assumptions!$K$18,Assumptions!$K$19-SUM($E$32:J32)),0))</f>
        <v>0</v>
      </c>
      <c r="L32" s="7">
        <f>IF(L$6=Assumptions!$F$38,Assumptions!$K$17,IF(L$6&gt;Assumptions!$F$38,MIN(Assumptions!$K$18,Assumptions!$K$19-SUM($E$32:K32)),0))</f>
        <v>0</v>
      </c>
      <c r="M32" s="7">
        <f>IF(M$6=Assumptions!$F$38,Assumptions!$K$17,IF(M$6&gt;Assumptions!$F$38,MIN(Assumptions!$K$18,Assumptions!$K$19-SUM($E$32:L32)),0))</f>
        <v>0</v>
      </c>
      <c r="N32" s="7">
        <f>IF(N$6=Assumptions!$F$38,Assumptions!$K$17,IF(N$6&gt;Assumptions!$F$38,MIN(Assumptions!$K$18,Assumptions!$K$19-SUM($E$32:M32)),0))</f>
        <v>0</v>
      </c>
      <c r="O32" s="7">
        <f>IF(O$6=Assumptions!$F$38,Assumptions!$K$17,IF(O$6&gt;Assumptions!$F$38,MIN(Assumptions!$K$18,Assumptions!$K$19-SUM($E$32:N32)),0))</f>
        <v>0</v>
      </c>
      <c r="P32" s="7">
        <f>IF(P$6=Assumptions!$F$38,Assumptions!$K$17,IF(P$6&gt;Assumptions!$F$38,MIN(Assumptions!$K$18,Assumptions!$K$19-SUM($E$32:O32)),0))</f>
        <v>0</v>
      </c>
      <c r="Q32" s="7">
        <f>IF(Q$6=Assumptions!$F$38,Assumptions!$K$17,IF(Q$6&gt;Assumptions!$F$38,MIN(Assumptions!$K$18,Assumptions!$K$19-SUM($E$32:P32)),0))</f>
        <v>0</v>
      </c>
      <c r="R32" s="7">
        <f>IF(R$6=Assumptions!$F$38,Assumptions!$K$17,IF(R$6&gt;Assumptions!$F$38,MIN(Assumptions!$K$18,Assumptions!$K$19-SUM($E$32:Q32)),0))</f>
        <v>0</v>
      </c>
      <c r="S32" s="7">
        <f>IF(S$6=Assumptions!$F$38,Assumptions!$K$17,IF(S$6&gt;Assumptions!$F$38,MIN(Assumptions!$K$18,Assumptions!$K$19-SUM($E$32:R32)),0))</f>
        <v>0</v>
      </c>
      <c r="T32" s="7">
        <f>IF(T$6=Assumptions!$F$38,Assumptions!$K$17,IF(T$6&gt;Assumptions!$F$38,MIN(Assumptions!$K$18,Assumptions!$K$19-SUM($E$32:S32)),0))</f>
        <v>0</v>
      </c>
      <c r="U32" s="7">
        <f>IF(U$6=Assumptions!$F$38,Assumptions!$K$17,IF(U$6&gt;Assumptions!$F$38,MIN(Assumptions!$K$18,Assumptions!$K$19-SUM($E$32:T32)),0))</f>
        <v>0</v>
      </c>
      <c r="V32" s="7">
        <f>IF(V$6=Assumptions!$F$38,Assumptions!$K$17,IF(V$6&gt;Assumptions!$F$38,MIN(Assumptions!$K$18,Assumptions!$K$19-SUM($E$32:U32)),0))</f>
        <v>0</v>
      </c>
      <c r="W32" s="7">
        <f>IF(W$6=Assumptions!$F$38,Assumptions!$K$17,IF(W$6&gt;Assumptions!$F$38,MIN(Assumptions!$K$18,Assumptions!$K$19-SUM($E$32:V32)),0))</f>
        <v>0</v>
      </c>
      <c r="X32" s="7">
        <f>IF(X$6=Assumptions!$F$38,Assumptions!$K$17,IF(X$6&gt;Assumptions!$F$38,MIN(Assumptions!$K$18,Assumptions!$K$19-SUM($E$32:W32)),0))</f>
        <v>0</v>
      </c>
      <c r="Y32" s="7">
        <f>IF(Y$6=Assumptions!$F$38,Assumptions!$K$17,IF(Y$6&gt;Assumptions!$F$38,MIN(Assumptions!$K$18,Assumptions!$K$19-SUM($E$32:X32)),0))</f>
        <v>0</v>
      </c>
      <c r="Z32" s="7">
        <f>IF(Z$6=Assumptions!$F$38,Assumptions!$K$17,IF(Z$6&gt;Assumptions!$F$38,MIN(Assumptions!$K$18,Assumptions!$K$19-SUM($E$32:Y32)),0))</f>
        <v>0</v>
      </c>
      <c r="AA32" s="7">
        <f>IF(AA$6=Assumptions!$F$38,Assumptions!$K$17,IF(AA$6&gt;Assumptions!$F$38,MIN(Assumptions!$K$18,Assumptions!$K$19-SUM($E$32:Z32)),0))</f>
        <v>0</v>
      </c>
      <c r="AB32" s="7">
        <f>IF(AB$6=Assumptions!$F$38,Assumptions!$K$17,IF(AB$6&gt;Assumptions!$F$38,MIN(Assumptions!$K$18,Assumptions!$K$19-SUM($E$32:AA32)),0))</f>
        <v>0</v>
      </c>
      <c r="AC32" s="7">
        <f>IF(AC$6=Assumptions!$F$38,Assumptions!$K$17,IF(AC$6&gt;Assumptions!$F$38,MIN(Assumptions!$K$18,Assumptions!$K$19-SUM($E$32:AB32)),0))</f>
        <v>0</v>
      </c>
      <c r="AD32" s="7">
        <f>IF(AD$6=Assumptions!$F$38,Assumptions!$K$17,IF(AD$6&gt;Assumptions!$F$38,MIN(Assumptions!$K$18,Assumptions!$K$19-SUM($E$32:AC32)),0))</f>
        <v>0</v>
      </c>
      <c r="AE32" s="7">
        <f>IF(AE$6=Assumptions!$F$38,Assumptions!$K$17,IF(AE$6&gt;Assumptions!$F$38,MIN(Assumptions!$K$18,Assumptions!$K$19-SUM($E$32:AD32)),0))</f>
        <v>0</v>
      </c>
      <c r="AF32" s="7">
        <f>IF(AF$6=Assumptions!$F$38,Assumptions!$K$17,IF(AF$6&gt;Assumptions!$F$38,MIN(Assumptions!$K$18,Assumptions!$K$19-SUM($E$32:AE32)),0))</f>
        <v>0</v>
      </c>
      <c r="AG32" s="7">
        <f>IF(AG$6=Assumptions!$F$38,Assumptions!$K$17,IF(AG$6&gt;Assumptions!$F$38,MIN(Assumptions!$K$18,Assumptions!$K$19-SUM($E$32:AF32)),0))</f>
        <v>0</v>
      </c>
      <c r="AH32" s="7">
        <f>IF(AH$6=Assumptions!$F$38,Assumptions!$K$17,IF(AH$6&gt;Assumptions!$F$38,MIN(Assumptions!$K$18,Assumptions!$K$19-SUM($E$32:AG32)),0))</f>
        <v>0</v>
      </c>
      <c r="AI32" s="7">
        <f>IF(AI$6=Assumptions!$F$38,Assumptions!$K$17,IF(AI$6&gt;Assumptions!$F$38,MIN(Assumptions!$K$18,Assumptions!$K$19-SUM($E$32:AH32)),0))</f>
        <v>0</v>
      </c>
      <c r="AJ32" s="7">
        <f>IF(AJ$6=Assumptions!$F$38,Assumptions!$K$17,IF(AJ$6&gt;Assumptions!$F$38,MIN(Assumptions!$K$18,Assumptions!$K$19-SUM($E$32:AI32)),0))</f>
        <v>0</v>
      </c>
      <c r="AK32" s="7">
        <f>IF(AK$6=Assumptions!$F$38,Assumptions!$K$17,IF(AK$6&gt;Assumptions!$F$38,MIN(Assumptions!$K$18,Assumptions!$K$19-SUM($E$32:AJ32)),0))</f>
        <v>0</v>
      </c>
      <c r="AL32" s="7">
        <f>IF(AL$6=Assumptions!$F$38,Assumptions!$K$17,IF(AL$6&gt;Assumptions!$F$38,MIN(Assumptions!$K$18,Assumptions!$K$19-SUM($E$32:AK32)),0))</f>
        <v>0</v>
      </c>
      <c r="AM32" s="7">
        <f>IF(AM$6=Assumptions!$F$38,Assumptions!$K$17,IF(AM$6&gt;Assumptions!$F$38,MIN(Assumptions!$K$18,Assumptions!$K$19-SUM($E$32:AL32)),0))</f>
        <v>0</v>
      </c>
      <c r="AN32" s="7">
        <f>IF(AN$6=Assumptions!$F$38,Assumptions!$K$17,IF(AN$6&gt;Assumptions!$F$38,MIN(Assumptions!$K$18,Assumptions!$K$19-SUM($E$32:AM32)),0))</f>
        <v>0</v>
      </c>
      <c r="AO32" s="7">
        <f>IF(AO$6=Assumptions!$F$38,Assumptions!$K$17,IF(AO$6&gt;Assumptions!$F$38,MIN(Assumptions!$K$18,Assumptions!$K$19-SUM($E$32:AN32)),0))</f>
        <v>0.35</v>
      </c>
      <c r="AP32" s="7">
        <f>IF(AP$6=Assumptions!$F$38,Assumptions!$K$17,IF(AP$6&gt;Assumptions!$F$38,MIN(Assumptions!$K$18,Assumptions!$K$19-SUM($E$32:AO32)),0))</f>
        <v>0.1</v>
      </c>
      <c r="AQ32" s="7">
        <f>IF(AQ$6=Assumptions!$F$38,Assumptions!$K$17,IF(AQ$6&gt;Assumptions!$F$38,MIN(Assumptions!$K$18,Assumptions!$K$19-SUM($E$32:AP32)),0))</f>
        <v>0.1</v>
      </c>
      <c r="AR32" s="7">
        <f>IF(AR$6=Assumptions!$F$38,Assumptions!$K$17,IF(AR$6&gt;Assumptions!$F$38,MIN(Assumptions!$K$18,Assumptions!$K$19-SUM($E$32:AQ32)),0))</f>
        <v>0.1</v>
      </c>
      <c r="AS32" s="7">
        <f>IF(AS$6=Assumptions!$F$38,Assumptions!$K$17,IF(AS$6&gt;Assumptions!$F$38,MIN(Assumptions!$K$18,Assumptions!$K$19-SUM($E$32:AR32)),0))</f>
        <v>0.1</v>
      </c>
      <c r="AT32" s="7">
        <f>IF(AT$6=Assumptions!$F$38,Assumptions!$K$17,IF(AT$6&gt;Assumptions!$F$38,MIN(Assumptions!$K$18,Assumptions!$K$19-SUM($E$32:AS32)),0))</f>
        <v>0.1</v>
      </c>
      <c r="AU32" s="7">
        <f>IF(AU$6=Assumptions!$F$38,Assumptions!$K$17,IF(AU$6&gt;Assumptions!$F$38,MIN(Assumptions!$K$18,Assumptions!$K$19-SUM($E$32:AT32)),0))</f>
        <v>0.1</v>
      </c>
      <c r="AV32" s="7">
        <f>IF(AV$6=Assumptions!$F$38,Assumptions!$K$17,IF(AV$6&gt;Assumptions!$F$38,MIN(Assumptions!$K$18,Assumptions!$K$19-SUM($E$32:AU32)),0))</f>
        <v>1.1102230246251565E-16</v>
      </c>
      <c r="AW32" s="7">
        <f>IF(AW$6=Assumptions!$F$38,Assumptions!$K$17,IF(AW$6&gt;Assumptions!$F$38,MIN(Assumptions!$K$18,Assumptions!$K$19-SUM($E$32:AV32)),0))</f>
        <v>0</v>
      </c>
      <c r="AX32" s="7">
        <f>IF(AX$6=Assumptions!$F$38,Assumptions!$K$17,IF(AX$6&gt;Assumptions!$F$38,MIN(Assumptions!$K$18,Assumptions!$K$19-SUM($E$32:AW32)),0))</f>
        <v>0</v>
      </c>
      <c r="AY32" s="7">
        <f>IF(AY$6=Assumptions!$F$38,Assumptions!$K$17,IF(AY$6&gt;Assumptions!$F$38,MIN(Assumptions!$K$18,Assumptions!$K$19-SUM($E$32:AX32)),0))</f>
        <v>0</v>
      </c>
      <c r="AZ32" s="7">
        <f>IF(AZ$6=Assumptions!$F$38,Assumptions!$K$17,IF(AZ$6&gt;Assumptions!$F$38,MIN(Assumptions!$K$18,Assumptions!$K$19-SUM($E$32:AY32)),0))</f>
        <v>0</v>
      </c>
      <c r="BA32" s="7">
        <f>IF(BA$6=Assumptions!$F$38,Assumptions!$K$17,IF(BA$6&gt;Assumptions!$F$38,MIN(Assumptions!$K$18,Assumptions!$K$19-SUM($E$32:AZ32)),0))</f>
        <v>0</v>
      </c>
      <c r="BB32" s="7">
        <f>IF(BB$6=Assumptions!$F$38,Assumptions!$K$17,IF(BB$6&gt;Assumptions!$F$38,MIN(Assumptions!$K$18,Assumptions!$K$19-SUM($E$32:BA32)),0))</f>
        <v>0</v>
      </c>
      <c r="BC32" s="7">
        <f>IF(BC$6=Assumptions!$F$38,Assumptions!$K$17,IF(BC$6&gt;Assumptions!$F$38,MIN(Assumptions!$K$18,Assumptions!$K$19-SUM($E$32:BB32)),0))</f>
        <v>0</v>
      </c>
      <c r="BD32" s="7">
        <f>IF(BD$6=Assumptions!$F$38,Assumptions!$K$17,IF(BD$6&gt;Assumptions!$F$38,MIN(Assumptions!$K$18,Assumptions!$K$19-SUM($E$32:BC32)),0))</f>
        <v>0</v>
      </c>
      <c r="BE32" s="7">
        <f>IF(BE$6=Assumptions!$F$38,Assumptions!$K$17,IF(BE$6&gt;Assumptions!$F$38,MIN(Assumptions!$K$18,Assumptions!$K$19-SUM($E$32:BD32)),0))</f>
        <v>0</v>
      </c>
      <c r="BF32" s="7">
        <f>IF(BF$6=Assumptions!$F$38,Assumptions!$K$17,IF(BF$6&gt;Assumptions!$F$38,MIN(Assumptions!$K$18,Assumptions!$K$19-SUM($E$32:BE32)),0))</f>
        <v>0</v>
      </c>
      <c r="BG32" s="7">
        <f>IF(BG$6=Assumptions!$F$38,Assumptions!$K$17,IF(BG$6&gt;Assumptions!$F$38,MIN(Assumptions!$K$18,Assumptions!$K$19-SUM($E$32:BF32)),0))</f>
        <v>0</v>
      </c>
      <c r="BH32" s="7">
        <f>IF(BH$6=Assumptions!$F$38,Assumptions!$K$17,IF(BH$6&gt;Assumptions!$F$38,MIN(Assumptions!$K$18,Assumptions!$K$19-SUM($E$32:BG32)),0))</f>
        <v>0</v>
      </c>
      <c r="BI32" s="7">
        <f>IF(BI$6=Assumptions!$F$38,Assumptions!$K$17,IF(BI$6&gt;Assumptions!$F$38,MIN(Assumptions!$K$18,Assumptions!$K$19-SUM($E$32:BH32)),0))</f>
        <v>0</v>
      </c>
      <c r="BJ32" s="7">
        <f>IF(BJ$6=Assumptions!$F$38,Assumptions!$K$17,IF(BJ$6&gt;Assumptions!$F$38,MIN(Assumptions!$K$18,Assumptions!$K$19-SUM($E$32:BI32)),0))</f>
        <v>0</v>
      </c>
      <c r="BK32" s="7">
        <f>IF(BK$6=Assumptions!$F$38,Assumptions!$K$17,IF(BK$6&gt;Assumptions!$F$38,MIN(Assumptions!$K$18,Assumptions!$K$19-SUM($E$32:BJ32)),0))</f>
        <v>0</v>
      </c>
      <c r="BL32" s="7">
        <f>IF(BL$6=Assumptions!$F$38,Assumptions!$K$17,IF(BL$6&gt;Assumptions!$F$38,MIN(Assumptions!$K$18,Assumptions!$K$19-SUM($E$32:BK32)),0))</f>
        <v>0</v>
      </c>
      <c r="BM32" s="7">
        <f>IF(BM$6=Assumptions!$F$38,Assumptions!$K$17,IF(BM$6&gt;Assumptions!$F$38,MIN(Assumptions!$K$18,Assumptions!$K$19-SUM($E$32:BL32)),0))</f>
        <v>0</v>
      </c>
      <c r="BN32" s="7">
        <f>IF(BN$6=Assumptions!$F$38,Assumptions!$K$17,IF(BN$6&gt;Assumptions!$F$38,MIN(Assumptions!$K$18,Assumptions!$K$19-SUM($E$32:BM32)),0))</f>
        <v>0</v>
      </c>
      <c r="BO32" s="7">
        <f>IF(BO$6=Assumptions!$F$38,Assumptions!$K$17,IF(BO$6&gt;Assumptions!$F$38,MIN(Assumptions!$K$18,Assumptions!$K$19-SUM($E$32:BN32)),0))</f>
        <v>0</v>
      </c>
      <c r="BP32" s="7">
        <f>IF(BP$6=Assumptions!$F$38,Assumptions!$K$17,IF(BP$6&gt;Assumptions!$F$38,MIN(Assumptions!$K$18,Assumptions!$K$19-SUM($E$32:BO32)),0))</f>
        <v>0</v>
      </c>
      <c r="BQ32" s="7">
        <f>IF(BQ$6=Assumptions!$F$38,Assumptions!$K$17,IF(BQ$6&gt;Assumptions!$F$38,MIN(Assumptions!$K$18,Assumptions!$K$19-SUM($E$32:BP32)),0))</f>
        <v>0</v>
      </c>
      <c r="BR32" s="7">
        <f>IF(BR$6=Assumptions!$F$38,Assumptions!$K$17,IF(BR$6&gt;Assumptions!$F$38,MIN(Assumptions!$K$18,Assumptions!$K$19-SUM($E$32:BQ32)),0))</f>
        <v>0</v>
      </c>
      <c r="BS32" s="7">
        <f>IF(BS$6=Assumptions!$F$38,Assumptions!$K$17,IF(BS$6&gt;Assumptions!$F$38,MIN(Assumptions!$K$18,Assumptions!$K$19-SUM($E$32:BR32)),0))</f>
        <v>0</v>
      </c>
      <c r="BT32" s="7">
        <f>IF(BT$6=Assumptions!$F$38,Assumptions!$K$17,IF(BT$6&gt;Assumptions!$F$38,MIN(Assumptions!$K$18,Assumptions!$K$19-SUM($E$32:BS32)),0))</f>
        <v>0</v>
      </c>
      <c r="BU32" s="7">
        <f>IF(BU$6=Assumptions!$F$38,Assumptions!$K$17,IF(BU$6&gt;Assumptions!$F$38,MIN(Assumptions!$K$18,Assumptions!$K$19-SUM($E$32:BT32)),0))</f>
        <v>0</v>
      </c>
      <c r="BV32" s="7">
        <f>IF(BV$6=Assumptions!$F$38,Assumptions!$K$17,IF(BV$6&gt;Assumptions!$F$38,MIN(Assumptions!$K$18,Assumptions!$K$19-SUM($E$32:BU32)),0))</f>
        <v>0</v>
      </c>
      <c r="BW32" s="7">
        <f>IF(BW$6=Assumptions!$F$38,Assumptions!$K$17,IF(BW$6&gt;Assumptions!$F$38,MIN(Assumptions!$K$18,Assumptions!$K$19-SUM($E$32:BV32)),0))</f>
        <v>0</v>
      </c>
      <c r="BX32" s="7">
        <f>IF(BX$6=Assumptions!$F$38,Assumptions!$K$17,IF(BX$6&gt;Assumptions!$F$38,MIN(Assumptions!$K$18,Assumptions!$K$19-SUM($E$32:BW32)),0))</f>
        <v>0</v>
      </c>
      <c r="BY32" s="7">
        <f>IF(BY$6=Assumptions!$F$38,Assumptions!$K$17,IF(BY$6&gt;Assumptions!$F$38,MIN(Assumptions!$K$18,Assumptions!$K$19-SUM($E$32:BX32)),0))</f>
        <v>0</v>
      </c>
      <c r="BZ32" s="7">
        <f>IF(BZ$6=Assumptions!$F$38,Assumptions!$K$17,IF(BZ$6&gt;Assumptions!$F$38,MIN(Assumptions!$K$18,Assumptions!$K$19-SUM($E$32:BY32)),0))</f>
        <v>0</v>
      </c>
      <c r="CA32" s="7">
        <f>IF(CA$6=Assumptions!$F$38,Assumptions!$K$17,IF(CA$6&gt;Assumptions!$F$38,MIN(Assumptions!$K$18,Assumptions!$K$19-SUM($E$32:BZ32)),0))</f>
        <v>0</v>
      </c>
      <c r="CB32" s="7">
        <f>IF(CB$6=Assumptions!$F$38,Assumptions!$K$17,IF(CB$6&gt;Assumptions!$F$38,MIN(Assumptions!$K$18,Assumptions!$K$19-SUM($E$32:CA32)),0))</f>
        <v>0</v>
      </c>
      <c r="CC32" s="7">
        <f>IF(CC$6=Assumptions!$F$38,Assumptions!$K$17,IF(CC$6&gt;Assumptions!$F$38,MIN(Assumptions!$K$18,Assumptions!$K$19-SUM($E$32:CB32)),0))</f>
        <v>0</v>
      </c>
      <c r="CD32" s="7">
        <f>IF(CD$6=Assumptions!$F$38,Assumptions!$K$17,IF(CD$6&gt;Assumptions!$F$38,MIN(Assumptions!$K$18,Assumptions!$K$19-SUM($E$32:CC32)),0))</f>
        <v>0</v>
      </c>
      <c r="CE32" s="7">
        <f>IF(CE$6=Assumptions!$F$38,Assumptions!$K$17,IF(CE$6&gt;Assumptions!$F$38,MIN(Assumptions!$K$18,Assumptions!$K$19-SUM($E$32:CD32)),0))</f>
        <v>0</v>
      </c>
      <c r="CF32" s="7">
        <f>IF(CF$6=Assumptions!$F$38,Assumptions!$K$17,IF(CF$6&gt;Assumptions!$F$38,MIN(Assumptions!$K$18,Assumptions!$K$19-SUM($E$32:CE32)),0))</f>
        <v>0</v>
      </c>
      <c r="CG32" s="7">
        <f>IF(CG$6=Assumptions!$F$38,Assumptions!$K$17,IF(CG$6&gt;Assumptions!$F$38,MIN(Assumptions!$K$18,Assumptions!$K$19-SUM($E$32:CF32)),0))</f>
        <v>0</v>
      </c>
      <c r="CH32" s="7">
        <f>IF(CH$6=Assumptions!$F$38,Assumptions!$K$17,IF(CH$6&gt;Assumptions!$F$38,MIN(Assumptions!$K$18,Assumptions!$K$19-SUM($E$32:CG32)),0))</f>
        <v>0</v>
      </c>
      <c r="CI32" s="7">
        <f>IF(CI$6=Assumptions!$F$38,Assumptions!$K$17,IF(CI$6&gt;Assumptions!$F$38,MIN(Assumptions!$K$18,Assumptions!$K$19-SUM($E$32:CH32)),0))</f>
        <v>0</v>
      </c>
      <c r="CJ32" s="7">
        <f>IF(CJ$6=Assumptions!$F$38,Assumptions!$K$17,IF(CJ$6&gt;Assumptions!$F$38,MIN(Assumptions!$K$18,Assumptions!$K$19-SUM($E$32:CI32)),0))</f>
        <v>0</v>
      </c>
      <c r="CK32" s="7">
        <f>IF(CK$6=Assumptions!$F$38,Assumptions!$K$17,IF(CK$6&gt;Assumptions!$F$38,MIN(Assumptions!$K$18,Assumptions!$K$19-SUM($E$32:CJ32)),0))</f>
        <v>0</v>
      </c>
      <c r="CL32" s="7">
        <f>IF(CL$6=Assumptions!$F$38,Assumptions!$K$17,IF(CL$6&gt;Assumptions!$F$38,MIN(Assumptions!$K$18,Assumptions!$K$19-SUM($E$32:CK32)),0))</f>
        <v>0</v>
      </c>
      <c r="CM32" s="7">
        <f>IF(CM$6=Assumptions!$F$38,Assumptions!$K$17,IF(CM$6&gt;Assumptions!$F$38,MIN(Assumptions!$K$18,Assumptions!$K$19-SUM($E$32:CL32)),0))</f>
        <v>0</v>
      </c>
      <c r="CN32" s="7">
        <f>IF(CN$6=Assumptions!$F$38,Assumptions!$K$17,IF(CN$6&gt;Assumptions!$F$38,MIN(Assumptions!$K$18,Assumptions!$K$19-SUM($E$32:CM32)),0))</f>
        <v>0</v>
      </c>
      <c r="CO32" s="7">
        <f>IF(CO$6=Assumptions!$F$38,Assumptions!$K$17,IF(CO$6&gt;Assumptions!$F$38,MIN(Assumptions!$K$18,Assumptions!$K$19-SUM($E$32:CN32)),0))</f>
        <v>0</v>
      </c>
      <c r="CP32" s="7">
        <f>IF(CP$6=Assumptions!$F$38,Assumptions!$K$17,IF(CP$6&gt;Assumptions!$F$38,MIN(Assumptions!$K$18,Assumptions!$K$19-SUM($E$32:CO32)),0))</f>
        <v>0</v>
      </c>
      <c r="CQ32" s="7">
        <f>IF(CQ$6=Assumptions!$F$38,Assumptions!$K$17,IF(CQ$6&gt;Assumptions!$F$38,MIN(Assumptions!$K$18,Assumptions!$K$19-SUM($E$32:CP32)),0))</f>
        <v>0</v>
      </c>
      <c r="CR32" s="7">
        <f>IF(CR$6=Assumptions!$F$38,Assumptions!$K$17,IF(CR$6&gt;Assumptions!$F$38,MIN(Assumptions!$K$18,Assumptions!$K$19-SUM($E$32:CQ32)),0))</f>
        <v>0</v>
      </c>
      <c r="CS32" s="7">
        <f>IF(CS$6=Assumptions!$F$38,Assumptions!$K$17,IF(CS$6&gt;Assumptions!$F$38,MIN(Assumptions!$K$18,Assumptions!$K$19-SUM($E$32:CR32)),0))</f>
        <v>0</v>
      </c>
      <c r="CT32" s="7">
        <f>IF(CT$6=Assumptions!$F$38,Assumptions!$K$17,IF(CT$6&gt;Assumptions!$F$38,MIN(Assumptions!$K$18,Assumptions!$K$19-SUM($E$32:CS32)),0))</f>
        <v>0</v>
      </c>
      <c r="CU32" s="7">
        <f>IF(CU$6=Assumptions!$F$38,Assumptions!$K$17,IF(CU$6&gt;Assumptions!$F$38,MIN(Assumptions!$K$18,Assumptions!$K$19-SUM($E$32:CT32)),0))</f>
        <v>0</v>
      </c>
      <c r="CV32" s="7">
        <f>IF(CV$6=Assumptions!$F$38,Assumptions!$K$17,IF(CV$6&gt;Assumptions!$F$38,MIN(Assumptions!$K$18,Assumptions!$K$19-SUM($E$32:CU32)),0))</f>
        <v>0</v>
      </c>
      <c r="CW32" s="7">
        <f>IF(CW$6=Assumptions!$F$38,Assumptions!$K$17,IF(CW$6&gt;Assumptions!$F$38,MIN(Assumptions!$K$18,Assumptions!$K$19-SUM($E$32:CV32)),0))</f>
        <v>0</v>
      </c>
      <c r="CX32" s="7">
        <f>IF(CX$6=Assumptions!$F$38,Assumptions!$K$17,IF(CX$6&gt;Assumptions!$F$38,MIN(Assumptions!$K$18,Assumptions!$K$19-SUM($E$32:CW32)),0))</f>
        <v>0</v>
      </c>
      <c r="CY32" s="7">
        <f>IF(CY$6=Assumptions!$F$38,Assumptions!$K$17,IF(CY$6&gt;Assumptions!$F$38,MIN(Assumptions!$K$18,Assumptions!$K$19-SUM($E$32:CX32)),0))</f>
        <v>0</v>
      </c>
      <c r="CZ32" s="7">
        <f>IF(CZ$6=Assumptions!$F$38,Assumptions!$K$17,IF(CZ$6&gt;Assumptions!$F$38,MIN(Assumptions!$K$18,Assumptions!$K$19-SUM($E$32:CY32)),0))</f>
        <v>0</v>
      </c>
      <c r="DA32" s="7">
        <f>IF(DA$6=Assumptions!$F$38,Assumptions!$K$17,IF(DA$6&gt;Assumptions!$F$38,MIN(Assumptions!$K$18,Assumptions!$K$19-SUM($E$32:CZ32)),0))</f>
        <v>0</v>
      </c>
      <c r="DB32" s="7">
        <f>IF(DB$6=Assumptions!$F$38,Assumptions!$K$17,IF(DB$6&gt;Assumptions!$F$38,MIN(Assumptions!$K$18,Assumptions!$K$19-SUM($E$32:DA32)),0))</f>
        <v>0</v>
      </c>
      <c r="DC32" s="7">
        <f>IF(DC$6=Assumptions!$F$38,Assumptions!$K$17,IF(DC$6&gt;Assumptions!$F$38,MIN(Assumptions!$K$18,Assumptions!$K$19-SUM($E$32:DB32)),0))</f>
        <v>0</v>
      </c>
      <c r="DD32" s="7">
        <f>IF(DD$6=Assumptions!$F$38,Assumptions!$K$17,IF(DD$6&gt;Assumptions!$F$38,MIN(Assumptions!$K$18,Assumptions!$K$19-SUM($E$32:DC32)),0))</f>
        <v>0</v>
      </c>
      <c r="DE32" s="7">
        <f>IF(DE$6=Assumptions!$F$38,Assumptions!$K$17,IF(DE$6&gt;Assumptions!$F$38,MIN(Assumptions!$K$18,Assumptions!$K$19-SUM($E$32:DD32)),0))</f>
        <v>0</v>
      </c>
      <c r="DF32" s="7">
        <f>IF(DF$6=Assumptions!$F$38,Assumptions!$K$17,IF(DF$6&gt;Assumptions!$F$38,MIN(Assumptions!$K$18,Assumptions!$K$19-SUM($E$32:DE32)),0))</f>
        <v>0</v>
      </c>
      <c r="DG32" s="7">
        <f>IF(DG$6=Assumptions!$F$38,Assumptions!$K$17,IF(DG$6&gt;Assumptions!$F$38,MIN(Assumptions!$K$18,Assumptions!$K$19-SUM($E$32:DF32)),0))</f>
        <v>0</v>
      </c>
      <c r="DH32" s="7">
        <f>IF(DH$6=Assumptions!$F$38,Assumptions!$K$17,IF(DH$6&gt;Assumptions!$F$38,MIN(Assumptions!$K$18,Assumptions!$K$19-SUM($E$32:DG32)),0))</f>
        <v>0</v>
      </c>
      <c r="DI32" s="7">
        <f>IF(DI$6=Assumptions!$F$38,Assumptions!$K$17,IF(DI$6&gt;Assumptions!$F$38,MIN(Assumptions!$K$18,Assumptions!$K$19-SUM($E$32:DH32)),0))</f>
        <v>0</v>
      </c>
      <c r="DJ32" s="7">
        <f>IF(DJ$6=Assumptions!$F$38,Assumptions!$K$17,IF(DJ$6&gt;Assumptions!$F$38,MIN(Assumptions!$K$18,Assumptions!$K$19-SUM($E$32:DI32)),0))</f>
        <v>0</v>
      </c>
      <c r="DK32" s="7">
        <f>IF(DK$6=Assumptions!$F$38,Assumptions!$K$17,IF(DK$6&gt;Assumptions!$F$38,MIN(Assumptions!$K$18,Assumptions!$K$19-SUM($E$32:DJ32)),0))</f>
        <v>0</v>
      </c>
      <c r="DL32" s="7">
        <f>IF(DL$6=Assumptions!$F$38,Assumptions!$K$17,IF(DL$6&gt;Assumptions!$F$38,MIN(Assumptions!$K$18,Assumptions!$K$19-SUM($E$32:DK32)),0))</f>
        <v>0</v>
      </c>
      <c r="DM32" s="7">
        <f>IF(DM$6=Assumptions!$F$38,Assumptions!$K$17,IF(DM$6&gt;Assumptions!$F$38,MIN(Assumptions!$K$18,Assumptions!$K$19-SUM($E$32:DL32)),0))</f>
        <v>0</v>
      </c>
      <c r="DN32" s="7">
        <f>IF(DN$6=Assumptions!$F$38,Assumptions!$K$17,IF(DN$6&gt;Assumptions!$F$38,MIN(Assumptions!$K$18,Assumptions!$K$19-SUM($E$32:DM32)),0))</f>
        <v>0</v>
      </c>
      <c r="DO32" s="7">
        <f>IF(DO$6=Assumptions!$F$38,Assumptions!$K$17,IF(DO$6&gt;Assumptions!$F$38,MIN(Assumptions!$K$18,Assumptions!$K$19-SUM($E$32:DN32)),0))</f>
        <v>0</v>
      </c>
      <c r="DP32" s="7">
        <f>IF(DP$6=Assumptions!$F$38,Assumptions!$K$17,IF(DP$6&gt;Assumptions!$F$38,MIN(Assumptions!$K$18,Assumptions!$K$19-SUM($E$32:DO32)),0))</f>
        <v>0</v>
      </c>
      <c r="DQ32" s="7">
        <f>IF(DQ$6=Assumptions!$F$38,Assumptions!$K$17,IF(DQ$6&gt;Assumptions!$F$38,MIN(Assumptions!$K$18,Assumptions!$K$19-SUM($E$32:DP32)),0))</f>
        <v>0</v>
      </c>
      <c r="DR32" s="7">
        <f>IF(DR$6=Assumptions!$F$38,Assumptions!$K$17,IF(DR$6&gt;Assumptions!$F$38,MIN(Assumptions!$K$18,Assumptions!$K$19-SUM($E$32:DQ32)),0))</f>
        <v>0</v>
      </c>
      <c r="DS32" s="7">
        <f>IF(DS$6=Assumptions!$F$38,Assumptions!$K$17,IF(DS$6&gt;Assumptions!$F$38,MIN(Assumptions!$K$18,Assumptions!$K$19-SUM($E$32:DR32)),0))</f>
        <v>0</v>
      </c>
      <c r="DT32" s="7">
        <f>IF(DT$6=Assumptions!$F$38,Assumptions!$K$17,IF(DT$6&gt;Assumptions!$F$38,MIN(Assumptions!$K$18,Assumptions!$K$19-SUM($E$32:DS32)),0))</f>
        <v>0</v>
      </c>
      <c r="DU32" s="7">
        <f>IF(DU$6=Assumptions!$F$38,Assumptions!$K$17,IF(DU$6&gt;Assumptions!$F$38,MIN(Assumptions!$K$18,Assumptions!$K$19-SUM($E$32:DT32)),0))</f>
        <v>0</v>
      </c>
      <c r="DV32" s="7">
        <f>IF(DV$6=Assumptions!$F$38,Assumptions!$K$17,IF(DV$6&gt;Assumptions!$F$38,MIN(Assumptions!$K$18,Assumptions!$K$19-SUM($E$32:DU32)),0))</f>
        <v>0</v>
      </c>
      <c r="DW32" s="7">
        <f>IF(DW$6=Assumptions!$F$38,Assumptions!$K$17,IF(DW$6&gt;Assumptions!$F$38,MIN(Assumptions!$K$18,Assumptions!$K$19-SUM($E$32:DV32)),0))</f>
        <v>0</v>
      </c>
      <c r="DX32" s="7">
        <f>IF(DX$6=Assumptions!$F$38,Assumptions!$K$17,IF(DX$6&gt;Assumptions!$F$38,MIN(Assumptions!$K$18,Assumptions!$K$19-SUM($E$32:DW32)),0))</f>
        <v>0</v>
      </c>
      <c r="DY32" s="7">
        <f>IF(DY$6=Assumptions!$F$38,Assumptions!$K$17,IF(DY$6&gt;Assumptions!$F$38,MIN(Assumptions!$K$18,Assumptions!$K$19-SUM($E$32:DX32)),0))</f>
        <v>0</v>
      </c>
      <c r="DZ32" s="7">
        <f>IF(DZ$6=Assumptions!$F$38,Assumptions!$K$17,IF(DZ$6&gt;Assumptions!$F$38,MIN(Assumptions!$K$18,Assumptions!$K$19-SUM($E$32:DY32)),0))</f>
        <v>0</v>
      </c>
      <c r="EA32" s="7">
        <f>IF(EA$6=Assumptions!$F$38,Assumptions!$K$17,IF(EA$6&gt;Assumptions!$F$38,MIN(Assumptions!$K$18,Assumptions!$K$19-SUM($E$32:DZ32)),0))</f>
        <v>0</v>
      </c>
      <c r="EB32" s="7">
        <f>IF(EB$6=Assumptions!$F$38,Assumptions!$K$17,IF(EB$6&gt;Assumptions!$F$38,MIN(Assumptions!$K$18,Assumptions!$K$19-SUM($E$32:EA32)),0))</f>
        <v>0</v>
      </c>
      <c r="EC32" s="7">
        <f>IF(EC$6=Assumptions!$F$38,Assumptions!$K$17,IF(EC$6&gt;Assumptions!$F$38,MIN(Assumptions!$K$18,Assumptions!$K$19-SUM($E$32:EB32)),0))</f>
        <v>0</v>
      </c>
      <c r="ED32" s="7">
        <f>IF(ED$6=Assumptions!$F$38,Assumptions!$K$17,IF(ED$6&gt;Assumptions!$F$38,MIN(Assumptions!$K$18,Assumptions!$K$19-SUM($E$32:EC32)),0))</f>
        <v>0</v>
      </c>
      <c r="EE32" s="7">
        <f>IF(EE$6=Assumptions!$F$38,Assumptions!$K$17,IF(EE$6&gt;Assumptions!$F$38,MIN(Assumptions!$K$18,Assumptions!$K$19-SUM($E$32:ED32)),0))</f>
        <v>0</v>
      </c>
      <c r="EF32" s="7">
        <f>IF(EF$6=Assumptions!$F$38,Assumptions!$K$17,IF(EF$6&gt;Assumptions!$F$38,MIN(Assumptions!$K$18,Assumptions!$K$19-SUM($E$32:EE32)),0))</f>
        <v>0</v>
      </c>
      <c r="EG32" s="7">
        <f>IF(EG$6=Assumptions!$F$38,Assumptions!$K$17,IF(EG$6&gt;Assumptions!$F$38,MIN(Assumptions!$K$18,Assumptions!$K$19-SUM($E$32:EF32)),0))</f>
        <v>0</v>
      </c>
      <c r="EH32" s="7">
        <f>IF(EH$6=Assumptions!$F$38,Assumptions!$K$17,IF(EH$6&gt;Assumptions!$F$38,MIN(Assumptions!$K$18,Assumptions!$K$19-SUM($E$32:EG32)),0))</f>
        <v>0</v>
      </c>
      <c r="EI32" s="7">
        <f>IF(EI$6=Assumptions!$F$38,Assumptions!$K$17,IF(EI$6&gt;Assumptions!$F$38,MIN(Assumptions!$K$18,Assumptions!$K$19-SUM($E$32:EH32)),0))</f>
        <v>0</v>
      </c>
      <c r="EJ32" s="7">
        <f>IF(EJ$6=Assumptions!$F$38,Assumptions!$K$17,IF(EJ$6&gt;Assumptions!$F$38,MIN(Assumptions!$K$18,Assumptions!$K$19-SUM($E$32:EI32)),0))</f>
        <v>0</v>
      </c>
      <c r="EK32" s="7">
        <f>IF(EK$6=Assumptions!$F$38,Assumptions!$K$17,IF(EK$6&gt;Assumptions!$F$38,MIN(Assumptions!$K$18,Assumptions!$K$19-SUM($E$32:EJ32)),0))</f>
        <v>0</v>
      </c>
      <c r="EL32" s="7">
        <f>IF(EL$6=Assumptions!$F$38,Assumptions!$K$17,IF(EL$6&gt;Assumptions!$F$38,MIN(Assumptions!$K$18,Assumptions!$K$19-SUM($E$32:EK32)),0))</f>
        <v>0</v>
      </c>
      <c r="EM32" s="7">
        <f>IF(EM$6=Assumptions!$F$38,Assumptions!$K$17,IF(EM$6&gt;Assumptions!$F$38,MIN(Assumptions!$K$18,Assumptions!$K$19-SUM($E$32:EL32)),0))</f>
        <v>0</v>
      </c>
      <c r="EN32" s="7">
        <f>IF(EN$6=Assumptions!$F$38,Assumptions!$K$17,IF(EN$6&gt;Assumptions!$F$38,MIN(Assumptions!$K$18,Assumptions!$K$19-SUM($E$32:EM32)),0))</f>
        <v>0</v>
      </c>
      <c r="EO32" s="7">
        <f>IF(EO$6=Assumptions!$F$38,Assumptions!$K$17,IF(EO$6&gt;Assumptions!$F$38,MIN(Assumptions!$K$18,Assumptions!$K$19-SUM($E$32:EN32)),0))</f>
        <v>0</v>
      </c>
      <c r="EP32" s="7">
        <f>IF(EP$6=Assumptions!$F$38,Assumptions!$K$17,IF(EP$6&gt;Assumptions!$F$38,MIN(Assumptions!$K$18,Assumptions!$K$19-SUM($E$32:EO32)),0))</f>
        <v>0</v>
      </c>
      <c r="EQ32" s="7">
        <f>IF(EQ$6=Assumptions!$F$38,Assumptions!$K$17,IF(EQ$6&gt;Assumptions!$F$38,MIN(Assumptions!$K$18,Assumptions!$K$19-SUM($E$32:EP32)),0))</f>
        <v>0</v>
      </c>
      <c r="ER32" s="7">
        <f>IF(ER$6=Assumptions!$F$38,Assumptions!$K$17,IF(ER$6&gt;Assumptions!$F$38,MIN(Assumptions!$K$18,Assumptions!$K$19-SUM($E$32:EQ32)),0))</f>
        <v>0</v>
      </c>
      <c r="ES32" s="7">
        <f>IF(ES$6=Assumptions!$F$38,Assumptions!$K$17,IF(ES$6&gt;Assumptions!$F$38,MIN(Assumptions!$K$18,Assumptions!$K$19-SUM($E$32:ER32)),0))</f>
        <v>0</v>
      </c>
      <c r="ET32" s="7">
        <f>IF(ET$6=Assumptions!$F$38,Assumptions!$K$17,IF(ET$6&gt;Assumptions!$F$38,MIN(Assumptions!$K$18,Assumptions!$K$19-SUM($E$32:ES32)),0))</f>
        <v>0</v>
      </c>
    </row>
    <row r="33" spans="2:150" x14ac:dyDescent="0.2"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2:150" x14ac:dyDescent="0.2">
      <c r="B34" s="4" t="s">
        <v>143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2:150" x14ac:dyDescent="0.2">
      <c r="B35" t="s">
        <v>142</v>
      </c>
      <c r="F35" s="7">
        <f>E35+F36</f>
        <v>0</v>
      </c>
      <c r="G35" s="7">
        <f t="shared" ref="G35:BI35" si="420">F35+G36</f>
        <v>0</v>
      </c>
      <c r="H35" s="7">
        <f t="shared" si="420"/>
        <v>0</v>
      </c>
      <c r="I35" s="7">
        <f t="shared" si="420"/>
        <v>0</v>
      </c>
      <c r="J35" s="7">
        <f t="shared" si="420"/>
        <v>0</v>
      </c>
      <c r="K35" s="7">
        <f t="shared" si="420"/>
        <v>0</v>
      </c>
      <c r="L35" s="7">
        <f t="shared" si="420"/>
        <v>0</v>
      </c>
      <c r="M35" s="7">
        <f t="shared" si="420"/>
        <v>0</v>
      </c>
      <c r="N35" s="7">
        <f t="shared" si="420"/>
        <v>0</v>
      </c>
      <c r="O35" s="7">
        <f t="shared" si="420"/>
        <v>0</v>
      </c>
      <c r="P35" s="7">
        <f t="shared" si="420"/>
        <v>0</v>
      </c>
      <c r="Q35" s="7">
        <f t="shared" si="420"/>
        <v>0</v>
      </c>
      <c r="R35" s="7">
        <f t="shared" si="420"/>
        <v>0</v>
      </c>
      <c r="S35" s="7">
        <f t="shared" si="420"/>
        <v>0</v>
      </c>
      <c r="T35" s="7">
        <f t="shared" si="420"/>
        <v>0</v>
      </c>
      <c r="U35" s="7">
        <f t="shared" si="420"/>
        <v>0</v>
      </c>
      <c r="V35" s="7">
        <f t="shared" si="420"/>
        <v>0</v>
      </c>
      <c r="W35" s="7">
        <f t="shared" si="420"/>
        <v>0</v>
      </c>
      <c r="X35" s="7">
        <f t="shared" si="420"/>
        <v>0</v>
      </c>
      <c r="Y35" s="7">
        <f t="shared" si="420"/>
        <v>0</v>
      </c>
      <c r="Z35" s="7">
        <f t="shared" si="420"/>
        <v>0</v>
      </c>
      <c r="AA35" s="7">
        <f t="shared" si="420"/>
        <v>0</v>
      </c>
      <c r="AB35" s="7">
        <f t="shared" si="420"/>
        <v>0</v>
      </c>
      <c r="AC35" s="7">
        <f t="shared" si="420"/>
        <v>0</v>
      </c>
      <c r="AD35" s="7">
        <f t="shared" si="420"/>
        <v>0</v>
      </c>
      <c r="AE35" s="7">
        <f t="shared" si="420"/>
        <v>0</v>
      </c>
      <c r="AF35" s="7">
        <f t="shared" si="420"/>
        <v>0</v>
      </c>
      <c r="AG35" s="7">
        <f t="shared" si="420"/>
        <v>0</v>
      </c>
      <c r="AH35" s="7">
        <f t="shared" si="420"/>
        <v>0</v>
      </c>
      <c r="AI35" s="7">
        <f t="shared" si="420"/>
        <v>0</v>
      </c>
      <c r="AJ35" s="7">
        <f t="shared" si="420"/>
        <v>0</v>
      </c>
      <c r="AK35" s="7">
        <f t="shared" si="420"/>
        <v>0</v>
      </c>
      <c r="AL35" s="7">
        <f t="shared" si="420"/>
        <v>0</v>
      </c>
      <c r="AM35" s="7">
        <f t="shared" si="420"/>
        <v>0</v>
      </c>
      <c r="AN35" s="7">
        <f t="shared" si="420"/>
        <v>0</v>
      </c>
      <c r="AO35" s="7">
        <f t="shared" si="420"/>
        <v>0.5</v>
      </c>
      <c r="AP35" s="7">
        <f t="shared" si="420"/>
        <v>0.65</v>
      </c>
      <c r="AQ35" s="7">
        <f t="shared" si="420"/>
        <v>0.8</v>
      </c>
      <c r="AR35" s="7">
        <f t="shared" si="420"/>
        <v>0.95000000000000007</v>
      </c>
      <c r="AS35" s="7">
        <f t="shared" si="420"/>
        <v>1</v>
      </c>
      <c r="AT35" s="7">
        <f t="shared" si="420"/>
        <v>1</v>
      </c>
      <c r="AU35" s="7">
        <f t="shared" si="420"/>
        <v>1</v>
      </c>
      <c r="AV35" s="7">
        <f t="shared" si="420"/>
        <v>1</v>
      </c>
      <c r="AW35" s="7">
        <f t="shared" si="420"/>
        <v>1</v>
      </c>
      <c r="AX35" s="7">
        <f t="shared" si="420"/>
        <v>1</v>
      </c>
      <c r="AY35" s="7">
        <f t="shared" si="420"/>
        <v>1</v>
      </c>
      <c r="AZ35" s="7">
        <f t="shared" si="420"/>
        <v>1</v>
      </c>
      <c r="BA35" s="7">
        <f t="shared" si="420"/>
        <v>1</v>
      </c>
      <c r="BB35" s="7">
        <f t="shared" si="420"/>
        <v>1</v>
      </c>
      <c r="BC35" s="7">
        <f t="shared" si="420"/>
        <v>1</v>
      </c>
      <c r="BD35" s="7">
        <f t="shared" si="420"/>
        <v>1</v>
      </c>
      <c r="BE35" s="7">
        <f t="shared" si="420"/>
        <v>1</v>
      </c>
      <c r="BF35" s="7">
        <f t="shared" si="420"/>
        <v>1</v>
      </c>
      <c r="BG35" s="7">
        <f t="shared" si="420"/>
        <v>1</v>
      </c>
      <c r="BH35" s="7">
        <f t="shared" si="420"/>
        <v>1</v>
      </c>
      <c r="BI35" s="7">
        <f t="shared" si="420"/>
        <v>1</v>
      </c>
      <c r="BJ35" s="7">
        <f t="shared" ref="BJ35" si="421">BI35+BJ36</f>
        <v>1</v>
      </c>
      <c r="BK35" s="7">
        <f t="shared" ref="BK35" si="422">BJ35+BK36</f>
        <v>1</v>
      </c>
      <c r="BL35" s="7">
        <f t="shared" ref="BL35" si="423">BK35+BL36</f>
        <v>1</v>
      </c>
      <c r="BM35" s="7">
        <f t="shared" ref="BM35" si="424">BL35+BM36</f>
        <v>1</v>
      </c>
      <c r="BN35" s="7">
        <f t="shared" ref="BN35" si="425">BM35+BN36</f>
        <v>1</v>
      </c>
      <c r="BO35" s="7">
        <f t="shared" ref="BO35" si="426">BN35+BO36</f>
        <v>1</v>
      </c>
      <c r="BP35" s="7">
        <f t="shared" ref="BP35" si="427">BO35+BP36</f>
        <v>1</v>
      </c>
      <c r="BQ35" s="7">
        <f t="shared" ref="BQ35" si="428">BP35+BQ36</f>
        <v>1</v>
      </c>
      <c r="BR35" s="7">
        <f t="shared" ref="BR35" si="429">BQ35+BR36</f>
        <v>1</v>
      </c>
      <c r="BS35" s="7">
        <f t="shared" ref="BS35" si="430">BR35+BS36</f>
        <v>1</v>
      </c>
      <c r="BT35" s="7">
        <f t="shared" ref="BT35" si="431">BS35+BT36</f>
        <v>1</v>
      </c>
      <c r="BU35" s="7">
        <f t="shared" ref="BU35" si="432">BT35+BU36</f>
        <v>1</v>
      </c>
      <c r="BV35" s="7">
        <f t="shared" ref="BV35" si="433">BU35+BV36</f>
        <v>1</v>
      </c>
      <c r="BW35" s="7">
        <f t="shared" ref="BW35" si="434">BV35+BW36</f>
        <v>1</v>
      </c>
      <c r="BX35" s="7">
        <f t="shared" ref="BX35" si="435">BW35+BX36</f>
        <v>1</v>
      </c>
      <c r="BY35" s="7">
        <f t="shared" ref="BY35" si="436">BX35+BY36</f>
        <v>1</v>
      </c>
      <c r="BZ35" s="7">
        <f t="shared" ref="BZ35" si="437">BY35+BZ36</f>
        <v>1</v>
      </c>
      <c r="CA35" s="7">
        <f t="shared" ref="CA35" si="438">BZ35+CA36</f>
        <v>1</v>
      </c>
      <c r="CB35" s="7">
        <f t="shared" ref="CB35" si="439">CA35+CB36</f>
        <v>1</v>
      </c>
      <c r="CC35" s="7">
        <f t="shared" ref="CC35" si="440">CB35+CC36</f>
        <v>1</v>
      </c>
      <c r="CD35" s="7">
        <f t="shared" ref="CD35" si="441">CC35+CD36</f>
        <v>1</v>
      </c>
      <c r="CE35" s="7">
        <f t="shared" ref="CE35" si="442">CD35+CE36</f>
        <v>1</v>
      </c>
      <c r="CF35" s="7">
        <f t="shared" ref="CF35" si="443">CE35+CF36</f>
        <v>1</v>
      </c>
      <c r="CG35" s="7">
        <f t="shared" ref="CG35" si="444">CF35+CG36</f>
        <v>1</v>
      </c>
      <c r="CH35" s="7">
        <f t="shared" ref="CH35" si="445">CG35+CH36</f>
        <v>1</v>
      </c>
      <c r="CI35" s="7">
        <f t="shared" ref="CI35" si="446">CH35+CI36</f>
        <v>1</v>
      </c>
      <c r="CJ35" s="7">
        <f t="shared" ref="CJ35" si="447">CI35+CJ36</f>
        <v>1</v>
      </c>
      <c r="CK35" s="7">
        <f t="shared" ref="CK35" si="448">CJ35+CK36</f>
        <v>1</v>
      </c>
      <c r="CL35" s="7">
        <f t="shared" ref="CL35" si="449">CK35+CL36</f>
        <v>1</v>
      </c>
      <c r="CM35" s="7">
        <f t="shared" ref="CM35" si="450">CL35+CM36</f>
        <v>1</v>
      </c>
      <c r="CN35" s="7">
        <f t="shared" ref="CN35" si="451">CM35+CN36</f>
        <v>1</v>
      </c>
      <c r="CO35" s="7">
        <f t="shared" ref="CO35" si="452">CN35+CO36</f>
        <v>1</v>
      </c>
      <c r="CP35" s="7">
        <f t="shared" ref="CP35" si="453">CO35+CP36</f>
        <v>1</v>
      </c>
      <c r="CQ35" s="7">
        <f t="shared" ref="CQ35" si="454">CP35+CQ36</f>
        <v>1</v>
      </c>
      <c r="CR35" s="7">
        <f t="shared" ref="CR35" si="455">CQ35+CR36</f>
        <v>1</v>
      </c>
      <c r="CS35" s="7">
        <f t="shared" ref="CS35" si="456">CR35+CS36</f>
        <v>1</v>
      </c>
      <c r="CT35" s="7">
        <f t="shared" ref="CT35" si="457">CS35+CT36</f>
        <v>1</v>
      </c>
      <c r="CU35" s="7">
        <f t="shared" ref="CU35" si="458">CT35+CU36</f>
        <v>1</v>
      </c>
      <c r="CV35" s="7">
        <f t="shared" ref="CV35" si="459">CU35+CV36</f>
        <v>1</v>
      </c>
      <c r="CW35" s="7">
        <f t="shared" ref="CW35" si="460">CV35+CW36</f>
        <v>1</v>
      </c>
      <c r="CX35" s="7">
        <f t="shared" ref="CX35" si="461">CW35+CX36</f>
        <v>1</v>
      </c>
      <c r="CY35" s="7">
        <f t="shared" ref="CY35" si="462">CX35+CY36</f>
        <v>1</v>
      </c>
      <c r="CZ35" s="7">
        <f t="shared" ref="CZ35" si="463">CY35+CZ36</f>
        <v>1</v>
      </c>
      <c r="DA35" s="7">
        <f t="shared" ref="DA35" si="464">CZ35+DA36</f>
        <v>1</v>
      </c>
      <c r="DB35" s="7">
        <f t="shared" ref="DB35" si="465">DA35+DB36</f>
        <v>1</v>
      </c>
      <c r="DC35" s="7">
        <f t="shared" ref="DC35" si="466">DB35+DC36</f>
        <v>1</v>
      </c>
      <c r="DD35" s="7">
        <f t="shared" ref="DD35" si="467">DC35+DD36</f>
        <v>1</v>
      </c>
      <c r="DE35" s="7">
        <f t="shared" ref="DE35" si="468">DD35+DE36</f>
        <v>1</v>
      </c>
      <c r="DF35" s="7">
        <f t="shared" ref="DF35" si="469">DE35+DF36</f>
        <v>1</v>
      </c>
      <c r="DG35" s="7">
        <f t="shared" ref="DG35" si="470">DF35+DG36</f>
        <v>1</v>
      </c>
      <c r="DH35" s="7">
        <f t="shared" ref="DH35" si="471">DG35+DH36</f>
        <v>1</v>
      </c>
      <c r="DI35" s="7">
        <f t="shared" ref="DI35" si="472">DH35+DI36</f>
        <v>1</v>
      </c>
      <c r="DJ35" s="7">
        <f t="shared" ref="DJ35" si="473">DI35+DJ36</f>
        <v>1</v>
      </c>
      <c r="DK35" s="7">
        <f t="shared" ref="DK35" si="474">DJ35+DK36</f>
        <v>1</v>
      </c>
      <c r="DL35" s="7">
        <f t="shared" ref="DL35" si="475">DK35+DL36</f>
        <v>1</v>
      </c>
      <c r="DM35" s="7">
        <f t="shared" ref="DM35" si="476">DL35+DM36</f>
        <v>1</v>
      </c>
      <c r="DN35" s="7">
        <f t="shared" ref="DN35" si="477">DM35+DN36</f>
        <v>1</v>
      </c>
      <c r="DO35" s="7">
        <f t="shared" ref="DO35" si="478">DN35+DO36</f>
        <v>1</v>
      </c>
      <c r="DP35" s="7">
        <f t="shared" ref="DP35" si="479">DO35+DP36</f>
        <v>1</v>
      </c>
      <c r="DQ35" s="7">
        <f t="shared" ref="DQ35" si="480">DP35+DQ36</f>
        <v>1</v>
      </c>
      <c r="DR35" s="7">
        <f t="shared" ref="DR35" si="481">DQ35+DR36</f>
        <v>1</v>
      </c>
      <c r="DS35" s="7">
        <f t="shared" ref="DS35" si="482">DR35+DS36</f>
        <v>1</v>
      </c>
      <c r="DT35" s="7">
        <f t="shared" ref="DT35" si="483">DS35+DT36</f>
        <v>1</v>
      </c>
      <c r="DU35" s="7">
        <f t="shared" ref="DU35" si="484">DT35+DU36</f>
        <v>1</v>
      </c>
      <c r="DV35" s="7">
        <f t="shared" ref="DV35" si="485">DU35+DV36</f>
        <v>1</v>
      </c>
      <c r="DW35" s="7">
        <f t="shared" ref="DW35" si="486">DV35+DW36</f>
        <v>1</v>
      </c>
      <c r="DX35" s="7">
        <f t="shared" ref="DX35" si="487">DW35+DX36</f>
        <v>1</v>
      </c>
      <c r="DY35" s="7">
        <f t="shared" ref="DY35" si="488">DX35+DY36</f>
        <v>1</v>
      </c>
      <c r="DZ35" s="7">
        <f t="shared" ref="DZ35" si="489">DY35+DZ36</f>
        <v>1</v>
      </c>
      <c r="EA35" s="7">
        <f t="shared" ref="EA35" si="490">DZ35+EA36</f>
        <v>1</v>
      </c>
      <c r="EB35" s="7">
        <f t="shared" ref="EB35" si="491">EA35+EB36</f>
        <v>1</v>
      </c>
      <c r="EC35" s="7">
        <f t="shared" ref="EC35" si="492">EB35+EC36</f>
        <v>1</v>
      </c>
      <c r="ED35" s="7">
        <f t="shared" ref="ED35" si="493">EC35+ED36</f>
        <v>1</v>
      </c>
      <c r="EE35" s="7">
        <f t="shared" ref="EE35" si="494">ED35+EE36</f>
        <v>1</v>
      </c>
      <c r="EF35" s="7">
        <f t="shared" ref="EF35" si="495">EE35+EF36</f>
        <v>1</v>
      </c>
      <c r="EG35" s="7">
        <f t="shared" ref="EG35" si="496">EF35+EG36</f>
        <v>1</v>
      </c>
      <c r="EH35" s="7">
        <f t="shared" ref="EH35" si="497">EG35+EH36</f>
        <v>1</v>
      </c>
      <c r="EI35" s="7">
        <f t="shared" ref="EI35" si="498">EH35+EI36</f>
        <v>1</v>
      </c>
      <c r="EJ35" s="7">
        <f t="shared" ref="EJ35" si="499">EI35+EJ36</f>
        <v>1</v>
      </c>
      <c r="EK35" s="7">
        <f t="shared" ref="EK35" si="500">EJ35+EK36</f>
        <v>1</v>
      </c>
      <c r="EL35" s="7">
        <f t="shared" ref="EL35" si="501">EK35+EL36</f>
        <v>1</v>
      </c>
      <c r="EM35" s="7">
        <f t="shared" ref="EM35" si="502">EL35+EM36</f>
        <v>1</v>
      </c>
      <c r="EN35" s="7">
        <f t="shared" ref="EN35" si="503">EM35+EN36</f>
        <v>1</v>
      </c>
      <c r="EO35" s="7">
        <f t="shared" ref="EO35" si="504">EN35+EO36</f>
        <v>1</v>
      </c>
      <c r="EP35" s="7">
        <f t="shared" ref="EP35" si="505">EO35+EP36</f>
        <v>1</v>
      </c>
      <c r="EQ35" s="7">
        <f t="shared" ref="EQ35" si="506">EP35+EQ36</f>
        <v>1</v>
      </c>
      <c r="ER35" s="7">
        <f t="shared" ref="ER35" si="507">EQ35+ER36</f>
        <v>1</v>
      </c>
      <c r="ES35" s="7">
        <f t="shared" ref="ES35" si="508">ER35+ES36</f>
        <v>1</v>
      </c>
      <c r="ET35" s="7">
        <f t="shared" ref="ET35" si="509">ES35+ET36</f>
        <v>1</v>
      </c>
    </row>
    <row r="36" spans="2:150" x14ac:dyDescent="0.2">
      <c r="B36" t="s">
        <v>141</v>
      </c>
      <c r="F36" s="7">
        <f>IF(F$6=Assumptions!$F$38,Assumptions!$L$17,IF(F$6&gt;Assumptions!$F$38,MIN(Assumptions!$L$18,Assumptions!$L$19-SUM($E$36:E36)),0))</f>
        <v>0</v>
      </c>
      <c r="G36" s="7">
        <f>IF(G$6=Assumptions!$F$38,Assumptions!$L$17,IF(G$6&gt;Assumptions!$F$38,MIN(Assumptions!$L$18,Assumptions!$L$19-SUM($E$36:F36)),0))</f>
        <v>0</v>
      </c>
      <c r="H36" s="7">
        <f>IF(H$6=Assumptions!$F$38,Assumptions!$L$17,IF(H$6&gt;Assumptions!$F$38,MIN(Assumptions!$L$18,Assumptions!$L$19-SUM($E$36:G36)),0))</f>
        <v>0</v>
      </c>
      <c r="I36" s="7">
        <f>IF(I$6=Assumptions!$F$38,Assumptions!$L$17,IF(I$6&gt;Assumptions!$F$38,MIN(Assumptions!$L$18,Assumptions!$L$19-SUM($E$36:H36)),0))</f>
        <v>0</v>
      </c>
      <c r="J36" s="7">
        <f>IF(J$6=Assumptions!$F$38,Assumptions!$L$17,IF(J$6&gt;Assumptions!$F$38,MIN(Assumptions!$L$18,Assumptions!$L$19-SUM($E$36:I36)),0))</f>
        <v>0</v>
      </c>
      <c r="K36" s="7">
        <f>IF(K$6=Assumptions!$F$38,Assumptions!$L$17,IF(K$6&gt;Assumptions!$F$38,MIN(Assumptions!$L$18,Assumptions!$L$19-SUM($E$36:J36)),0))</f>
        <v>0</v>
      </c>
      <c r="L36" s="7">
        <f>IF(L$6=Assumptions!$F$38,Assumptions!$L$17,IF(L$6&gt;Assumptions!$F$38,MIN(Assumptions!$L$18,Assumptions!$L$19-SUM($E$36:K36)),0))</f>
        <v>0</v>
      </c>
      <c r="M36" s="7">
        <f>IF(M$6=Assumptions!$F$38,Assumptions!$L$17,IF(M$6&gt;Assumptions!$F$38,MIN(Assumptions!$L$18,Assumptions!$L$19-SUM($E$36:L36)),0))</f>
        <v>0</v>
      </c>
      <c r="N36" s="7">
        <f>IF(N$6=Assumptions!$F$38,Assumptions!$L$17,IF(N$6&gt;Assumptions!$F$38,MIN(Assumptions!$L$18,Assumptions!$L$19-SUM($E$36:M36)),0))</f>
        <v>0</v>
      </c>
      <c r="O36" s="7">
        <f>IF(O$6=Assumptions!$F$38,Assumptions!$L$17,IF(O$6&gt;Assumptions!$F$38,MIN(Assumptions!$L$18,Assumptions!$L$19-SUM($E$36:N36)),0))</f>
        <v>0</v>
      </c>
      <c r="P36" s="7">
        <f>IF(P$6=Assumptions!$F$38,Assumptions!$L$17,IF(P$6&gt;Assumptions!$F$38,MIN(Assumptions!$L$18,Assumptions!$L$19-SUM($E$36:O36)),0))</f>
        <v>0</v>
      </c>
      <c r="Q36" s="7">
        <f>IF(Q$6=Assumptions!$F$38,Assumptions!$L$17,IF(Q$6&gt;Assumptions!$F$38,MIN(Assumptions!$L$18,Assumptions!$L$19-SUM($E$36:P36)),0))</f>
        <v>0</v>
      </c>
      <c r="R36" s="7">
        <f>IF(R$6=Assumptions!$F$38,Assumptions!$L$17,IF(R$6&gt;Assumptions!$F$38,MIN(Assumptions!$L$18,Assumptions!$L$19-SUM($E$36:Q36)),0))</f>
        <v>0</v>
      </c>
      <c r="S36" s="7">
        <f>IF(S$6=Assumptions!$F$38,Assumptions!$L$17,IF(S$6&gt;Assumptions!$F$38,MIN(Assumptions!$L$18,Assumptions!$L$19-SUM($E$36:R36)),0))</f>
        <v>0</v>
      </c>
      <c r="T36" s="7">
        <f>IF(T$6=Assumptions!$F$38,Assumptions!$L$17,IF(T$6&gt;Assumptions!$F$38,MIN(Assumptions!$L$18,Assumptions!$L$19-SUM($E$36:S36)),0))</f>
        <v>0</v>
      </c>
      <c r="U36" s="7">
        <f>IF(U$6=Assumptions!$F$38,Assumptions!$L$17,IF(U$6&gt;Assumptions!$F$38,MIN(Assumptions!$L$18,Assumptions!$L$19-SUM($E$36:T36)),0))</f>
        <v>0</v>
      </c>
      <c r="V36" s="7">
        <f>IF(V$6=Assumptions!$F$38,Assumptions!$L$17,IF(V$6&gt;Assumptions!$F$38,MIN(Assumptions!$L$18,Assumptions!$L$19-SUM($E$36:U36)),0))</f>
        <v>0</v>
      </c>
      <c r="W36" s="7">
        <f>IF(W$6=Assumptions!$F$38,Assumptions!$L$17,IF(W$6&gt;Assumptions!$F$38,MIN(Assumptions!$L$18,Assumptions!$L$19-SUM($E$36:V36)),0))</f>
        <v>0</v>
      </c>
      <c r="X36" s="7">
        <f>IF(X$6=Assumptions!$F$38,Assumptions!$L$17,IF(X$6&gt;Assumptions!$F$38,MIN(Assumptions!$L$18,Assumptions!$L$19-SUM($E$36:W36)),0))</f>
        <v>0</v>
      </c>
      <c r="Y36" s="7">
        <f>IF(Y$6=Assumptions!$F$38,Assumptions!$L$17,IF(Y$6&gt;Assumptions!$F$38,MIN(Assumptions!$L$18,Assumptions!$L$19-SUM($E$36:X36)),0))</f>
        <v>0</v>
      </c>
      <c r="Z36" s="7">
        <f>IF(Z$6=Assumptions!$F$38,Assumptions!$L$17,IF(Z$6&gt;Assumptions!$F$38,MIN(Assumptions!$L$18,Assumptions!$L$19-SUM($E$36:Y36)),0))</f>
        <v>0</v>
      </c>
      <c r="AA36" s="7">
        <f>IF(AA$6=Assumptions!$F$38,Assumptions!$L$17,IF(AA$6&gt;Assumptions!$F$38,MIN(Assumptions!$L$18,Assumptions!$L$19-SUM($E$36:Z36)),0))</f>
        <v>0</v>
      </c>
      <c r="AB36" s="7">
        <f>IF(AB$6=Assumptions!$F$38,Assumptions!$L$17,IF(AB$6&gt;Assumptions!$F$38,MIN(Assumptions!$L$18,Assumptions!$L$19-SUM($E$36:AA36)),0))</f>
        <v>0</v>
      </c>
      <c r="AC36" s="7">
        <f>IF(AC$6=Assumptions!$F$38,Assumptions!$L$17,IF(AC$6&gt;Assumptions!$F$38,MIN(Assumptions!$L$18,Assumptions!$L$19-SUM($E$36:AB36)),0))</f>
        <v>0</v>
      </c>
      <c r="AD36" s="7">
        <f>IF(AD$6=Assumptions!$F$38,Assumptions!$L$17,IF(AD$6&gt;Assumptions!$F$38,MIN(Assumptions!$L$18,Assumptions!$L$19-SUM($E$36:AC36)),0))</f>
        <v>0</v>
      </c>
      <c r="AE36" s="7">
        <f>IF(AE$6=Assumptions!$F$38,Assumptions!$L$17,IF(AE$6&gt;Assumptions!$F$38,MIN(Assumptions!$L$18,Assumptions!$L$19-SUM($E$36:AD36)),0))</f>
        <v>0</v>
      </c>
      <c r="AF36" s="7">
        <f>IF(AF$6=Assumptions!$F$38,Assumptions!$L$17,IF(AF$6&gt;Assumptions!$F$38,MIN(Assumptions!$L$18,Assumptions!$L$19-SUM($E$36:AE36)),0))</f>
        <v>0</v>
      </c>
      <c r="AG36" s="7">
        <f>IF(AG$6=Assumptions!$F$38,Assumptions!$L$17,IF(AG$6&gt;Assumptions!$F$38,MIN(Assumptions!$L$18,Assumptions!$L$19-SUM($E$36:AF36)),0))</f>
        <v>0</v>
      </c>
      <c r="AH36" s="7">
        <f>IF(AH$6=Assumptions!$F$38,Assumptions!$L$17,IF(AH$6&gt;Assumptions!$F$38,MIN(Assumptions!$L$18,Assumptions!$L$19-SUM($E$36:AG36)),0))</f>
        <v>0</v>
      </c>
      <c r="AI36" s="7">
        <f>IF(AI$6=Assumptions!$F$38,Assumptions!$L$17,IF(AI$6&gt;Assumptions!$F$38,MIN(Assumptions!$L$18,Assumptions!$L$19-SUM($E$36:AH36)),0))</f>
        <v>0</v>
      </c>
      <c r="AJ36" s="7">
        <f>IF(AJ$6=Assumptions!$F$38,Assumptions!$L$17,IF(AJ$6&gt;Assumptions!$F$38,MIN(Assumptions!$L$18,Assumptions!$L$19-SUM($E$36:AI36)),0))</f>
        <v>0</v>
      </c>
      <c r="AK36" s="7">
        <f>IF(AK$6=Assumptions!$F$38,Assumptions!$L$17,IF(AK$6&gt;Assumptions!$F$38,MIN(Assumptions!$L$18,Assumptions!$L$19-SUM($E$36:AJ36)),0))</f>
        <v>0</v>
      </c>
      <c r="AL36" s="7">
        <f>IF(AL$6=Assumptions!$F$38,Assumptions!$L$17,IF(AL$6&gt;Assumptions!$F$38,MIN(Assumptions!$L$18,Assumptions!$L$19-SUM($E$36:AK36)),0))</f>
        <v>0</v>
      </c>
      <c r="AM36" s="7">
        <f>IF(AM$6=Assumptions!$F$38,Assumptions!$L$17,IF(AM$6&gt;Assumptions!$F$38,MIN(Assumptions!$L$18,Assumptions!$L$19-SUM($E$36:AL36)),0))</f>
        <v>0</v>
      </c>
      <c r="AN36" s="7">
        <f>IF(AN$6=Assumptions!$F$38,Assumptions!$L$17,IF(AN$6&gt;Assumptions!$F$38,MIN(Assumptions!$L$18,Assumptions!$L$19-SUM($E$36:AM36)),0))</f>
        <v>0</v>
      </c>
      <c r="AO36" s="7">
        <f>IF(AO$6=Assumptions!$F$38,Assumptions!$L$17,IF(AO$6&gt;Assumptions!$F$38,MIN(Assumptions!$L$18,Assumptions!$L$19-SUM($E$36:AN36)),0))</f>
        <v>0.5</v>
      </c>
      <c r="AP36" s="7">
        <f>IF(AP$6=Assumptions!$F$38,Assumptions!$L$17,IF(AP$6&gt;Assumptions!$F$38,MIN(Assumptions!$L$18,Assumptions!$L$19-SUM($E$36:AO36)),0))</f>
        <v>0.15</v>
      </c>
      <c r="AQ36" s="7">
        <f>IF(AQ$6=Assumptions!$F$38,Assumptions!$L$17,IF(AQ$6&gt;Assumptions!$F$38,MIN(Assumptions!$L$18,Assumptions!$L$19-SUM($E$36:AP36)),0))</f>
        <v>0.15</v>
      </c>
      <c r="AR36" s="7">
        <f>IF(AR$6=Assumptions!$F$38,Assumptions!$L$17,IF(AR$6&gt;Assumptions!$F$38,MIN(Assumptions!$L$18,Assumptions!$L$19-SUM($E$36:AQ36)),0))</f>
        <v>0.15</v>
      </c>
      <c r="AS36" s="7">
        <f>IF(AS$6=Assumptions!$F$38,Assumptions!$L$17,IF(AS$6&gt;Assumptions!$F$38,MIN(Assumptions!$L$18,Assumptions!$L$19-SUM($E$36:AR36)),0))</f>
        <v>4.9999999999999933E-2</v>
      </c>
      <c r="AT36" s="7">
        <f>IF(AT$6=Assumptions!$F$38,Assumptions!$L$17,IF(AT$6&gt;Assumptions!$F$38,MIN(Assumptions!$L$18,Assumptions!$L$19-SUM($E$36:AS36)),0))</f>
        <v>0</v>
      </c>
      <c r="AU36" s="7">
        <f>IF(AU$6=Assumptions!$F$38,Assumptions!$L$17,IF(AU$6&gt;Assumptions!$F$38,MIN(Assumptions!$L$18,Assumptions!$L$19-SUM($E$36:AT36)),0))</f>
        <v>0</v>
      </c>
      <c r="AV36" s="7">
        <f>IF(AV$6=Assumptions!$F$38,Assumptions!$L$17,IF(AV$6&gt;Assumptions!$F$38,MIN(Assumptions!$L$18,Assumptions!$L$19-SUM($E$36:AU36)),0))</f>
        <v>0</v>
      </c>
      <c r="AW36" s="7">
        <f>IF(AW$6=Assumptions!$F$38,Assumptions!$L$17,IF(AW$6&gt;Assumptions!$F$38,MIN(Assumptions!$L$18,Assumptions!$L$19-SUM($E$36:AV36)),0))</f>
        <v>0</v>
      </c>
      <c r="AX36" s="7">
        <f>IF(AX$6=Assumptions!$F$38,Assumptions!$L$17,IF(AX$6&gt;Assumptions!$F$38,MIN(Assumptions!$L$18,Assumptions!$L$19-SUM($E$36:AW36)),0))</f>
        <v>0</v>
      </c>
      <c r="AY36" s="7">
        <f>IF(AY$6=Assumptions!$F$38,Assumptions!$L$17,IF(AY$6&gt;Assumptions!$F$38,MIN(Assumptions!$L$18,Assumptions!$L$19-SUM($E$36:AX36)),0))</f>
        <v>0</v>
      </c>
      <c r="AZ36" s="7">
        <f>IF(AZ$6=Assumptions!$F$38,Assumptions!$L$17,IF(AZ$6&gt;Assumptions!$F$38,MIN(Assumptions!$L$18,Assumptions!$L$19-SUM($E$36:AY36)),0))</f>
        <v>0</v>
      </c>
      <c r="BA36" s="7">
        <f>IF(BA$6=Assumptions!$F$38,Assumptions!$L$17,IF(BA$6&gt;Assumptions!$F$38,MIN(Assumptions!$L$18,Assumptions!$L$19-SUM($E$36:AZ36)),0))</f>
        <v>0</v>
      </c>
      <c r="BB36" s="7">
        <f>IF(BB$6=Assumptions!$F$38,Assumptions!$L$17,IF(BB$6&gt;Assumptions!$F$38,MIN(Assumptions!$L$18,Assumptions!$L$19-SUM($E$36:BA36)),0))</f>
        <v>0</v>
      </c>
      <c r="BC36" s="7">
        <f>IF(BC$6=Assumptions!$F$38,Assumptions!$L$17,IF(BC$6&gt;Assumptions!$F$38,MIN(Assumptions!$L$18,Assumptions!$L$19-SUM($E$36:BB36)),0))</f>
        <v>0</v>
      </c>
      <c r="BD36" s="7">
        <f>IF(BD$6=Assumptions!$F$38,Assumptions!$L$17,IF(BD$6&gt;Assumptions!$F$38,MIN(Assumptions!$L$18,Assumptions!$L$19-SUM($E$36:BC36)),0))</f>
        <v>0</v>
      </c>
      <c r="BE36" s="7">
        <f>IF(BE$6=Assumptions!$F$38,Assumptions!$L$17,IF(BE$6&gt;Assumptions!$F$38,MIN(Assumptions!$L$18,Assumptions!$L$19-SUM($E$36:BD36)),0))</f>
        <v>0</v>
      </c>
      <c r="BF36" s="7">
        <f>IF(BF$6=Assumptions!$F$38,Assumptions!$L$17,IF(BF$6&gt;Assumptions!$F$38,MIN(Assumptions!$L$18,Assumptions!$L$19-SUM($E$36:BE36)),0))</f>
        <v>0</v>
      </c>
      <c r="BG36" s="7">
        <f>IF(BG$6=Assumptions!$F$38,Assumptions!$L$17,IF(BG$6&gt;Assumptions!$F$38,MIN(Assumptions!$L$18,Assumptions!$L$19-SUM($E$36:BF36)),0))</f>
        <v>0</v>
      </c>
      <c r="BH36" s="7">
        <f>IF(BH$6=Assumptions!$F$38,Assumptions!$L$17,IF(BH$6&gt;Assumptions!$F$38,MIN(Assumptions!$L$18,Assumptions!$L$19-SUM($E$36:BG36)),0))</f>
        <v>0</v>
      </c>
      <c r="BI36" s="7">
        <f>IF(BI$6=Assumptions!$F$38,Assumptions!$L$17,IF(BI$6&gt;Assumptions!$F$38,MIN(Assumptions!$L$18,Assumptions!$L$19-SUM($E$36:BH36)),0))</f>
        <v>0</v>
      </c>
      <c r="BJ36" s="7">
        <f>IF(BJ$6=Assumptions!$F$38,Assumptions!$L$17,IF(BJ$6&gt;Assumptions!$F$38,MIN(Assumptions!$L$18,Assumptions!$L$19-SUM($E$36:BI36)),0))</f>
        <v>0</v>
      </c>
      <c r="BK36" s="7">
        <f>IF(BK$6=Assumptions!$F$38,Assumptions!$L$17,IF(BK$6&gt;Assumptions!$F$38,MIN(Assumptions!$L$18,Assumptions!$L$19-SUM($E$36:BJ36)),0))</f>
        <v>0</v>
      </c>
      <c r="BL36" s="7">
        <f>IF(BL$6=Assumptions!$F$38,Assumptions!$L$17,IF(BL$6&gt;Assumptions!$F$38,MIN(Assumptions!$L$18,Assumptions!$L$19-SUM($E$36:BK36)),0))</f>
        <v>0</v>
      </c>
      <c r="BM36" s="7">
        <f>IF(BM$6=Assumptions!$F$38,Assumptions!$L$17,IF(BM$6&gt;Assumptions!$F$38,MIN(Assumptions!$L$18,Assumptions!$L$19-SUM($E$36:BL36)),0))</f>
        <v>0</v>
      </c>
      <c r="BN36" s="7">
        <f>IF(BN$6=Assumptions!$F$38,Assumptions!$L$17,IF(BN$6&gt;Assumptions!$F$38,MIN(Assumptions!$L$18,Assumptions!$L$19-SUM($E$36:BM36)),0))</f>
        <v>0</v>
      </c>
      <c r="BO36" s="7">
        <f>IF(BO$6=Assumptions!$F$38,Assumptions!$L$17,IF(BO$6&gt;Assumptions!$F$38,MIN(Assumptions!$L$18,Assumptions!$L$19-SUM($E$36:BN36)),0))</f>
        <v>0</v>
      </c>
      <c r="BP36" s="7">
        <f>IF(BP$6=Assumptions!$F$38,Assumptions!$L$17,IF(BP$6&gt;Assumptions!$F$38,MIN(Assumptions!$L$18,Assumptions!$L$19-SUM($E$36:BO36)),0))</f>
        <v>0</v>
      </c>
      <c r="BQ36" s="7">
        <f>IF(BQ$6=Assumptions!$F$38,Assumptions!$L$17,IF(BQ$6&gt;Assumptions!$F$38,MIN(Assumptions!$L$18,Assumptions!$L$19-SUM($E$36:BP36)),0))</f>
        <v>0</v>
      </c>
      <c r="BR36" s="7">
        <f>IF(BR$6=Assumptions!$F$38,Assumptions!$L$17,IF(BR$6&gt;Assumptions!$F$38,MIN(Assumptions!$L$18,Assumptions!$L$19-SUM($E$36:BQ36)),0))</f>
        <v>0</v>
      </c>
      <c r="BS36" s="7">
        <f>IF(BS$6=Assumptions!$F$38,Assumptions!$L$17,IF(BS$6&gt;Assumptions!$F$38,MIN(Assumptions!$L$18,Assumptions!$L$19-SUM($E$36:BR36)),0))</f>
        <v>0</v>
      </c>
      <c r="BT36" s="7">
        <f>IF(BT$6=Assumptions!$F$38,Assumptions!$L$17,IF(BT$6&gt;Assumptions!$F$38,MIN(Assumptions!$L$18,Assumptions!$L$19-SUM($E$36:BS36)),0))</f>
        <v>0</v>
      </c>
      <c r="BU36" s="7">
        <f>IF(BU$6=Assumptions!$F$38,Assumptions!$L$17,IF(BU$6&gt;Assumptions!$F$38,MIN(Assumptions!$L$18,Assumptions!$L$19-SUM($E$36:BT36)),0))</f>
        <v>0</v>
      </c>
      <c r="BV36" s="7">
        <f>IF(BV$6=Assumptions!$F$38,Assumptions!$L$17,IF(BV$6&gt;Assumptions!$F$38,MIN(Assumptions!$L$18,Assumptions!$L$19-SUM($E$36:BU36)),0))</f>
        <v>0</v>
      </c>
      <c r="BW36" s="7">
        <f>IF(BW$6=Assumptions!$F$38,Assumptions!$L$17,IF(BW$6&gt;Assumptions!$F$38,MIN(Assumptions!$L$18,Assumptions!$L$19-SUM($E$36:BV36)),0))</f>
        <v>0</v>
      </c>
      <c r="BX36" s="7">
        <f>IF(BX$6=Assumptions!$F$38,Assumptions!$L$17,IF(BX$6&gt;Assumptions!$F$38,MIN(Assumptions!$L$18,Assumptions!$L$19-SUM($E$36:BW36)),0))</f>
        <v>0</v>
      </c>
      <c r="BY36" s="7">
        <f>IF(BY$6=Assumptions!$F$38,Assumptions!$L$17,IF(BY$6&gt;Assumptions!$F$38,MIN(Assumptions!$L$18,Assumptions!$L$19-SUM($E$36:BX36)),0))</f>
        <v>0</v>
      </c>
      <c r="BZ36" s="7">
        <f>IF(BZ$6=Assumptions!$F$38,Assumptions!$L$17,IF(BZ$6&gt;Assumptions!$F$38,MIN(Assumptions!$L$18,Assumptions!$L$19-SUM($E$36:BY36)),0))</f>
        <v>0</v>
      </c>
      <c r="CA36" s="7">
        <f>IF(CA$6=Assumptions!$F$38,Assumptions!$L$17,IF(CA$6&gt;Assumptions!$F$38,MIN(Assumptions!$L$18,Assumptions!$L$19-SUM($E$36:BZ36)),0))</f>
        <v>0</v>
      </c>
      <c r="CB36" s="7">
        <f>IF(CB$6=Assumptions!$F$38,Assumptions!$L$17,IF(CB$6&gt;Assumptions!$F$38,MIN(Assumptions!$L$18,Assumptions!$L$19-SUM($E$36:CA36)),0))</f>
        <v>0</v>
      </c>
      <c r="CC36" s="7">
        <f>IF(CC$6=Assumptions!$F$38,Assumptions!$L$17,IF(CC$6&gt;Assumptions!$F$38,MIN(Assumptions!$L$18,Assumptions!$L$19-SUM($E$36:CB36)),0))</f>
        <v>0</v>
      </c>
      <c r="CD36" s="7">
        <f>IF(CD$6=Assumptions!$F$38,Assumptions!$L$17,IF(CD$6&gt;Assumptions!$F$38,MIN(Assumptions!$L$18,Assumptions!$L$19-SUM($E$36:CC36)),0))</f>
        <v>0</v>
      </c>
      <c r="CE36" s="7">
        <f>IF(CE$6=Assumptions!$F$38,Assumptions!$L$17,IF(CE$6&gt;Assumptions!$F$38,MIN(Assumptions!$L$18,Assumptions!$L$19-SUM($E$36:CD36)),0))</f>
        <v>0</v>
      </c>
      <c r="CF36" s="7">
        <f>IF(CF$6=Assumptions!$F$38,Assumptions!$L$17,IF(CF$6&gt;Assumptions!$F$38,MIN(Assumptions!$L$18,Assumptions!$L$19-SUM($E$36:CE36)),0))</f>
        <v>0</v>
      </c>
      <c r="CG36" s="7">
        <f>IF(CG$6=Assumptions!$F$38,Assumptions!$L$17,IF(CG$6&gt;Assumptions!$F$38,MIN(Assumptions!$L$18,Assumptions!$L$19-SUM($E$36:CF36)),0))</f>
        <v>0</v>
      </c>
      <c r="CH36" s="7">
        <f>IF(CH$6=Assumptions!$F$38,Assumptions!$L$17,IF(CH$6&gt;Assumptions!$F$38,MIN(Assumptions!$L$18,Assumptions!$L$19-SUM($E$36:CG36)),0))</f>
        <v>0</v>
      </c>
      <c r="CI36" s="7">
        <f>IF(CI$6=Assumptions!$F$38,Assumptions!$L$17,IF(CI$6&gt;Assumptions!$F$38,MIN(Assumptions!$L$18,Assumptions!$L$19-SUM($E$36:CH36)),0))</f>
        <v>0</v>
      </c>
      <c r="CJ36" s="7">
        <f>IF(CJ$6=Assumptions!$F$38,Assumptions!$L$17,IF(CJ$6&gt;Assumptions!$F$38,MIN(Assumptions!$L$18,Assumptions!$L$19-SUM($E$36:CI36)),0))</f>
        <v>0</v>
      </c>
      <c r="CK36" s="7">
        <f>IF(CK$6=Assumptions!$F$38,Assumptions!$L$17,IF(CK$6&gt;Assumptions!$F$38,MIN(Assumptions!$L$18,Assumptions!$L$19-SUM($E$36:CJ36)),0))</f>
        <v>0</v>
      </c>
      <c r="CL36" s="7">
        <f>IF(CL$6=Assumptions!$F$38,Assumptions!$L$17,IF(CL$6&gt;Assumptions!$F$38,MIN(Assumptions!$L$18,Assumptions!$L$19-SUM($E$36:CK36)),0))</f>
        <v>0</v>
      </c>
      <c r="CM36" s="7">
        <f>IF(CM$6=Assumptions!$F$38,Assumptions!$L$17,IF(CM$6&gt;Assumptions!$F$38,MIN(Assumptions!$L$18,Assumptions!$L$19-SUM($E$36:CL36)),0))</f>
        <v>0</v>
      </c>
      <c r="CN36" s="7">
        <f>IF(CN$6=Assumptions!$F$38,Assumptions!$L$17,IF(CN$6&gt;Assumptions!$F$38,MIN(Assumptions!$L$18,Assumptions!$L$19-SUM($E$36:CM36)),0))</f>
        <v>0</v>
      </c>
      <c r="CO36" s="7">
        <f>IF(CO$6=Assumptions!$F$38,Assumptions!$L$17,IF(CO$6&gt;Assumptions!$F$38,MIN(Assumptions!$L$18,Assumptions!$L$19-SUM($E$36:CN36)),0))</f>
        <v>0</v>
      </c>
      <c r="CP36" s="7">
        <f>IF(CP$6=Assumptions!$F$38,Assumptions!$L$17,IF(CP$6&gt;Assumptions!$F$38,MIN(Assumptions!$L$18,Assumptions!$L$19-SUM($E$36:CO36)),0))</f>
        <v>0</v>
      </c>
      <c r="CQ36" s="7">
        <f>IF(CQ$6=Assumptions!$F$38,Assumptions!$L$17,IF(CQ$6&gt;Assumptions!$F$38,MIN(Assumptions!$L$18,Assumptions!$L$19-SUM($E$36:CP36)),0))</f>
        <v>0</v>
      </c>
      <c r="CR36" s="7">
        <f>IF(CR$6=Assumptions!$F$38,Assumptions!$L$17,IF(CR$6&gt;Assumptions!$F$38,MIN(Assumptions!$L$18,Assumptions!$L$19-SUM($E$36:CQ36)),0))</f>
        <v>0</v>
      </c>
      <c r="CS36" s="7">
        <f>IF(CS$6=Assumptions!$F$38,Assumptions!$L$17,IF(CS$6&gt;Assumptions!$F$38,MIN(Assumptions!$L$18,Assumptions!$L$19-SUM($E$36:CR36)),0))</f>
        <v>0</v>
      </c>
      <c r="CT36" s="7">
        <f>IF(CT$6=Assumptions!$F$38,Assumptions!$L$17,IF(CT$6&gt;Assumptions!$F$38,MIN(Assumptions!$L$18,Assumptions!$L$19-SUM($E$36:CS36)),0))</f>
        <v>0</v>
      </c>
      <c r="CU36" s="7">
        <f>IF(CU$6=Assumptions!$F$38,Assumptions!$L$17,IF(CU$6&gt;Assumptions!$F$38,MIN(Assumptions!$L$18,Assumptions!$L$19-SUM($E$36:CT36)),0))</f>
        <v>0</v>
      </c>
      <c r="CV36" s="7">
        <f>IF(CV$6=Assumptions!$F$38,Assumptions!$L$17,IF(CV$6&gt;Assumptions!$F$38,MIN(Assumptions!$L$18,Assumptions!$L$19-SUM($E$36:CU36)),0))</f>
        <v>0</v>
      </c>
      <c r="CW36" s="7">
        <f>IF(CW$6=Assumptions!$F$38,Assumptions!$L$17,IF(CW$6&gt;Assumptions!$F$38,MIN(Assumptions!$L$18,Assumptions!$L$19-SUM($E$36:CV36)),0))</f>
        <v>0</v>
      </c>
      <c r="CX36" s="7">
        <f>IF(CX$6=Assumptions!$F$38,Assumptions!$L$17,IF(CX$6&gt;Assumptions!$F$38,MIN(Assumptions!$L$18,Assumptions!$L$19-SUM($E$36:CW36)),0))</f>
        <v>0</v>
      </c>
      <c r="CY36" s="7">
        <f>IF(CY$6=Assumptions!$F$38,Assumptions!$L$17,IF(CY$6&gt;Assumptions!$F$38,MIN(Assumptions!$L$18,Assumptions!$L$19-SUM($E$36:CX36)),0))</f>
        <v>0</v>
      </c>
      <c r="CZ36" s="7">
        <f>IF(CZ$6=Assumptions!$F$38,Assumptions!$L$17,IF(CZ$6&gt;Assumptions!$F$38,MIN(Assumptions!$L$18,Assumptions!$L$19-SUM($E$36:CY36)),0))</f>
        <v>0</v>
      </c>
      <c r="DA36" s="7">
        <f>IF(DA$6=Assumptions!$F$38,Assumptions!$L$17,IF(DA$6&gt;Assumptions!$F$38,MIN(Assumptions!$L$18,Assumptions!$L$19-SUM($E$36:CZ36)),0))</f>
        <v>0</v>
      </c>
      <c r="DB36" s="7">
        <f>IF(DB$6=Assumptions!$F$38,Assumptions!$L$17,IF(DB$6&gt;Assumptions!$F$38,MIN(Assumptions!$L$18,Assumptions!$L$19-SUM($E$36:DA36)),0))</f>
        <v>0</v>
      </c>
      <c r="DC36" s="7">
        <f>IF(DC$6=Assumptions!$F$38,Assumptions!$L$17,IF(DC$6&gt;Assumptions!$F$38,MIN(Assumptions!$L$18,Assumptions!$L$19-SUM($E$36:DB36)),0))</f>
        <v>0</v>
      </c>
      <c r="DD36" s="7">
        <f>IF(DD$6=Assumptions!$F$38,Assumptions!$L$17,IF(DD$6&gt;Assumptions!$F$38,MIN(Assumptions!$L$18,Assumptions!$L$19-SUM($E$36:DC36)),0))</f>
        <v>0</v>
      </c>
      <c r="DE36" s="7">
        <f>IF(DE$6=Assumptions!$F$38,Assumptions!$L$17,IF(DE$6&gt;Assumptions!$F$38,MIN(Assumptions!$L$18,Assumptions!$L$19-SUM($E$36:DD36)),0))</f>
        <v>0</v>
      </c>
      <c r="DF36" s="7">
        <f>IF(DF$6=Assumptions!$F$38,Assumptions!$L$17,IF(DF$6&gt;Assumptions!$F$38,MIN(Assumptions!$L$18,Assumptions!$L$19-SUM($E$36:DE36)),0))</f>
        <v>0</v>
      </c>
      <c r="DG36" s="7">
        <f>IF(DG$6=Assumptions!$F$38,Assumptions!$L$17,IF(DG$6&gt;Assumptions!$F$38,MIN(Assumptions!$L$18,Assumptions!$L$19-SUM($E$36:DF36)),0))</f>
        <v>0</v>
      </c>
      <c r="DH36" s="7">
        <f>IF(DH$6=Assumptions!$F$38,Assumptions!$L$17,IF(DH$6&gt;Assumptions!$F$38,MIN(Assumptions!$L$18,Assumptions!$L$19-SUM($E$36:DG36)),0))</f>
        <v>0</v>
      </c>
      <c r="DI36" s="7">
        <f>IF(DI$6=Assumptions!$F$38,Assumptions!$L$17,IF(DI$6&gt;Assumptions!$F$38,MIN(Assumptions!$L$18,Assumptions!$L$19-SUM($E$36:DH36)),0))</f>
        <v>0</v>
      </c>
      <c r="DJ36" s="7">
        <f>IF(DJ$6=Assumptions!$F$38,Assumptions!$L$17,IF(DJ$6&gt;Assumptions!$F$38,MIN(Assumptions!$L$18,Assumptions!$L$19-SUM($E$36:DI36)),0))</f>
        <v>0</v>
      </c>
      <c r="DK36" s="7">
        <f>IF(DK$6=Assumptions!$F$38,Assumptions!$L$17,IF(DK$6&gt;Assumptions!$F$38,MIN(Assumptions!$L$18,Assumptions!$L$19-SUM($E$36:DJ36)),0))</f>
        <v>0</v>
      </c>
      <c r="DL36" s="7">
        <f>IF(DL$6=Assumptions!$F$38,Assumptions!$L$17,IF(DL$6&gt;Assumptions!$F$38,MIN(Assumptions!$L$18,Assumptions!$L$19-SUM($E$36:DK36)),0))</f>
        <v>0</v>
      </c>
      <c r="DM36" s="7">
        <f>IF(DM$6=Assumptions!$F$38,Assumptions!$L$17,IF(DM$6&gt;Assumptions!$F$38,MIN(Assumptions!$L$18,Assumptions!$L$19-SUM($E$36:DL36)),0))</f>
        <v>0</v>
      </c>
      <c r="DN36" s="7">
        <f>IF(DN$6=Assumptions!$F$38,Assumptions!$L$17,IF(DN$6&gt;Assumptions!$F$38,MIN(Assumptions!$L$18,Assumptions!$L$19-SUM($E$36:DM36)),0))</f>
        <v>0</v>
      </c>
      <c r="DO36" s="7">
        <f>IF(DO$6=Assumptions!$F$38,Assumptions!$L$17,IF(DO$6&gt;Assumptions!$F$38,MIN(Assumptions!$L$18,Assumptions!$L$19-SUM($E$36:DN36)),0))</f>
        <v>0</v>
      </c>
      <c r="DP36" s="7">
        <f>IF(DP$6=Assumptions!$F$38,Assumptions!$L$17,IF(DP$6&gt;Assumptions!$F$38,MIN(Assumptions!$L$18,Assumptions!$L$19-SUM($E$36:DO36)),0))</f>
        <v>0</v>
      </c>
      <c r="DQ36" s="7">
        <f>IF(DQ$6=Assumptions!$F$38,Assumptions!$L$17,IF(DQ$6&gt;Assumptions!$F$38,MIN(Assumptions!$L$18,Assumptions!$L$19-SUM($E$36:DP36)),0))</f>
        <v>0</v>
      </c>
      <c r="DR36" s="7">
        <f>IF(DR$6=Assumptions!$F$38,Assumptions!$L$17,IF(DR$6&gt;Assumptions!$F$38,MIN(Assumptions!$L$18,Assumptions!$L$19-SUM($E$36:DQ36)),0))</f>
        <v>0</v>
      </c>
      <c r="DS36" s="7">
        <f>IF(DS$6=Assumptions!$F$38,Assumptions!$L$17,IF(DS$6&gt;Assumptions!$F$38,MIN(Assumptions!$L$18,Assumptions!$L$19-SUM($E$36:DR36)),0))</f>
        <v>0</v>
      </c>
      <c r="DT36" s="7">
        <f>IF(DT$6=Assumptions!$F$38,Assumptions!$L$17,IF(DT$6&gt;Assumptions!$F$38,MIN(Assumptions!$L$18,Assumptions!$L$19-SUM($E$36:DS36)),0))</f>
        <v>0</v>
      </c>
      <c r="DU36" s="7">
        <f>IF(DU$6=Assumptions!$F$38,Assumptions!$L$17,IF(DU$6&gt;Assumptions!$F$38,MIN(Assumptions!$L$18,Assumptions!$L$19-SUM($E$36:DT36)),0))</f>
        <v>0</v>
      </c>
      <c r="DV36" s="7">
        <f>IF(DV$6=Assumptions!$F$38,Assumptions!$L$17,IF(DV$6&gt;Assumptions!$F$38,MIN(Assumptions!$L$18,Assumptions!$L$19-SUM($E$36:DU36)),0))</f>
        <v>0</v>
      </c>
      <c r="DW36" s="7">
        <f>IF(DW$6=Assumptions!$F$38,Assumptions!$L$17,IF(DW$6&gt;Assumptions!$F$38,MIN(Assumptions!$L$18,Assumptions!$L$19-SUM($E$36:DV36)),0))</f>
        <v>0</v>
      </c>
      <c r="DX36" s="7">
        <f>IF(DX$6=Assumptions!$F$38,Assumptions!$L$17,IF(DX$6&gt;Assumptions!$F$38,MIN(Assumptions!$L$18,Assumptions!$L$19-SUM($E$36:DW36)),0))</f>
        <v>0</v>
      </c>
      <c r="DY36" s="7">
        <f>IF(DY$6=Assumptions!$F$38,Assumptions!$L$17,IF(DY$6&gt;Assumptions!$F$38,MIN(Assumptions!$L$18,Assumptions!$L$19-SUM($E$36:DX36)),0))</f>
        <v>0</v>
      </c>
      <c r="DZ36" s="7">
        <f>IF(DZ$6=Assumptions!$F$38,Assumptions!$L$17,IF(DZ$6&gt;Assumptions!$F$38,MIN(Assumptions!$L$18,Assumptions!$L$19-SUM($E$36:DY36)),0))</f>
        <v>0</v>
      </c>
      <c r="EA36" s="7">
        <f>IF(EA$6=Assumptions!$F$38,Assumptions!$L$17,IF(EA$6&gt;Assumptions!$F$38,MIN(Assumptions!$L$18,Assumptions!$L$19-SUM($E$36:DZ36)),0))</f>
        <v>0</v>
      </c>
      <c r="EB36" s="7">
        <f>IF(EB$6=Assumptions!$F$38,Assumptions!$L$17,IF(EB$6&gt;Assumptions!$F$38,MIN(Assumptions!$L$18,Assumptions!$L$19-SUM($E$36:EA36)),0))</f>
        <v>0</v>
      </c>
      <c r="EC36" s="7">
        <f>IF(EC$6=Assumptions!$F$38,Assumptions!$L$17,IF(EC$6&gt;Assumptions!$F$38,MIN(Assumptions!$L$18,Assumptions!$L$19-SUM($E$36:EB36)),0))</f>
        <v>0</v>
      </c>
      <c r="ED36" s="7">
        <f>IF(ED$6=Assumptions!$F$38,Assumptions!$L$17,IF(ED$6&gt;Assumptions!$F$38,MIN(Assumptions!$L$18,Assumptions!$L$19-SUM($E$36:EC36)),0))</f>
        <v>0</v>
      </c>
      <c r="EE36" s="7">
        <f>IF(EE$6=Assumptions!$F$38,Assumptions!$L$17,IF(EE$6&gt;Assumptions!$F$38,MIN(Assumptions!$L$18,Assumptions!$L$19-SUM($E$36:ED36)),0))</f>
        <v>0</v>
      </c>
      <c r="EF36" s="7">
        <f>IF(EF$6=Assumptions!$F$38,Assumptions!$L$17,IF(EF$6&gt;Assumptions!$F$38,MIN(Assumptions!$L$18,Assumptions!$L$19-SUM($E$36:EE36)),0))</f>
        <v>0</v>
      </c>
      <c r="EG36" s="7">
        <f>IF(EG$6=Assumptions!$F$38,Assumptions!$L$17,IF(EG$6&gt;Assumptions!$F$38,MIN(Assumptions!$L$18,Assumptions!$L$19-SUM($E$36:EF36)),0))</f>
        <v>0</v>
      </c>
      <c r="EH36" s="7">
        <f>IF(EH$6=Assumptions!$F$38,Assumptions!$L$17,IF(EH$6&gt;Assumptions!$F$38,MIN(Assumptions!$L$18,Assumptions!$L$19-SUM($E$36:EG36)),0))</f>
        <v>0</v>
      </c>
      <c r="EI36" s="7">
        <f>IF(EI$6=Assumptions!$F$38,Assumptions!$L$17,IF(EI$6&gt;Assumptions!$F$38,MIN(Assumptions!$L$18,Assumptions!$L$19-SUM($E$36:EH36)),0))</f>
        <v>0</v>
      </c>
      <c r="EJ36" s="7">
        <f>IF(EJ$6=Assumptions!$F$38,Assumptions!$L$17,IF(EJ$6&gt;Assumptions!$F$38,MIN(Assumptions!$L$18,Assumptions!$L$19-SUM($E$36:EI36)),0))</f>
        <v>0</v>
      </c>
      <c r="EK36" s="7">
        <f>IF(EK$6=Assumptions!$F$38,Assumptions!$L$17,IF(EK$6&gt;Assumptions!$F$38,MIN(Assumptions!$L$18,Assumptions!$L$19-SUM($E$36:EJ36)),0))</f>
        <v>0</v>
      </c>
      <c r="EL36" s="7">
        <f>IF(EL$6=Assumptions!$F$38,Assumptions!$L$17,IF(EL$6&gt;Assumptions!$F$38,MIN(Assumptions!$L$18,Assumptions!$L$19-SUM($E$36:EK36)),0))</f>
        <v>0</v>
      </c>
      <c r="EM36" s="7">
        <f>IF(EM$6=Assumptions!$F$38,Assumptions!$L$17,IF(EM$6&gt;Assumptions!$F$38,MIN(Assumptions!$L$18,Assumptions!$L$19-SUM($E$36:EL36)),0))</f>
        <v>0</v>
      </c>
      <c r="EN36" s="7">
        <f>IF(EN$6=Assumptions!$F$38,Assumptions!$L$17,IF(EN$6&gt;Assumptions!$F$38,MIN(Assumptions!$L$18,Assumptions!$L$19-SUM($E$36:EM36)),0))</f>
        <v>0</v>
      </c>
      <c r="EO36" s="7">
        <f>IF(EO$6=Assumptions!$F$38,Assumptions!$L$17,IF(EO$6&gt;Assumptions!$F$38,MIN(Assumptions!$L$18,Assumptions!$L$19-SUM($E$36:EN36)),0))</f>
        <v>0</v>
      </c>
      <c r="EP36" s="7">
        <f>IF(EP$6=Assumptions!$F$38,Assumptions!$L$17,IF(EP$6&gt;Assumptions!$F$38,MIN(Assumptions!$L$18,Assumptions!$L$19-SUM($E$36:EO36)),0))</f>
        <v>0</v>
      </c>
      <c r="EQ36" s="7">
        <f>IF(EQ$6=Assumptions!$F$38,Assumptions!$L$17,IF(EQ$6&gt;Assumptions!$F$38,MIN(Assumptions!$L$18,Assumptions!$L$19-SUM($E$36:EP36)),0))</f>
        <v>0</v>
      </c>
      <c r="ER36" s="7">
        <f>IF(ER$6=Assumptions!$F$38,Assumptions!$L$17,IF(ER$6&gt;Assumptions!$F$38,MIN(Assumptions!$L$18,Assumptions!$L$19-SUM($E$36:EQ36)),0))</f>
        <v>0</v>
      </c>
      <c r="ES36" s="7">
        <f>IF(ES$6=Assumptions!$F$38,Assumptions!$L$17,IF(ES$6&gt;Assumptions!$F$38,MIN(Assumptions!$L$18,Assumptions!$L$19-SUM($E$36:ER36)),0))</f>
        <v>0</v>
      </c>
      <c r="ET36" s="7">
        <f>IF(ET$6=Assumptions!$F$38,Assumptions!$L$17,IF(ET$6&gt;Assumptions!$F$38,MIN(Assumptions!$L$18,Assumptions!$L$19-SUM($E$36:ES36)),0))</f>
        <v>0</v>
      </c>
    </row>
    <row r="37" spans="2:150" x14ac:dyDescent="0.2"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</row>
    <row r="38" spans="2:150" x14ac:dyDescent="0.2">
      <c r="B38" s="4" t="s">
        <v>144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</row>
    <row r="39" spans="2:150" x14ac:dyDescent="0.2">
      <c r="B39" t="s">
        <v>187</v>
      </c>
      <c r="F39" s="103">
        <f>IF(Assumptions!$L$8="Yes",IF(F$6&gt;=Assumptions!$F$35,Assumptions!$K$4*(1+Assumptions!$L$4)^ROUNDDOWN(YEARFRAC(F$6,Assumptions!$F$35),0),0),IF(F$6&gt;=Assumptions!$F$38,Assumptions!$K$4*(1+Assumptions!$L$4)^ROUNDDOWN(YEARFRAC(F$6,Assumptions!$F$38),0),0))</f>
        <v>3.2694303706590637</v>
      </c>
      <c r="G39" s="103">
        <f>IF(Assumptions!$L$8="Yes",IF(G$6&gt;=Assumptions!$F$35,Assumptions!$K$4*(1+Assumptions!$L$4)^ROUNDDOWN(YEARFRAC(G$6,Assumptions!$F$35),0),0),IF(G$6&gt;=Assumptions!$F$38,Assumptions!$K$4*(1+Assumptions!$L$4)^ROUNDDOWN(YEARFRAC(G$6,Assumptions!$F$38),0),0))</f>
        <v>3.2694303706590637</v>
      </c>
      <c r="H39" s="103">
        <f>IF(Assumptions!$L$8="Yes",IF(H$6&gt;=Assumptions!$F$35,Assumptions!$K$4*(1+Assumptions!$L$4)^ROUNDDOWN(YEARFRAC(H$6,Assumptions!$F$35),0),0),IF(H$6&gt;=Assumptions!$F$38,Assumptions!$K$4*(1+Assumptions!$L$4)^ROUNDDOWN(YEARFRAC(H$6,Assumptions!$F$38),0),0))</f>
        <v>3.2694303706590637</v>
      </c>
      <c r="I39" s="103">
        <f>IF(Assumptions!$L$8="Yes",IF(I$6&gt;=Assumptions!$F$35,Assumptions!$K$4*(1+Assumptions!$L$4)^ROUNDDOWN(YEARFRAC(I$6,Assumptions!$F$35),0),0),IF(I$6&gt;=Assumptions!$F$38,Assumptions!$K$4*(1+Assumptions!$L$4)^ROUNDDOWN(YEARFRAC(I$6,Assumptions!$F$38),0),0))</f>
        <v>3.2694303706590637</v>
      </c>
      <c r="J39" s="103">
        <f>IF(Assumptions!$L$8="Yes",IF(J$6&gt;=Assumptions!$F$35,Assumptions!$K$4*(1+Assumptions!$L$4)^ROUNDDOWN(YEARFRAC(J$6,Assumptions!$F$35),0),0),IF(J$6&gt;=Assumptions!$F$38,Assumptions!$K$4*(1+Assumptions!$L$4)^ROUNDDOWN(YEARFRAC(J$6,Assumptions!$F$38),0),0))</f>
        <v>3.2694303706590637</v>
      </c>
      <c r="K39" s="103">
        <f>IF(Assumptions!$L$8="Yes",IF(K$6&gt;=Assumptions!$F$35,Assumptions!$K$4*(1+Assumptions!$L$4)^ROUNDDOWN(YEARFRAC(K$6,Assumptions!$F$35),0),0),IF(K$6&gt;=Assumptions!$F$38,Assumptions!$K$4*(1+Assumptions!$L$4)^ROUNDDOWN(YEARFRAC(K$6,Assumptions!$F$38),0),0))</f>
        <v>3.2694303706590637</v>
      </c>
      <c r="L39" s="103">
        <f>IF(Assumptions!$L$8="Yes",IF(L$6&gt;=Assumptions!$F$35,Assumptions!$K$4*(1+Assumptions!$L$4)^ROUNDDOWN(YEARFRAC(L$6,Assumptions!$F$35),0),0),IF(L$6&gt;=Assumptions!$F$38,Assumptions!$K$4*(1+Assumptions!$L$4)^ROUNDDOWN(YEARFRAC(L$6,Assumptions!$F$38),0),0))</f>
        <v>3.2694303706590637</v>
      </c>
      <c r="M39" s="103">
        <f>IF(Assumptions!$L$8="Yes",IF(M$6&gt;=Assumptions!$F$35,Assumptions!$K$4*(1+Assumptions!$L$4)^ROUNDDOWN(YEARFRAC(M$6,Assumptions!$F$35),0),0),IF(M$6&gt;=Assumptions!$F$38,Assumptions!$K$4*(1+Assumptions!$L$4)^ROUNDDOWN(YEARFRAC(M$6,Assumptions!$F$38),0),0))</f>
        <v>3.2694303706590637</v>
      </c>
      <c r="N39" s="103">
        <f>IF(Assumptions!$L$8="Yes",IF(N$6&gt;=Assumptions!$F$35,Assumptions!$K$4*(1+Assumptions!$L$4)^ROUNDDOWN(YEARFRAC(N$6,Assumptions!$F$35),0),0),IF(N$6&gt;=Assumptions!$F$38,Assumptions!$K$4*(1+Assumptions!$L$4)^ROUNDDOWN(YEARFRAC(N$6,Assumptions!$F$38),0),0))</f>
        <v>3.2694303706590637</v>
      </c>
      <c r="O39" s="103">
        <f>IF(Assumptions!$L$8="Yes",IF(O$6&gt;=Assumptions!$F$35,Assumptions!$K$4*(1+Assumptions!$L$4)^ROUNDDOWN(YEARFRAC(O$6,Assumptions!$F$35),0),0),IF(O$6&gt;=Assumptions!$F$38,Assumptions!$K$4*(1+Assumptions!$L$4)^ROUNDDOWN(YEARFRAC(O$6,Assumptions!$F$38),0),0))</f>
        <v>3.2694303706590637</v>
      </c>
      <c r="P39" s="103">
        <f>IF(Assumptions!$L$8="Yes",IF(P$6&gt;=Assumptions!$F$35,Assumptions!$K$4*(1+Assumptions!$L$4)^ROUNDDOWN(YEARFRAC(P$6,Assumptions!$F$35),0),0),IF(P$6&gt;=Assumptions!$F$38,Assumptions!$K$4*(1+Assumptions!$L$4)^ROUNDDOWN(YEARFRAC(P$6,Assumptions!$F$38),0),0))</f>
        <v>3.2694303706590637</v>
      </c>
      <c r="Q39" s="103">
        <f>IF(Assumptions!$L$8="Yes",IF(Q$6&gt;=Assumptions!$F$35,Assumptions!$K$4*(1+Assumptions!$L$4)^ROUNDDOWN(YEARFRAC(Q$6,Assumptions!$F$35),0),0),IF(Q$6&gt;=Assumptions!$F$38,Assumptions!$K$4*(1+Assumptions!$L$4)^ROUNDDOWN(YEARFRAC(Q$6,Assumptions!$F$38),0),0))</f>
        <v>3.2694303706590637</v>
      </c>
      <c r="R39" s="103">
        <f>IF(Assumptions!$L$8="Yes",IF(R$6&gt;=Assumptions!$F$35,Assumptions!$K$4*(1+Assumptions!$L$4)^ROUNDDOWN(YEARFRAC(R$6,Assumptions!$F$35),0),0),IF(R$6&gt;=Assumptions!$F$38,Assumptions!$K$4*(1+Assumptions!$L$4)^ROUNDDOWN(YEARFRAC(R$6,Assumptions!$F$38),0),0))</f>
        <v>3.3675132817788356</v>
      </c>
      <c r="S39" s="103">
        <f>IF(Assumptions!$L$8="Yes",IF(S$6&gt;=Assumptions!$F$35,Assumptions!$K$4*(1+Assumptions!$L$4)^ROUNDDOWN(YEARFRAC(S$6,Assumptions!$F$35),0),0),IF(S$6&gt;=Assumptions!$F$38,Assumptions!$K$4*(1+Assumptions!$L$4)^ROUNDDOWN(YEARFRAC(S$6,Assumptions!$F$38),0),0))</f>
        <v>3.3675132817788356</v>
      </c>
      <c r="T39" s="103">
        <f>IF(Assumptions!$L$8="Yes",IF(T$6&gt;=Assumptions!$F$35,Assumptions!$K$4*(1+Assumptions!$L$4)^ROUNDDOWN(YEARFRAC(T$6,Assumptions!$F$35),0),0),IF(T$6&gt;=Assumptions!$F$38,Assumptions!$K$4*(1+Assumptions!$L$4)^ROUNDDOWN(YEARFRAC(T$6,Assumptions!$F$38),0),0))</f>
        <v>3.3675132817788356</v>
      </c>
      <c r="U39" s="103">
        <f>IF(Assumptions!$L$8="Yes",IF(U$6&gt;=Assumptions!$F$35,Assumptions!$K$4*(1+Assumptions!$L$4)^ROUNDDOWN(YEARFRAC(U$6,Assumptions!$F$35),0),0),IF(U$6&gt;=Assumptions!$F$38,Assumptions!$K$4*(1+Assumptions!$L$4)^ROUNDDOWN(YEARFRAC(U$6,Assumptions!$F$38),0),0))</f>
        <v>3.3675132817788356</v>
      </c>
      <c r="V39" s="103">
        <f>IF(Assumptions!$L$8="Yes",IF(V$6&gt;=Assumptions!$F$35,Assumptions!$K$4*(1+Assumptions!$L$4)^ROUNDDOWN(YEARFRAC(V$6,Assumptions!$F$35),0),0),IF(V$6&gt;=Assumptions!$F$38,Assumptions!$K$4*(1+Assumptions!$L$4)^ROUNDDOWN(YEARFRAC(V$6,Assumptions!$F$38),0),0))</f>
        <v>3.3675132817788356</v>
      </c>
      <c r="W39" s="103">
        <f>IF(Assumptions!$L$8="Yes",IF(W$6&gt;=Assumptions!$F$35,Assumptions!$K$4*(1+Assumptions!$L$4)^ROUNDDOWN(YEARFRAC(W$6,Assumptions!$F$35),0),0),IF(W$6&gt;=Assumptions!$F$38,Assumptions!$K$4*(1+Assumptions!$L$4)^ROUNDDOWN(YEARFRAC(W$6,Assumptions!$F$38),0),0))</f>
        <v>3.3675132817788356</v>
      </c>
      <c r="X39" s="103">
        <f>IF(Assumptions!$L$8="Yes",IF(X$6&gt;=Assumptions!$F$35,Assumptions!$K$4*(1+Assumptions!$L$4)^ROUNDDOWN(YEARFRAC(X$6,Assumptions!$F$35),0),0),IF(X$6&gt;=Assumptions!$F$38,Assumptions!$K$4*(1+Assumptions!$L$4)^ROUNDDOWN(YEARFRAC(X$6,Assumptions!$F$38),0),0))</f>
        <v>3.3675132817788356</v>
      </c>
      <c r="Y39" s="103">
        <f>IF(Assumptions!$L$8="Yes",IF(Y$6&gt;=Assumptions!$F$35,Assumptions!$K$4*(1+Assumptions!$L$4)^ROUNDDOWN(YEARFRAC(Y$6,Assumptions!$F$35),0),0),IF(Y$6&gt;=Assumptions!$F$38,Assumptions!$K$4*(1+Assumptions!$L$4)^ROUNDDOWN(YEARFRAC(Y$6,Assumptions!$F$38),0),0))</f>
        <v>3.3675132817788356</v>
      </c>
      <c r="Z39" s="103">
        <f>IF(Assumptions!$L$8="Yes",IF(Z$6&gt;=Assumptions!$F$35,Assumptions!$K$4*(1+Assumptions!$L$4)^ROUNDDOWN(YEARFRAC(Z$6,Assumptions!$F$35),0),0),IF(Z$6&gt;=Assumptions!$F$38,Assumptions!$K$4*(1+Assumptions!$L$4)^ROUNDDOWN(YEARFRAC(Z$6,Assumptions!$F$38),0),0))</f>
        <v>3.3675132817788356</v>
      </c>
      <c r="AA39" s="103">
        <f>IF(Assumptions!$L$8="Yes",IF(AA$6&gt;=Assumptions!$F$35,Assumptions!$K$4*(1+Assumptions!$L$4)^ROUNDDOWN(YEARFRAC(AA$6,Assumptions!$F$35),0),0),IF(AA$6&gt;=Assumptions!$F$38,Assumptions!$K$4*(1+Assumptions!$L$4)^ROUNDDOWN(YEARFRAC(AA$6,Assumptions!$F$38),0),0))</f>
        <v>3.3675132817788356</v>
      </c>
      <c r="AB39" s="103">
        <f>IF(Assumptions!$L$8="Yes",IF(AB$6&gt;=Assumptions!$F$35,Assumptions!$K$4*(1+Assumptions!$L$4)^ROUNDDOWN(YEARFRAC(AB$6,Assumptions!$F$35),0),0),IF(AB$6&gt;=Assumptions!$F$38,Assumptions!$K$4*(1+Assumptions!$L$4)^ROUNDDOWN(YEARFRAC(AB$6,Assumptions!$F$38),0),0))</f>
        <v>3.3675132817788356</v>
      </c>
      <c r="AC39" s="103">
        <f>IF(Assumptions!$L$8="Yes",IF(AC$6&gt;=Assumptions!$F$35,Assumptions!$K$4*(1+Assumptions!$L$4)^ROUNDDOWN(YEARFRAC(AC$6,Assumptions!$F$35),0),0),IF(AC$6&gt;=Assumptions!$F$38,Assumptions!$K$4*(1+Assumptions!$L$4)^ROUNDDOWN(YEARFRAC(AC$6,Assumptions!$F$38),0),0))</f>
        <v>3.3675132817788356</v>
      </c>
      <c r="AD39" s="103">
        <f>IF(Assumptions!$L$8="Yes",IF(AD$6&gt;=Assumptions!$F$35,Assumptions!$K$4*(1+Assumptions!$L$4)^ROUNDDOWN(YEARFRAC(AD$6,Assumptions!$F$35),0),0),IF(AD$6&gt;=Assumptions!$F$38,Assumptions!$K$4*(1+Assumptions!$L$4)^ROUNDDOWN(YEARFRAC(AD$6,Assumptions!$F$38),0),0))</f>
        <v>3.4685386802322005</v>
      </c>
      <c r="AE39" s="103">
        <f>IF(Assumptions!$L$8="Yes",IF(AE$6&gt;=Assumptions!$F$35,Assumptions!$K$4*(1+Assumptions!$L$4)^ROUNDDOWN(YEARFRAC(AE$6,Assumptions!$F$35),0),0),IF(AE$6&gt;=Assumptions!$F$38,Assumptions!$K$4*(1+Assumptions!$L$4)^ROUNDDOWN(YEARFRAC(AE$6,Assumptions!$F$38),0),0))</f>
        <v>3.4685386802322005</v>
      </c>
      <c r="AF39" s="103">
        <f>IF(Assumptions!$L$8="Yes",IF(AF$6&gt;=Assumptions!$F$35,Assumptions!$K$4*(1+Assumptions!$L$4)^ROUNDDOWN(YEARFRAC(AF$6,Assumptions!$F$35),0),0),IF(AF$6&gt;=Assumptions!$F$38,Assumptions!$K$4*(1+Assumptions!$L$4)^ROUNDDOWN(YEARFRAC(AF$6,Assumptions!$F$38),0),0))</f>
        <v>3.4685386802322005</v>
      </c>
      <c r="AG39" s="103">
        <f>IF(Assumptions!$L$8="Yes",IF(AG$6&gt;=Assumptions!$F$35,Assumptions!$K$4*(1+Assumptions!$L$4)^ROUNDDOWN(YEARFRAC(AG$6,Assumptions!$F$35),0),0),IF(AG$6&gt;=Assumptions!$F$38,Assumptions!$K$4*(1+Assumptions!$L$4)^ROUNDDOWN(YEARFRAC(AG$6,Assumptions!$F$38),0),0))</f>
        <v>3.4685386802322005</v>
      </c>
      <c r="AH39" s="103">
        <f>IF(Assumptions!$L$8="Yes",IF(AH$6&gt;=Assumptions!$F$35,Assumptions!$K$4*(1+Assumptions!$L$4)^ROUNDDOWN(YEARFRAC(AH$6,Assumptions!$F$35),0),0),IF(AH$6&gt;=Assumptions!$F$38,Assumptions!$K$4*(1+Assumptions!$L$4)^ROUNDDOWN(YEARFRAC(AH$6,Assumptions!$F$38),0),0))</f>
        <v>3.4685386802322005</v>
      </c>
      <c r="AI39" s="103">
        <f>IF(Assumptions!$L$8="Yes",IF(AI$6&gt;=Assumptions!$F$35,Assumptions!$K$4*(1+Assumptions!$L$4)^ROUNDDOWN(YEARFRAC(AI$6,Assumptions!$F$35),0),0),IF(AI$6&gt;=Assumptions!$F$38,Assumptions!$K$4*(1+Assumptions!$L$4)^ROUNDDOWN(YEARFRAC(AI$6,Assumptions!$F$38),0),0))</f>
        <v>3.4685386802322005</v>
      </c>
      <c r="AJ39" s="103">
        <f>IF(Assumptions!$L$8="Yes",IF(AJ$6&gt;=Assumptions!$F$35,Assumptions!$K$4*(1+Assumptions!$L$4)^ROUNDDOWN(YEARFRAC(AJ$6,Assumptions!$F$35),0),0),IF(AJ$6&gt;=Assumptions!$F$38,Assumptions!$K$4*(1+Assumptions!$L$4)^ROUNDDOWN(YEARFRAC(AJ$6,Assumptions!$F$38),0),0))</f>
        <v>3.4685386802322005</v>
      </c>
      <c r="AK39" s="103">
        <f>IF(Assumptions!$L$8="Yes",IF(AK$6&gt;=Assumptions!$F$35,Assumptions!$K$4*(1+Assumptions!$L$4)^ROUNDDOWN(YEARFRAC(AK$6,Assumptions!$F$35),0),0),IF(AK$6&gt;=Assumptions!$F$38,Assumptions!$K$4*(1+Assumptions!$L$4)^ROUNDDOWN(YEARFRAC(AK$6,Assumptions!$F$38),0),0))</f>
        <v>3.4685386802322005</v>
      </c>
      <c r="AL39" s="103">
        <f>IF(Assumptions!$L$8="Yes",IF(AL$6&gt;=Assumptions!$F$35,Assumptions!$K$4*(1+Assumptions!$L$4)^ROUNDDOWN(YEARFRAC(AL$6,Assumptions!$F$35),0),0),IF(AL$6&gt;=Assumptions!$F$38,Assumptions!$K$4*(1+Assumptions!$L$4)^ROUNDDOWN(YEARFRAC(AL$6,Assumptions!$F$38),0),0))</f>
        <v>3.4685386802322005</v>
      </c>
      <c r="AM39" s="103">
        <f>IF(Assumptions!$L$8="Yes",IF(AM$6&gt;=Assumptions!$F$35,Assumptions!$K$4*(1+Assumptions!$L$4)^ROUNDDOWN(YEARFRAC(AM$6,Assumptions!$F$35),0),0),IF(AM$6&gt;=Assumptions!$F$38,Assumptions!$K$4*(1+Assumptions!$L$4)^ROUNDDOWN(YEARFRAC(AM$6,Assumptions!$F$38),0),0))</f>
        <v>3.4685386802322005</v>
      </c>
      <c r="AN39" s="103">
        <f>IF(Assumptions!$L$8="Yes",IF(AN$6&gt;=Assumptions!$F$35,Assumptions!$K$4*(1+Assumptions!$L$4)^ROUNDDOWN(YEARFRAC(AN$6,Assumptions!$F$35),0),0),IF(AN$6&gt;=Assumptions!$F$38,Assumptions!$K$4*(1+Assumptions!$L$4)^ROUNDDOWN(YEARFRAC(AN$6,Assumptions!$F$38),0),0))</f>
        <v>3.4685386802322005</v>
      </c>
      <c r="AO39" s="103">
        <f>IF(Assumptions!$L$8="Yes",IF(AO$6&gt;=Assumptions!$F$35,Assumptions!$K$4*(1+Assumptions!$L$4)^ROUNDDOWN(YEARFRAC(AO$6,Assumptions!$F$35),0),0),IF(AO$6&gt;=Assumptions!$F$38,Assumptions!$K$4*(1+Assumptions!$L$4)^ROUNDDOWN(YEARFRAC(AO$6,Assumptions!$F$38),0),0))</f>
        <v>3.4685386802322005</v>
      </c>
      <c r="AP39" s="103">
        <f>IF(Assumptions!$L$8="Yes",IF(AP$6&gt;=Assumptions!$F$35,Assumptions!$K$4*(1+Assumptions!$L$4)^ROUNDDOWN(YEARFRAC(AP$6,Assumptions!$F$35),0),0),IF(AP$6&gt;=Assumptions!$F$38,Assumptions!$K$4*(1+Assumptions!$L$4)^ROUNDDOWN(YEARFRAC(AP$6,Assumptions!$F$38),0),0))</f>
        <v>3.5725948406391668</v>
      </c>
      <c r="AQ39" s="103">
        <f>IF(Assumptions!$L$8="Yes",IF(AQ$6&gt;=Assumptions!$F$35,Assumptions!$K$4*(1+Assumptions!$L$4)^ROUNDDOWN(YEARFRAC(AQ$6,Assumptions!$F$35),0),0),IF(AQ$6&gt;=Assumptions!$F$38,Assumptions!$K$4*(1+Assumptions!$L$4)^ROUNDDOWN(YEARFRAC(AQ$6,Assumptions!$F$38),0),0))</f>
        <v>3.5725948406391668</v>
      </c>
      <c r="AR39" s="103">
        <f>IF(Assumptions!$L$8="Yes",IF(AR$6&gt;=Assumptions!$F$35,Assumptions!$K$4*(1+Assumptions!$L$4)^ROUNDDOWN(YEARFRAC(AR$6,Assumptions!$F$35),0),0),IF(AR$6&gt;=Assumptions!$F$38,Assumptions!$K$4*(1+Assumptions!$L$4)^ROUNDDOWN(YEARFRAC(AR$6,Assumptions!$F$38),0),0))</f>
        <v>3.5725948406391668</v>
      </c>
      <c r="AS39" s="103">
        <f>IF(Assumptions!$L$8="Yes",IF(AS$6&gt;=Assumptions!$F$35,Assumptions!$K$4*(1+Assumptions!$L$4)^ROUNDDOWN(YEARFRAC(AS$6,Assumptions!$F$35),0),0),IF(AS$6&gt;=Assumptions!$F$38,Assumptions!$K$4*(1+Assumptions!$L$4)^ROUNDDOWN(YEARFRAC(AS$6,Assumptions!$F$38),0),0))</f>
        <v>3.5725948406391668</v>
      </c>
      <c r="AT39" s="103">
        <f>IF(Assumptions!$L$8="Yes",IF(AT$6&gt;=Assumptions!$F$35,Assumptions!$K$4*(1+Assumptions!$L$4)^ROUNDDOWN(YEARFRAC(AT$6,Assumptions!$F$35),0),0),IF(AT$6&gt;=Assumptions!$F$38,Assumptions!$K$4*(1+Assumptions!$L$4)^ROUNDDOWN(YEARFRAC(AT$6,Assumptions!$F$38),0),0))</f>
        <v>3.5725948406391668</v>
      </c>
      <c r="AU39" s="103">
        <f>IF(Assumptions!$L$8="Yes",IF(AU$6&gt;=Assumptions!$F$35,Assumptions!$K$4*(1+Assumptions!$L$4)^ROUNDDOWN(YEARFRAC(AU$6,Assumptions!$F$35),0),0),IF(AU$6&gt;=Assumptions!$F$38,Assumptions!$K$4*(1+Assumptions!$L$4)^ROUNDDOWN(YEARFRAC(AU$6,Assumptions!$F$38),0),0))</f>
        <v>3.5725948406391668</v>
      </c>
      <c r="AV39" s="103">
        <f>IF(Assumptions!$L$8="Yes",IF(AV$6&gt;=Assumptions!$F$35,Assumptions!$K$4*(1+Assumptions!$L$4)^ROUNDDOWN(YEARFRAC(AV$6,Assumptions!$F$35),0),0),IF(AV$6&gt;=Assumptions!$F$38,Assumptions!$K$4*(1+Assumptions!$L$4)^ROUNDDOWN(YEARFRAC(AV$6,Assumptions!$F$38),0),0))</f>
        <v>3.5725948406391668</v>
      </c>
      <c r="AW39" s="103">
        <f>IF(Assumptions!$L$8="Yes",IF(AW$6&gt;=Assumptions!$F$35,Assumptions!$K$4*(1+Assumptions!$L$4)^ROUNDDOWN(YEARFRAC(AW$6,Assumptions!$F$35),0),0),IF(AW$6&gt;=Assumptions!$F$38,Assumptions!$K$4*(1+Assumptions!$L$4)^ROUNDDOWN(YEARFRAC(AW$6,Assumptions!$F$38),0),0))</f>
        <v>3.5725948406391668</v>
      </c>
      <c r="AX39" s="103">
        <f>IF(Assumptions!$L$8="Yes",IF(AX$6&gt;=Assumptions!$F$35,Assumptions!$K$4*(1+Assumptions!$L$4)^ROUNDDOWN(YEARFRAC(AX$6,Assumptions!$F$35),0),0),IF(AX$6&gt;=Assumptions!$F$38,Assumptions!$K$4*(1+Assumptions!$L$4)^ROUNDDOWN(YEARFRAC(AX$6,Assumptions!$F$38),0),0))</f>
        <v>3.5725948406391668</v>
      </c>
      <c r="AY39" s="103">
        <f>IF(Assumptions!$L$8="Yes",IF(AY$6&gt;=Assumptions!$F$35,Assumptions!$K$4*(1+Assumptions!$L$4)^ROUNDDOWN(YEARFRAC(AY$6,Assumptions!$F$35),0),0),IF(AY$6&gt;=Assumptions!$F$38,Assumptions!$K$4*(1+Assumptions!$L$4)^ROUNDDOWN(YEARFRAC(AY$6,Assumptions!$F$38),0),0))</f>
        <v>3.5725948406391668</v>
      </c>
      <c r="AZ39" s="103">
        <f>IF(Assumptions!$L$8="Yes",IF(AZ$6&gt;=Assumptions!$F$35,Assumptions!$K$4*(1+Assumptions!$L$4)^ROUNDDOWN(YEARFRAC(AZ$6,Assumptions!$F$35),0),0),IF(AZ$6&gt;=Assumptions!$F$38,Assumptions!$K$4*(1+Assumptions!$L$4)^ROUNDDOWN(YEARFRAC(AZ$6,Assumptions!$F$38),0),0))</f>
        <v>3.5725948406391668</v>
      </c>
      <c r="BA39" s="103">
        <f>IF(Assumptions!$L$8="Yes",IF(BA$6&gt;=Assumptions!$F$35,Assumptions!$K$4*(1+Assumptions!$L$4)^ROUNDDOWN(YEARFRAC(BA$6,Assumptions!$F$35),0),0),IF(BA$6&gt;=Assumptions!$F$38,Assumptions!$K$4*(1+Assumptions!$L$4)^ROUNDDOWN(YEARFRAC(BA$6,Assumptions!$F$38),0),0))</f>
        <v>3.5725948406391668</v>
      </c>
      <c r="BB39" s="103">
        <f>IF(Assumptions!$L$8="Yes",IF(BB$6&gt;=Assumptions!$F$35,Assumptions!$K$4*(1+Assumptions!$L$4)^ROUNDDOWN(YEARFRAC(BB$6,Assumptions!$F$35),0),0),IF(BB$6&gt;=Assumptions!$F$38,Assumptions!$K$4*(1+Assumptions!$L$4)^ROUNDDOWN(YEARFRAC(BB$6,Assumptions!$F$38),0),0))</f>
        <v>3.6797726858583415</v>
      </c>
      <c r="BC39" s="103">
        <f>IF(Assumptions!$L$8="Yes",IF(BC$6&gt;=Assumptions!$F$35,Assumptions!$K$4*(1+Assumptions!$L$4)^ROUNDDOWN(YEARFRAC(BC$6,Assumptions!$F$35),0),0),IF(BC$6&gt;=Assumptions!$F$38,Assumptions!$K$4*(1+Assumptions!$L$4)^ROUNDDOWN(YEARFRAC(BC$6,Assumptions!$F$38),0),0))</f>
        <v>3.6797726858583415</v>
      </c>
      <c r="BD39" s="103">
        <f>IF(Assumptions!$L$8="Yes",IF(BD$6&gt;=Assumptions!$F$35,Assumptions!$K$4*(1+Assumptions!$L$4)^ROUNDDOWN(YEARFRAC(BD$6,Assumptions!$F$35),0),0),IF(BD$6&gt;=Assumptions!$F$38,Assumptions!$K$4*(1+Assumptions!$L$4)^ROUNDDOWN(YEARFRAC(BD$6,Assumptions!$F$38),0),0))</f>
        <v>3.6797726858583415</v>
      </c>
      <c r="BE39" s="103">
        <f>IF(Assumptions!$L$8="Yes",IF(BE$6&gt;=Assumptions!$F$35,Assumptions!$K$4*(1+Assumptions!$L$4)^ROUNDDOWN(YEARFRAC(BE$6,Assumptions!$F$35),0),0),IF(BE$6&gt;=Assumptions!$F$38,Assumptions!$K$4*(1+Assumptions!$L$4)^ROUNDDOWN(YEARFRAC(BE$6,Assumptions!$F$38),0),0))</f>
        <v>3.6797726858583415</v>
      </c>
      <c r="BF39" s="103">
        <f>IF(Assumptions!$L$8="Yes",IF(BF$6&gt;=Assumptions!$F$35,Assumptions!$K$4*(1+Assumptions!$L$4)^ROUNDDOWN(YEARFRAC(BF$6,Assumptions!$F$35),0),0),IF(BF$6&gt;=Assumptions!$F$38,Assumptions!$K$4*(1+Assumptions!$L$4)^ROUNDDOWN(YEARFRAC(BF$6,Assumptions!$F$38),0),0))</f>
        <v>3.6797726858583415</v>
      </c>
      <c r="BG39" s="103">
        <f>IF(Assumptions!$L$8="Yes",IF(BG$6&gt;=Assumptions!$F$35,Assumptions!$K$4*(1+Assumptions!$L$4)^ROUNDDOWN(YEARFRAC(BG$6,Assumptions!$F$35),0),0),IF(BG$6&gt;=Assumptions!$F$38,Assumptions!$K$4*(1+Assumptions!$L$4)^ROUNDDOWN(YEARFRAC(BG$6,Assumptions!$F$38),0),0))</f>
        <v>3.6797726858583415</v>
      </c>
      <c r="BH39" s="103">
        <f>IF(Assumptions!$L$8="Yes",IF(BH$6&gt;=Assumptions!$F$35,Assumptions!$K$4*(1+Assumptions!$L$4)^ROUNDDOWN(YEARFRAC(BH$6,Assumptions!$F$35),0),0),IF(BH$6&gt;=Assumptions!$F$38,Assumptions!$K$4*(1+Assumptions!$L$4)^ROUNDDOWN(YEARFRAC(BH$6,Assumptions!$F$38),0),0))</f>
        <v>3.6797726858583415</v>
      </c>
      <c r="BI39" s="103">
        <f>IF(Assumptions!$L$8="Yes",IF(BI$6&gt;=Assumptions!$F$35,Assumptions!$K$4*(1+Assumptions!$L$4)^ROUNDDOWN(YEARFRAC(BI$6,Assumptions!$F$35),0),0),IF(BI$6&gt;=Assumptions!$F$38,Assumptions!$K$4*(1+Assumptions!$L$4)^ROUNDDOWN(YEARFRAC(BI$6,Assumptions!$F$38),0),0))</f>
        <v>3.6797726858583415</v>
      </c>
      <c r="BJ39" s="103">
        <f>IF(Assumptions!$L$8="Yes",IF(BJ$6&gt;=Assumptions!$F$35,Assumptions!$K$4*(1+Assumptions!$L$4)^ROUNDDOWN(YEARFRAC(BJ$6,Assumptions!$F$35),0),0),IF(BJ$6&gt;=Assumptions!$F$38,Assumptions!$K$4*(1+Assumptions!$L$4)^ROUNDDOWN(YEARFRAC(BJ$6,Assumptions!$F$38),0),0))</f>
        <v>3.6797726858583415</v>
      </c>
      <c r="BK39" s="103">
        <f>IF(Assumptions!$L$8="Yes",IF(BK$6&gt;=Assumptions!$F$35,Assumptions!$K$4*(1+Assumptions!$L$4)^ROUNDDOWN(YEARFRAC(BK$6,Assumptions!$F$35),0),0),IF(BK$6&gt;=Assumptions!$F$38,Assumptions!$K$4*(1+Assumptions!$L$4)^ROUNDDOWN(YEARFRAC(BK$6,Assumptions!$F$38),0),0))</f>
        <v>3.6797726858583415</v>
      </c>
      <c r="BL39" s="103">
        <f>IF(Assumptions!$L$8="Yes",IF(BL$6&gt;=Assumptions!$F$35,Assumptions!$K$4*(1+Assumptions!$L$4)^ROUNDDOWN(YEARFRAC(BL$6,Assumptions!$F$35),0),0),IF(BL$6&gt;=Assumptions!$F$38,Assumptions!$K$4*(1+Assumptions!$L$4)^ROUNDDOWN(YEARFRAC(BL$6,Assumptions!$F$38),0),0))</f>
        <v>3.6797726858583415</v>
      </c>
      <c r="BM39" s="103">
        <f>IF(Assumptions!$L$8="Yes",IF(BM$6&gt;=Assumptions!$F$35,Assumptions!$K$4*(1+Assumptions!$L$4)^ROUNDDOWN(YEARFRAC(BM$6,Assumptions!$F$35),0),0),IF(BM$6&gt;=Assumptions!$F$38,Assumptions!$K$4*(1+Assumptions!$L$4)^ROUNDDOWN(YEARFRAC(BM$6,Assumptions!$F$38),0),0))</f>
        <v>3.6797726858583415</v>
      </c>
      <c r="BN39" s="103">
        <f>IF(Assumptions!$L$8="Yes",IF(BN$6&gt;=Assumptions!$F$35,Assumptions!$K$4*(1+Assumptions!$L$4)^ROUNDDOWN(YEARFRAC(BN$6,Assumptions!$F$35),0),0),IF(BN$6&gt;=Assumptions!$F$38,Assumptions!$K$4*(1+Assumptions!$L$4)^ROUNDDOWN(YEARFRAC(BN$6,Assumptions!$F$38),0),0))</f>
        <v>3.7901658664340916</v>
      </c>
      <c r="BO39" s="103">
        <f>IF(Assumptions!$L$8="Yes",IF(BO$6&gt;=Assumptions!$F$35,Assumptions!$K$4*(1+Assumptions!$L$4)^ROUNDDOWN(YEARFRAC(BO$6,Assumptions!$F$35),0),0),IF(BO$6&gt;=Assumptions!$F$38,Assumptions!$K$4*(1+Assumptions!$L$4)^ROUNDDOWN(YEARFRAC(BO$6,Assumptions!$F$38),0),0))</f>
        <v>3.7901658664340916</v>
      </c>
      <c r="BP39" s="103">
        <f>IF(Assumptions!$L$8="Yes",IF(BP$6&gt;=Assumptions!$F$35,Assumptions!$K$4*(1+Assumptions!$L$4)^ROUNDDOWN(YEARFRAC(BP$6,Assumptions!$F$35),0),0),IF(BP$6&gt;=Assumptions!$F$38,Assumptions!$K$4*(1+Assumptions!$L$4)^ROUNDDOWN(YEARFRAC(BP$6,Assumptions!$F$38),0),0))</f>
        <v>3.7901658664340916</v>
      </c>
      <c r="BQ39" s="103">
        <f>IF(Assumptions!$L$8="Yes",IF(BQ$6&gt;=Assumptions!$F$35,Assumptions!$K$4*(1+Assumptions!$L$4)^ROUNDDOWN(YEARFRAC(BQ$6,Assumptions!$F$35),0),0),IF(BQ$6&gt;=Assumptions!$F$38,Assumptions!$K$4*(1+Assumptions!$L$4)^ROUNDDOWN(YEARFRAC(BQ$6,Assumptions!$F$38),0),0))</f>
        <v>3.7901658664340916</v>
      </c>
      <c r="BR39" s="103">
        <f>IF(Assumptions!$L$8="Yes",IF(BR$6&gt;=Assumptions!$F$35,Assumptions!$K$4*(1+Assumptions!$L$4)^ROUNDDOWN(YEARFRAC(BR$6,Assumptions!$F$35),0),0),IF(BR$6&gt;=Assumptions!$F$38,Assumptions!$K$4*(1+Assumptions!$L$4)^ROUNDDOWN(YEARFRAC(BR$6,Assumptions!$F$38),0),0))</f>
        <v>3.7901658664340916</v>
      </c>
      <c r="BS39" s="103">
        <f>IF(Assumptions!$L$8="Yes",IF(BS$6&gt;=Assumptions!$F$35,Assumptions!$K$4*(1+Assumptions!$L$4)^ROUNDDOWN(YEARFRAC(BS$6,Assumptions!$F$35),0),0),IF(BS$6&gt;=Assumptions!$F$38,Assumptions!$K$4*(1+Assumptions!$L$4)^ROUNDDOWN(YEARFRAC(BS$6,Assumptions!$F$38),0),0))</f>
        <v>3.7901658664340916</v>
      </c>
      <c r="BT39" s="103">
        <f>IF(Assumptions!$L$8="Yes",IF(BT$6&gt;=Assumptions!$F$35,Assumptions!$K$4*(1+Assumptions!$L$4)^ROUNDDOWN(YEARFRAC(BT$6,Assumptions!$F$35),0),0),IF(BT$6&gt;=Assumptions!$F$38,Assumptions!$K$4*(1+Assumptions!$L$4)^ROUNDDOWN(YEARFRAC(BT$6,Assumptions!$F$38),0),0))</f>
        <v>3.7901658664340916</v>
      </c>
      <c r="BU39" s="103">
        <f>IF(Assumptions!$L$8="Yes",IF(BU$6&gt;=Assumptions!$F$35,Assumptions!$K$4*(1+Assumptions!$L$4)^ROUNDDOWN(YEARFRAC(BU$6,Assumptions!$F$35),0),0),IF(BU$6&gt;=Assumptions!$F$38,Assumptions!$K$4*(1+Assumptions!$L$4)^ROUNDDOWN(YEARFRAC(BU$6,Assumptions!$F$38),0),0))</f>
        <v>3.7901658664340916</v>
      </c>
      <c r="BV39" s="103">
        <f>IF(Assumptions!$L$8="Yes",IF(BV$6&gt;=Assumptions!$F$35,Assumptions!$K$4*(1+Assumptions!$L$4)^ROUNDDOWN(YEARFRAC(BV$6,Assumptions!$F$35),0),0),IF(BV$6&gt;=Assumptions!$F$38,Assumptions!$K$4*(1+Assumptions!$L$4)^ROUNDDOWN(YEARFRAC(BV$6,Assumptions!$F$38),0),0))</f>
        <v>3.7901658664340916</v>
      </c>
      <c r="BW39" s="103">
        <f>IF(Assumptions!$L$8="Yes",IF(BW$6&gt;=Assumptions!$F$35,Assumptions!$K$4*(1+Assumptions!$L$4)^ROUNDDOWN(YEARFRAC(BW$6,Assumptions!$F$35),0),0),IF(BW$6&gt;=Assumptions!$F$38,Assumptions!$K$4*(1+Assumptions!$L$4)^ROUNDDOWN(YEARFRAC(BW$6,Assumptions!$F$38),0),0))</f>
        <v>3.7901658664340916</v>
      </c>
      <c r="BX39" s="103">
        <f>IF(Assumptions!$L$8="Yes",IF(BX$6&gt;=Assumptions!$F$35,Assumptions!$K$4*(1+Assumptions!$L$4)^ROUNDDOWN(YEARFRAC(BX$6,Assumptions!$F$35),0),0),IF(BX$6&gt;=Assumptions!$F$38,Assumptions!$K$4*(1+Assumptions!$L$4)^ROUNDDOWN(YEARFRAC(BX$6,Assumptions!$F$38),0),0))</f>
        <v>3.7901658664340916</v>
      </c>
      <c r="BY39" s="103">
        <f>IF(Assumptions!$L$8="Yes",IF(BY$6&gt;=Assumptions!$F$35,Assumptions!$K$4*(1+Assumptions!$L$4)^ROUNDDOWN(YEARFRAC(BY$6,Assumptions!$F$35),0),0),IF(BY$6&gt;=Assumptions!$F$38,Assumptions!$K$4*(1+Assumptions!$L$4)^ROUNDDOWN(YEARFRAC(BY$6,Assumptions!$F$38),0),0))</f>
        <v>3.7901658664340916</v>
      </c>
      <c r="BZ39" s="103">
        <f>IF(Assumptions!$L$8="Yes",IF(BZ$6&gt;=Assumptions!$F$35,Assumptions!$K$4*(1+Assumptions!$L$4)^ROUNDDOWN(YEARFRAC(BZ$6,Assumptions!$F$35),0),0),IF(BZ$6&gt;=Assumptions!$F$38,Assumptions!$K$4*(1+Assumptions!$L$4)^ROUNDDOWN(YEARFRAC(BZ$6,Assumptions!$F$38),0),0))</f>
        <v>3.9038708424271142</v>
      </c>
      <c r="CA39" s="103">
        <f>IF(Assumptions!$L$8="Yes",IF(CA$6&gt;=Assumptions!$F$35,Assumptions!$K$4*(1+Assumptions!$L$4)^ROUNDDOWN(YEARFRAC(CA$6,Assumptions!$F$35),0),0),IF(CA$6&gt;=Assumptions!$F$38,Assumptions!$K$4*(1+Assumptions!$L$4)^ROUNDDOWN(YEARFRAC(CA$6,Assumptions!$F$38),0),0))</f>
        <v>3.9038708424271142</v>
      </c>
      <c r="CB39" s="103">
        <f>IF(Assumptions!$L$8="Yes",IF(CB$6&gt;=Assumptions!$F$35,Assumptions!$K$4*(1+Assumptions!$L$4)^ROUNDDOWN(YEARFRAC(CB$6,Assumptions!$F$35),0),0),IF(CB$6&gt;=Assumptions!$F$38,Assumptions!$K$4*(1+Assumptions!$L$4)^ROUNDDOWN(YEARFRAC(CB$6,Assumptions!$F$38),0),0))</f>
        <v>3.9038708424271142</v>
      </c>
      <c r="CC39" s="103">
        <f>IF(Assumptions!$L$8="Yes",IF(CC$6&gt;=Assumptions!$F$35,Assumptions!$K$4*(1+Assumptions!$L$4)^ROUNDDOWN(YEARFRAC(CC$6,Assumptions!$F$35),0),0),IF(CC$6&gt;=Assumptions!$F$38,Assumptions!$K$4*(1+Assumptions!$L$4)^ROUNDDOWN(YEARFRAC(CC$6,Assumptions!$F$38),0),0))</f>
        <v>3.9038708424271142</v>
      </c>
      <c r="CD39" s="103">
        <f>IF(Assumptions!$L$8="Yes",IF(CD$6&gt;=Assumptions!$F$35,Assumptions!$K$4*(1+Assumptions!$L$4)^ROUNDDOWN(YEARFRAC(CD$6,Assumptions!$F$35),0),0),IF(CD$6&gt;=Assumptions!$F$38,Assumptions!$K$4*(1+Assumptions!$L$4)^ROUNDDOWN(YEARFRAC(CD$6,Assumptions!$F$38),0),0))</f>
        <v>3.9038708424271142</v>
      </c>
      <c r="CE39" s="103">
        <f>IF(Assumptions!$L$8="Yes",IF(CE$6&gt;=Assumptions!$F$35,Assumptions!$K$4*(1+Assumptions!$L$4)^ROUNDDOWN(YEARFRAC(CE$6,Assumptions!$F$35),0),0),IF(CE$6&gt;=Assumptions!$F$38,Assumptions!$K$4*(1+Assumptions!$L$4)^ROUNDDOWN(YEARFRAC(CE$6,Assumptions!$F$38),0),0))</f>
        <v>3.9038708424271142</v>
      </c>
      <c r="CF39" s="103">
        <f>IF(Assumptions!$L$8="Yes",IF(CF$6&gt;=Assumptions!$F$35,Assumptions!$K$4*(1+Assumptions!$L$4)^ROUNDDOWN(YEARFRAC(CF$6,Assumptions!$F$35),0),0),IF(CF$6&gt;=Assumptions!$F$38,Assumptions!$K$4*(1+Assumptions!$L$4)^ROUNDDOWN(YEARFRAC(CF$6,Assumptions!$F$38),0),0))</f>
        <v>3.9038708424271142</v>
      </c>
      <c r="CG39" s="103">
        <f>IF(Assumptions!$L$8="Yes",IF(CG$6&gt;=Assumptions!$F$35,Assumptions!$K$4*(1+Assumptions!$L$4)^ROUNDDOWN(YEARFRAC(CG$6,Assumptions!$F$35),0),0),IF(CG$6&gt;=Assumptions!$F$38,Assumptions!$K$4*(1+Assumptions!$L$4)^ROUNDDOWN(YEARFRAC(CG$6,Assumptions!$F$38),0),0))</f>
        <v>3.9038708424271142</v>
      </c>
      <c r="CH39" s="103">
        <f>IF(Assumptions!$L$8="Yes",IF(CH$6&gt;=Assumptions!$F$35,Assumptions!$K$4*(1+Assumptions!$L$4)^ROUNDDOWN(YEARFRAC(CH$6,Assumptions!$F$35),0),0),IF(CH$6&gt;=Assumptions!$F$38,Assumptions!$K$4*(1+Assumptions!$L$4)^ROUNDDOWN(YEARFRAC(CH$6,Assumptions!$F$38),0),0))</f>
        <v>3.9038708424271142</v>
      </c>
      <c r="CI39" s="103">
        <f>IF(Assumptions!$L$8="Yes",IF(CI$6&gt;=Assumptions!$F$35,Assumptions!$K$4*(1+Assumptions!$L$4)^ROUNDDOWN(YEARFRAC(CI$6,Assumptions!$F$35),0),0),IF(CI$6&gt;=Assumptions!$F$38,Assumptions!$K$4*(1+Assumptions!$L$4)^ROUNDDOWN(YEARFRAC(CI$6,Assumptions!$F$38),0),0))</f>
        <v>3.9038708424271142</v>
      </c>
      <c r="CJ39" s="103">
        <f>IF(Assumptions!$L$8="Yes",IF(CJ$6&gt;=Assumptions!$F$35,Assumptions!$K$4*(1+Assumptions!$L$4)^ROUNDDOWN(YEARFRAC(CJ$6,Assumptions!$F$35),0),0),IF(CJ$6&gt;=Assumptions!$F$38,Assumptions!$K$4*(1+Assumptions!$L$4)^ROUNDDOWN(YEARFRAC(CJ$6,Assumptions!$F$38),0),0))</f>
        <v>3.9038708424271142</v>
      </c>
      <c r="CK39" s="103">
        <f>IF(Assumptions!$L$8="Yes",IF(CK$6&gt;=Assumptions!$F$35,Assumptions!$K$4*(1+Assumptions!$L$4)^ROUNDDOWN(YEARFRAC(CK$6,Assumptions!$F$35),0),0),IF(CK$6&gt;=Assumptions!$F$38,Assumptions!$K$4*(1+Assumptions!$L$4)^ROUNDDOWN(YEARFRAC(CK$6,Assumptions!$F$38),0),0))</f>
        <v>3.9038708424271142</v>
      </c>
      <c r="CL39" s="103">
        <f>IF(Assumptions!$L$8="Yes",IF(CL$6&gt;=Assumptions!$F$35,Assumptions!$K$4*(1+Assumptions!$L$4)^ROUNDDOWN(YEARFRAC(CL$6,Assumptions!$F$35),0),0),IF(CL$6&gt;=Assumptions!$F$38,Assumptions!$K$4*(1+Assumptions!$L$4)^ROUNDDOWN(YEARFRAC(CL$6,Assumptions!$F$38),0),0))</f>
        <v>4.0209869676999279</v>
      </c>
      <c r="CM39" s="103">
        <f>IF(Assumptions!$L$8="Yes",IF(CM$6&gt;=Assumptions!$F$35,Assumptions!$K$4*(1+Assumptions!$L$4)^ROUNDDOWN(YEARFRAC(CM$6,Assumptions!$F$35),0),0),IF(CM$6&gt;=Assumptions!$F$38,Assumptions!$K$4*(1+Assumptions!$L$4)^ROUNDDOWN(YEARFRAC(CM$6,Assumptions!$F$38),0),0))</f>
        <v>4.0209869676999279</v>
      </c>
      <c r="CN39" s="103">
        <f>IF(Assumptions!$L$8="Yes",IF(CN$6&gt;=Assumptions!$F$35,Assumptions!$K$4*(1+Assumptions!$L$4)^ROUNDDOWN(YEARFRAC(CN$6,Assumptions!$F$35),0),0),IF(CN$6&gt;=Assumptions!$F$38,Assumptions!$K$4*(1+Assumptions!$L$4)^ROUNDDOWN(YEARFRAC(CN$6,Assumptions!$F$38),0),0))</f>
        <v>4.0209869676999279</v>
      </c>
      <c r="CO39" s="103">
        <f>IF(Assumptions!$L$8="Yes",IF(CO$6&gt;=Assumptions!$F$35,Assumptions!$K$4*(1+Assumptions!$L$4)^ROUNDDOWN(YEARFRAC(CO$6,Assumptions!$F$35),0),0),IF(CO$6&gt;=Assumptions!$F$38,Assumptions!$K$4*(1+Assumptions!$L$4)^ROUNDDOWN(YEARFRAC(CO$6,Assumptions!$F$38),0),0))</f>
        <v>4.0209869676999279</v>
      </c>
      <c r="CP39" s="103">
        <f>IF(Assumptions!$L$8="Yes",IF(CP$6&gt;=Assumptions!$F$35,Assumptions!$K$4*(1+Assumptions!$L$4)^ROUNDDOWN(YEARFRAC(CP$6,Assumptions!$F$35),0),0),IF(CP$6&gt;=Assumptions!$F$38,Assumptions!$K$4*(1+Assumptions!$L$4)^ROUNDDOWN(YEARFRAC(CP$6,Assumptions!$F$38),0),0))</f>
        <v>4.0209869676999279</v>
      </c>
      <c r="CQ39" s="103">
        <f>IF(Assumptions!$L$8="Yes",IF(CQ$6&gt;=Assumptions!$F$35,Assumptions!$K$4*(1+Assumptions!$L$4)^ROUNDDOWN(YEARFRAC(CQ$6,Assumptions!$F$35),0),0),IF(CQ$6&gt;=Assumptions!$F$38,Assumptions!$K$4*(1+Assumptions!$L$4)^ROUNDDOWN(YEARFRAC(CQ$6,Assumptions!$F$38),0),0))</f>
        <v>4.0209869676999279</v>
      </c>
      <c r="CR39" s="103">
        <f>IF(Assumptions!$L$8="Yes",IF(CR$6&gt;=Assumptions!$F$35,Assumptions!$K$4*(1+Assumptions!$L$4)^ROUNDDOWN(YEARFRAC(CR$6,Assumptions!$F$35),0),0),IF(CR$6&gt;=Assumptions!$F$38,Assumptions!$K$4*(1+Assumptions!$L$4)^ROUNDDOWN(YEARFRAC(CR$6,Assumptions!$F$38),0),0))</f>
        <v>4.0209869676999279</v>
      </c>
      <c r="CS39" s="103">
        <f>IF(Assumptions!$L$8="Yes",IF(CS$6&gt;=Assumptions!$F$35,Assumptions!$K$4*(1+Assumptions!$L$4)^ROUNDDOWN(YEARFRAC(CS$6,Assumptions!$F$35),0),0),IF(CS$6&gt;=Assumptions!$F$38,Assumptions!$K$4*(1+Assumptions!$L$4)^ROUNDDOWN(YEARFRAC(CS$6,Assumptions!$F$38),0),0))</f>
        <v>4.0209869676999279</v>
      </c>
      <c r="CT39" s="103">
        <f>IF(Assumptions!$L$8="Yes",IF(CT$6&gt;=Assumptions!$F$35,Assumptions!$K$4*(1+Assumptions!$L$4)^ROUNDDOWN(YEARFRAC(CT$6,Assumptions!$F$35),0),0),IF(CT$6&gt;=Assumptions!$F$38,Assumptions!$K$4*(1+Assumptions!$L$4)^ROUNDDOWN(YEARFRAC(CT$6,Assumptions!$F$38),0),0))</f>
        <v>4.0209869676999279</v>
      </c>
      <c r="CU39" s="103">
        <f>IF(Assumptions!$L$8="Yes",IF(CU$6&gt;=Assumptions!$F$35,Assumptions!$K$4*(1+Assumptions!$L$4)^ROUNDDOWN(YEARFRAC(CU$6,Assumptions!$F$35),0),0),IF(CU$6&gt;=Assumptions!$F$38,Assumptions!$K$4*(1+Assumptions!$L$4)^ROUNDDOWN(YEARFRAC(CU$6,Assumptions!$F$38),0),0))</f>
        <v>4.0209869676999279</v>
      </c>
      <c r="CV39" s="103">
        <f>IF(Assumptions!$L$8="Yes",IF(CV$6&gt;=Assumptions!$F$35,Assumptions!$K$4*(1+Assumptions!$L$4)^ROUNDDOWN(YEARFRAC(CV$6,Assumptions!$F$35),0),0),IF(CV$6&gt;=Assumptions!$F$38,Assumptions!$K$4*(1+Assumptions!$L$4)^ROUNDDOWN(YEARFRAC(CV$6,Assumptions!$F$38),0),0))</f>
        <v>4.0209869676999279</v>
      </c>
      <c r="CW39" s="103">
        <f>IF(Assumptions!$L$8="Yes",IF(CW$6&gt;=Assumptions!$F$35,Assumptions!$K$4*(1+Assumptions!$L$4)^ROUNDDOWN(YEARFRAC(CW$6,Assumptions!$F$35),0),0),IF(CW$6&gt;=Assumptions!$F$38,Assumptions!$K$4*(1+Assumptions!$L$4)^ROUNDDOWN(YEARFRAC(CW$6,Assumptions!$F$38),0),0))</f>
        <v>4.0209869676999279</v>
      </c>
      <c r="CX39" s="103">
        <f>IF(Assumptions!$L$8="Yes",IF(CX$6&gt;=Assumptions!$F$35,Assumptions!$K$4*(1+Assumptions!$L$4)^ROUNDDOWN(YEARFRAC(CX$6,Assumptions!$F$35),0),0),IF(CX$6&gt;=Assumptions!$F$38,Assumptions!$K$4*(1+Assumptions!$L$4)^ROUNDDOWN(YEARFRAC(CX$6,Assumptions!$F$38),0),0))</f>
        <v>4.1416165767309252</v>
      </c>
      <c r="CY39" s="103">
        <f>IF(Assumptions!$L$8="Yes",IF(CY$6&gt;=Assumptions!$F$35,Assumptions!$K$4*(1+Assumptions!$L$4)^ROUNDDOWN(YEARFRAC(CY$6,Assumptions!$F$35),0),0),IF(CY$6&gt;=Assumptions!$F$38,Assumptions!$K$4*(1+Assumptions!$L$4)^ROUNDDOWN(YEARFRAC(CY$6,Assumptions!$F$38),0),0))</f>
        <v>4.1416165767309252</v>
      </c>
      <c r="CZ39" s="103">
        <f>IF(Assumptions!$L$8="Yes",IF(CZ$6&gt;=Assumptions!$F$35,Assumptions!$K$4*(1+Assumptions!$L$4)^ROUNDDOWN(YEARFRAC(CZ$6,Assumptions!$F$35),0),0),IF(CZ$6&gt;=Assumptions!$F$38,Assumptions!$K$4*(1+Assumptions!$L$4)^ROUNDDOWN(YEARFRAC(CZ$6,Assumptions!$F$38),0),0))</f>
        <v>4.1416165767309252</v>
      </c>
      <c r="DA39" s="103">
        <f>IF(Assumptions!$L$8="Yes",IF(DA$6&gt;=Assumptions!$F$35,Assumptions!$K$4*(1+Assumptions!$L$4)^ROUNDDOWN(YEARFRAC(DA$6,Assumptions!$F$35),0),0),IF(DA$6&gt;=Assumptions!$F$38,Assumptions!$K$4*(1+Assumptions!$L$4)^ROUNDDOWN(YEARFRAC(DA$6,Assumptions!$F$38),0),0))</f>
        <v>4.1416165767309252</v>
      </c>
      <c r="DB39" s="103">
        <f>IF(Assumptions!$L$8="Yes",IF(DB$6&gt;=Assumptions!$F$35,Assumptions!$K$4*(1+Assumptions!$L$4)^ROUNDDOWN(YEARFRAC(DB$6,Assumptions!$F$35),0),0),IF(DB$6&gt;=Assumptions!$F$38,Assumptions!$K$4*(1+Assumptions!$L$4)^ROUNDDOWN(YEARFRAC(DB$6,Assumptions!$F$38),0),0))</f>
        <v>4.1416165767309252</v>
      </c>
      <c r="DC39" s="103">
        <f>IF(Assumptions!$L$8="Yes",IF(DC$6&gt;=Assumptions!$F$35,Assumptions!$K$4*(1+Assumptions!$L$4)^ROUNDDOWN(YEARFRAC(DC$6,Assumptions!$F$35),0),0),IF(DC$6&gt;=Assumptions!$F$38,Assumptions!$K$4*(1+Assumptions!$L$4)^ROUNDDOWN(YEARFRAC(DC$6,Assumptions!$F$38),0),0))</f>
        <v>4.1416165767309252</v>
      </c>
      <c r="DD39" s="103">
        <f>IF(Assumptions!$L$8="Yes",IF(DD$6&gt;=Assumptions!$F$35,Assumptions!$K$4*(1+Assumptions!$L$4)^ROUNDDOWN(YEARFRAC(DD$6,Assumptions!$F$35),0),0),IF(DD$6&gt;=Assumptions!$F$38,Assumptions!$K$4*(1+Assumptions!$L$4)^ROUNDDOWN(YEARFRAC(DD$6,Assumptions!$F$38),0),0))</f>
        <v>4.1416165767309252</v>
      </c>
      <c r="DE39" s="103">
        <f>IF(Assumptions!$L$8="Yes",IF(DE$6&gt;=Assumptions!$F$35,Assumptions!$K$4*(1+Assumptions!$L$4)^ROUNDDOWN(YEARFRAC(DE$6,Assumptions!$F$35),0),0),IF(DE$6&gt;=Assumptions!$F$38,Assumptions!$K$4*(1+Assumptions!$L$4)^ROUNDDOWN(YEARFRAC(DE$6,Assumptions!$F$38),0),0))</f>
        <v>4.1416165767309252</v>
      </c>
      <c r="DF39" s="103">
        <f>IF(Assumptions!$L$8="Yes",IF(DF$6&gt;=Assumptions!$F$35,Assumptions!$K$4*(1+Assumptions!$L$4)^ROUNDDOWN(YEARFRAC(DF$6,Assumptions!$F$35),0),0),IF(DF$6&gt;=Assumptions!$F$38,Assumptions!$K$4*(1+Assumptions!$L$4)^ROUNDDOWN(YEARFRAC(DF$6,Assumptions!$F$38),0),0))</f>
        <v>4.1416165767309252</v>
      </c>
      <c r="DG39" s="103">
        <f>IF(Assumptions!$L$8="Yes",IF(DG$6&gt;=Assumptions!$F$35,Assumptions!$K$4*(1+Assumptions!$L$4)^ROUNDDOWN(YEARFRAC(DG$6,Assumptions!$F$35),0),0),IF(DG$6&gt;=Assumptions!$F$38,Assumptions!$K$4*(1+Assumptions!$L$4)^ROUNDDOWN(YEARFRAC(DG$6,Assumptions!$F$38),0),0))</f>
        <v>4.1416165767309252</v>
      </c>
      <c r="DH39" s="103">
        <f>IF(Assumptions!$L$8="Yes",IF(DH$6&gt;=Assumptions!$F$35,Assumptions!$K$4*(1+Assumptions!$L$4)^ROUNDDOWN(YEARFRAC(DH$6,Assumptions!$F$35),0),0),IF(DH$6&gt;=Assumptions!$F$38,Assumptions!$K$4*(1+Assumptions!$L$4)^ROUNDDOWN(YEARFRAC(DH$6,Assumptions!$F$38),0),0))</f>
        <v>4.1416165767309252</v>
      </c>
      <c r="DI39" s="103">
        <f>IF(Assumptions!$L$8="Yes",IF(DI$6&gt;=Assumptions!$F$35,Assumptions!$K$4*(1+Assumptions!$L$4)^ROUNDDOWN(YEARFRAC(DI$6,Assumptions!$F$35),0),0),IF(DI$6&gt;=Assumptions!$F$38,Assumptions!$K$4*(1+Assumptions!$L$4)^ROUNDDOWN(YEARFRAC(DI$6,Assumptions!$F$38),0),0))</f>
        <v>4.1416165767309252</v>
      </c>
      <c r="DJ39" s="103">
        <f>IF(Assumptions!$L$8="Yes",IF(DJ$6&gt;=Assumptions!$F$35,Assumptions!$K$4*(1+Assumptions!$L$4)^ROUNDDOWN(YEARFRAC(DJ$6,Assumptions!$F$35),0),0),IF(DJ$6&gt;=Assumptions!$F$38,Assumptions!$K$4*(1+Assumptions!$L$4)^ROUNDDOWN(YEARFRAC(DJ$6,Assumptions!$F$38),0),0))</f>
        <v>4.2658650740328534</v>
      </c>
      <c r="DK39" s="103">
        <f>IF(Assumptions!$L$8="Yes",IF(DK$6&gt;=Assumptions!$F$35,Assumptions!$K$4*(1+Assumptions!$L$4)^ROUNDDOWN(YEARFRAC(DK$6,Assumptions!$F$35),0),0),IF(DK$6&gt;=Assumptions!$F$38,Assumptions!$K$4*(1+Assumptions!$L$4)^ROUNDDOWN(YEARFRAC(DK$6,Assumptions!$F$38),0),0))</f>
        <v>4.2658650740328534</v>
      </c>
      <c r="DL39" s="103">
        <f>IF(Assumptions!$L$8="Yes",IF(DL$6&gt;=Assumptions!$F$35,Assumptions!$K$4*(1+Assumptions!$L$4)^ROUNDDOWN(YEARFRAC(DL$6,Assumptions!$F$35),0),0),IF(DL$6&gt;=Assumptions!$F$38,Assumptions!$K$4*(1+Assumptions!$L$4)^ROUNDDOWN(YEARFRAC(DL$6,Assumptions!$F$38),0),0))</f>
        <v>4.2658650740328534</v>
      </c>
      <c r="DM39" s="103">
        <f>IF(Assumptions!$L$8="Yes",IF(DM$6&gt;=Assumptions!$F$35,Assumptions!$K$4*(1+Assumptions!$L$4)^ROUNDDOWN(YEARFRAC(DM$6,Assumptions!$F$35),0),0),IF(DM$6&gt;=Assumptions!$F$38,Assumptions!$K$4*(1+Assumptions!$L$4)^ROUNDDOWN(YEARFRAC(DM$6,Assumptions!$F$38),0),0))</f>
        <v>4.2658650740328534</v>
      </c>
      <c r="DN39" s="103">
        <f>IF(Assumptions!$L$8="Yes",IF(DN$6&gt;=Assumptions!$F$35,Assumptions!$K$4*(1+Assumptions!$L$4)^ROUNDDOWN(YEARFRAC(DN$6,Assumptions!$F$35),0),0),IF(DN$6&gt;=Assumptions!$F$38,Assumptions!$K$4*(1+Assumptions!$L$4)^ROUNDDOWN(YEARFRAC(DN$6,Assumptions!$F$38),0),0))</f>
        <v>4.2658650740328534</v>
      </c>
      <c r="DO39" s="103">
        <f>IF(Assumptions!$L$8="Yes",IF(DO$6&gt;=Assumptions!$F$35,Assumptions!$K$4*(1+Assumptions!$L$4)^ROUNDDOWN(YEARFRAC(DO$6,Assumptions!$F$35),0),0),IF(DO$6&gt;=Assumptions!$F$38,Assumptions!$K$4*(1+Assumptions!$L$4)^ROUNDDOWN(YEARFRAC(DO$6,Assumptions!$F$38),0),0))</f>
        <v>4.2658650740328534</v>
      </c>
      <c r="DP39" s="103">
        <f>IF(Assumptions!$L$8="Yes",IF(DP$6&gt;=Assumptions!$F$35,Assumptions!$K$4*(1+Assumptions!$L$4)^ROUNDDOWN(YEARFRAC(DP$6,Assumptions!$F$35),0),0),IF(DP$6&gt;=Assumptions!$F$38,Assumptions!$K$4*(1+Assumptions!$L$4)^ROUNDDOWN(YEARFRAC(DP$6,Assumptions!$F$38),0),0))</f>
        <v>4.2658650740328534</v>
      </c>
      <c r="DQ39" s="103">
        <f>IF(Assumptions!$L$8="Yes",IF(DQ$6&gt;=Assumptions!$F$35,Assumptions!$K$4*(1+Assumptions!$L$4)^ROUNDDOWN(YEARFRAC(DQ$6,Assumptions!$F$35),0),0),IF(DQ$6&gt;=Assumptions!$F$38,Assumptions!$K$4*(1+Assumptions!$L$4)^ROUNDDOWN(YEARFRAC(DQ$6,Assumptions!$F$38),0),0))</f>
        <v>4.2658650740328534</v>
      </c>
      <c r="DR39" s="103">
        <f>IF(Assumptions!$L$8="Yes",IF(DR$6&gt;=Assumptions!$F$35,Assumptions!$K$4*(1+Assumptions!$L$4)^ROUNDDOWN(YEARFRAC(DR$6,Assumptions!$F$35),0),0),IF(DR$6&gt;=Assumptions!$F$38,Assumptions!$K$4*(1+Assumptions!$L$4)^ROUNDDOWN(YEARFRAC(DR$6,Assumptions!$F$38),0),0))</f>
        <v>4.2658650740328534</v>
      </c>
      <c r="DS39" s="103">
        <f>IF(Assumptions!$L$8="Yes",IF(DS$6&gt;=Assumptions!$F$35,Assumptions!$K$4*(1+Assumptions!$L$4)^ROUNDDOWN(YEARFRAC(DS$6,Assumptions!$F$35),0),0),IF(DS$6&gt;=Assumptions!$F$38,Assumptions!$K$4*(1+Assumptions!$L$4)^ROUNDDOWN(YEARFRAC(DS$6,Assumptions!$F$38),0),0))</f>
        <v>4.2658650740328534</v>
      </c>
      <c r="DT39" s="103">
        <f>IF(Assumptions!$L$8="Yes",IF(DT$6&gt;=Assumptions!$F$35,Assumptions!$K$4*(1+Assumptions!$L$4)^ROUNDDOWN(YEARFRAC(DT$6,Assumptions!$F$35),0),0),IF(DT$6&gt;=Assumptions!$F$38,Assumptions!$K$4*(1+Assumptions!$L$4)^ROUNDDOWN(YEARFRAC(DT$6,Assumptions!$F$38),0),0))</f>
        <v>4.2658650740328534</v>
      </c>
      <c r="DU39" s="103">
        <f>IF(Assumptions!$L$8="Yes",IF(DU$6&gt;=Assumptions!$F$35,Assumptions!$K$4*(1+Assumptions!$L$4)^ROUNDDOWN(YEARFRAC(DU$6,Assumptions!$F$35),0),0),IF(DU$6&gt;=Assumptions!$F$38,Assumptions!$K$4*(1+Assumptions!$L$4)^ROUNDDOWN(YEARFRAC(DU$6,Assumptions!$F$38),0),0))</f>
        <v>4.2658650740328534</v>
      </c>
      <c r="DV39" s="103">
        <f>IF(Assumptions!$L$8="Yes",IF(DV$6&gt;=Assumptions!$F$35,Assumptions!$K$4*(1+Assumptions!$L$4)^ROUNDDOWN(YEARFRAC(DV$6,Assumptions!$F$35),0),0),IF(DV$6&gt;=Assumptions!$F$38,Assumptions!$K$4*(1+Assumptions!$L$4)^ROUNDDOWN(YEARFRAC(DV$6,Assumptions!$F$38),0),0))</f>
        <v>4.3938410262538392</v>
      </c>
      <c r="DW39" s="103">
        <f>IF(Assumptions!$L$8="Yes",IF(DW$6&gt;=Assumptions!$F$35,Assumptions!$K$4*(1+Assumptions!$L$4)^ROUNDDOWN(YEARFRAC(DW$6,Assumptions!$F$35),0),0),IF(DW$6&gt;=Assumptions!$F$38,Assumptions!$K$4*(1+Assumptions!$L$4)^ROUNDDOWN(YEARFRAC(DW$6,Assumptions!$F$38),0),0))</f>
        <v>4.3938410262538392</v>
      </c>
      <c r="DX39" s="103">
        <f>IF(Assumptions!$L$8="Yes",IF(DX$6&gt;=Assumptions!$F$35,Assumptions!$K$4*(1+Assumptions!$L$4)^ROUNDDOWN(YEARFRAC(DX$6,Assumptions!$F$35),0),0),IF(DX$6&gt;=Assumptions!$F$38,Assumptions!$K$4*(1+Assumptions!$L$4)^ROUNDDOWN(YEARFRAC(DX$6,Assumptions!$F$38),0),0))</f>
        <v>4.3938410262538392</v>
      </c>
      <c r="DY39" s="103">
        <f>IF(Assumptions!$L$8="Yes",IF(DY$6&gt;=Assumptions!$F$35,Assumptions!$K$4*(1+Assumptions!$L$4)^ROUNDDOWN(YEARFRAC(DY$6,Assumptions!$F$35),0),0),IF(DY$6&gt;=Assumptions!$F$38,Assumptions!$K$4*(1+Assumptions!$L$4)^ROUNDDOWN(YEARFRAC(DY$6,Assumptions!$F$38),0),0))</f>
        <v>4.3938410262538392</v>
      </c>
      <c r="DZ39" s="103">
        <f>IF(Assumptions!$L$8="Yes",IF(DZ$6&gt;=Assumptions!$F$35,Assumptions!$K$4*(1+Assumptions!$L$4)^ROUNDDOWN(YEARFRAC(DZ$6,Assumptions!$F$35),0),0),IF(DZ$6&gt;=Assumptions!$F$38,Assumptions!$K$4*(1+Assumptions!$L$4)^ROUNDDOWN(YEARFRAC(DZ$6,Assumptions!$F$38),0),0))</f>
        <v>4.3938410262538392</v>
      </c>
      <c r="EA39" s="103">
        <f>IF(Assumptions!$L$8="Yes",IF(EA$6&gt;=Assumptions!$F$35,Assumptions!$K$4*(1+Assumptions!$L$4)^ROUNDDOWN(YEARFRAC(EA$6,Assumptions!$F$35),0),0),IF(EA$6&gt;=Assumptions!$F$38,Assumptions!$K$4*(1+Assumptions!$L$4)^ROUNDDOWN(YEARFRAC(EA$6,Assumptions!$F$38),0),0))</f>
        <v>4.3938410262538392</v>
      </c>
      <c r="EB39" s="103">
        <f>IF(Assumptions!$L$8="Yes",IF(EB$6&gt;=Assumptions!$F$35,Assumptions!$K$4*(1+Assumptions!$L$4)^ROUNDDOWN(YEARFRAC(EB$6,Assumptions!$F$35),0),0),IF(EB$6&gt;=Assumptions!$F$38,Assumptions!$K$4*(1+Assumptions!$L$4)^ROUNDDOWN(YEARFRAC(EB$6,Assumptions!$F$38),0),0))</f>
        <v>4.3938410262538392</v>
      </c>
      <c r="EC39" s="103">
        <f>IF(Assumptions!$L$8="Yes",IF(EC$6&gt;=Assumptions!$F$35,Assumptions!$K$4*(1+Assumptions!$L$4)^ROUNDDOWN(YEARFRAC(EC$6,Assumptions!$F$35),0),0),IF(EC$6&gt;=Assumptions!$F$38,Assumptions!$K$4*(1+Assumptions!$L$4)^ROUNDDOWN(YEARFRAC(EC$6,Assumptions!$F$38),0),0))</f>
        <v>4.3938410262538392</v>
      </c>
      <c r="ED39" s="103">
        <f>IF(Assumptions!$L$8="Yes",IF(ED$6&gt;=Assumptions!$F$35,Assumptions!$K$4*(1+Assumptions!$L$4)^ROUNDDOWN(YEARFRAC(ED$6,Assumptions!$F$35),0),0),IF(ED$6&gt;=Assumptions!$F$38,Assumptions!$K$4*(1+Assumptions!$L$4)^ROUNDDOWN(YEARFRAC(ED$6,Assumptions!$F$38),0),0))</f>
        <v>4.3938410262538392</v>
      </c>
      <c r="EE39" s="103">
        <f>IF(Assumptions!$L$8="Yes",IF(EE$6&gt;=Assumptions!$F$35,Assumptions!$K$4*(1+Assumptions!$L$4)^ROUNDDOWN(YEARFRAC(EE$6,Assumptions!$F$35),0),0),IF(EE$6&gt;=Assumptions!$F$38,Assumptions!$K$4*(1+Assumptions!$L$4)^ROUNDDOWN(YEARFRAC(EE$6,Assumptions!$F$38),0),0))</f>
        <v>4.3938410262538392</v>
      </c>
      <c r="EF39" s="103">
        <f>IF(Assumptions!$L$8="Yes",IF(EF$6&gt;=Assumptions!$F$35,Assumptions!$K$4*(1+Assumptions!$L$4)^ROUNDDOWN(YEARFRAC(EF$6,Assumptions!$F$35),0),0),IF(EF$6&gt;=Assumptions!$F$38,Assumptions!$K$4*(1+Assumptions!$L$4)^ROUNDDOWN(YEARFRAC(EF$6,Assumptions!$F$38),0),0))</f>
        <v>4.3938410262538392</v>
      </c>
      <c r="EG39" s="103">
        <f>IF(Assumptions!$L$8="Yes",IF(EG$6&gt;=Assumptions!$F$35,Assumptions!$K$4*(1+Assumptions!$L$4)^ROUNDDOWN(YEARFRAC(EG$6,Assumptions!$F$35),0),0),IF(EG$6&gt;=Assumptions!$F$38,Assumptions!$K$4*(1+Assumptions!$L$4)^ROUNDDOWN(YEARFRAC(EG$6,Assumptions!$F$38),0),0))</f>
        <v>4.3938410262538392</v>
      </c>
      <c r="EH39" s="103">
        <f>IF(Assumptions!$L$8="Yes",IF(EH$6&gt;=Assumptions!$F$35,Assumptions!$K$4*(1+Assumptions!$L$4)^ROUNDDOWN(YEARFRAC(EH$6,Assumptions!$F$35),0),0),IF(EH$6&gt;=Assumptions!$F$38,Assumptions!$K$4*(1+Assumptions!$L$4)^ROUNDDOWN(YEARFRAC(EH$6,Assumptions!$F$38),0),0))</f>
        <v>4.5256562570414545</v>
      </c>
      <c r="EI39" s="103">
        <f>IF(Assumptions!$L$8="Yes",IF(EI$6&gt;=Assumptions!$F$35,Assumptions!$K$4*(1+Assumptions!$L$4)^ROUNDDOWN(YEARFRAC(EI$6,Assumptions!$F$35),0),0),IF(EI$6&gt;=Assumptions!$F$38,Assumptions!$K$4*(1+Assumptions!$L$4)^ROUNDDOWN(YEARFRAC(EI$6,Assumptions!$F$38),0),0))</f>
        <v>4.5256562570414545</v>
      </c>
      <c r="EJ39" s="103">
        <f>IF(Assumptions!$L$8="Yes",IF(EJ$6&gt;=Assumptions!$F$35,Assumptions!$K$4*(1+Assumptions!$L$4)^ROUNDDOWN(YEARFRAC(EJ$6,Assumptions!$F$35),0),0),IF(EJ$6&gt;=Assumptions!$F$38,Assumptions!$K$4*(1+Assumptions!$L$4)^ROUNDDOWN(YEARFRAC(EJ$6,Assumptions!$F$38),0),0))</f>
        <v>4.5256562570414545</v>
      </c>
      <c r="EK39" s="103">
        <f>IF(Assumptions!$L$8="Yes",IF(EK$6&gt;=Assumptions!$F$35,Assumptions!$K$4*(1+Assumptions!$L$4)^ROUNDDOWN(YEARFRAC(EK$6,Assumptions!$F$35),0),0),IF(EK$6&gt;=Assumptions!$F$38,Assumptions!$K$4*(1+Assumptions!$L$4)^ROUNDDOWN(YEARFRAC(EK$6,Assumptions!$F$38),0),0))</f>
        <v>4.5256562570414545</v>
      </c>
      <c r="EL39" s="103">
        <f>IF(Assumptions!$L$8="Yes",IF(EL$6&gt;=Assumptions!$F$35,Assumptions!$K$4*(1+Assumptions!$L$4)^ROUNDDOWN(YEARFRAC(EL$6,Assumptions!$F$35),0),0),IF(EL$6&gt;=Assumptions!$F$38,Assumptions!$K$4*(1+Assumptions!$L$4)^ROUNDDOWN(YEARFRAC(EL$6,Assumptions!$F$38),0),0))</f>
        <v>4.5256562570414545</v>
      </c>
      <c r="EM39" s="103">
        <f>IF(Assumptions!$L$8="Yes",IF(EM$6&gt;=Assumptions!$F$35,Assumptions!$K$4*(1+Assumptions!$L$4)^ROUNDDOWN(YEARFRAC(EM$6,Assumptions!$F$35),0),0),IF(EM$6&gt;=Assumptions!$F$38,Assumptions!$K$4*(1+Assumptions!$L$4)^ROUNDDOWN(YEARFRAC(EM$6,Assumptions!$F$38),0),0))</f>
        <v>4.5256562570414545</v>
      </c>
      <c r="EN39" s="103">
        <f>IF(Assumptions!$L$8="Yes",IF(EN$6&gt;=Assumptions!$F$35,Assumptions!$K$4*(1+Assumptions!$L$4)^ROUNDDOWN(YEARFRAC(EN$6,Assumptions!$F$35),0),0),IF(EN$6&gt;=Assumptions!$F$38,Assumptions!$K$4*(1+Assumptions!$L$4)^ROUNDDOWN(YEARFRAC(EN$6,Assumptions!$F$38),0),0))</f>
        <v>4.5256562570414545</v>
      </c>
      <c r="EO39" s="103">
        <f>IF(Assumptions!$L$8="Yes",IF(EO$6&gt;=Assumptions!$F$35,Assumptions!$K$4*(1+Assumptions!$L$4)^ROUNDDOWN(YEARFRAC(EO$6,Assumptions!$F$35),0),0),IF(EO$6&gt;=Assumptions!$F$38,Assumptions!$K$4*(1+Assumptions!$L$4)^ROUNDDOWN(YEARFRAC(EO$6,Assumptions!$F$38),0),0))</f>
        <v>4.5256562570414545</v>
      </c>
      <c r="EP39" s="103">
        <f>IF(Assumptions!$L$8="Yes",IF(EP$6&gt;=Assumptions!$F$35,Assumptions!$K$4*(1+Assumptions!$L$4)^ROUNDDOWN(YEARFRAC(EP$6,Assumptions!$F$35),0),0),IF(EP$6&gt;=Assumptions!$F$38,Assumptions!$K$4*(1+Assumptions!$L$4)^ROUNDDOWN(YEARFRAC(EP$6,Assumptions!$F$38),0),0))</f>
        <v>4.5256562570414545</v>
      </c>
      <c r="EQ39" s="103">
        <f>IF(Assumptions!$L$8="Yes",IF(EQ$6&gt;=Assumptions!$F$35,Assumptions!$K$4*(1+Assumptions!$L$4)^ROUNDDOWN(YEARFRAC(EQ$6,Assumptions!$F$35),0),0),IF(EQ$6&gt;=Assumptions!$F$38,Assumptions!$K$4*(1+Assumptions!$L$4)^ROUNDDOWN(YEARFRAC(EQ$6,Assumptions!$F$38),0),0))</f>
        <v>4.5256562570414545</v>
      </c>
      <c r="ER39" s="103">
        <f>IF(Assumptions!$L$8="Yes",IF(ER$6&gt;=Assumptions!$F$35,Assumptions!$K$4*(1+Assumptions!$L$4)^ROUNDDOWN(YEARFRAC(ER$6,Assumptions!$F$35),0),0),IF(ER$6&gt;=Assumptions!$F$38,Assumptions!$K$4*(1+Assumptions!$L$4)^ROUNDDOWN(YEARFRAC(ER$6,Assumptions!$F$38),0),0))</f>
        <v>4.5256562570414545</v>
      </c>
      <c r="ES39" s="103">
        <f>IF(Assumptions!$L$8="Yes",IF(ES$6&gt;=Assumptions!$F$35,Assumptions!$K$4*(1+Assumptions!$L$4)^ROUNDDOWN(YEARFRAC(ES$6,Assumptions!$F$35),0),0),IF(ES$6&gt;=Assumptions!$F$38,Assumptions!$K$4*(1+Assumptions!$L$4)^ROUNDDOWN(YEARFRAC(ES$6,Assumptions!$F$38),0),0))</f>
        <v>4.5256562570414545</v>
      </c>
      <c r="ET39" s="103">
        <f>IF(Assumptions!$L$8="Yes",IF(ET$6&gt;=Assumptions!$F$35,Assumptions!$K$4*(1+Assumptions!$L$4)^ROUNDDOWN(YEARFRAC(ET$6,Assumptions!$F$35),0),0),IF(ET$6&gt;=Assumptions!$F$38,Assumptions!$K$4*(1+Assumptions!$L$4)^ROUNDDOWN(YEARFRAC(ET$6,Assumptions!$F$38),0),0))</f>
        <v>4.6614259447526969</v>
      </c>
    </row>
    <row r="40" spans="2:150" x14ac:dyDescent="0.2">
      <c r="B40" t="s">
        <v>145</v>
      </c>
      <c r="F40" s="103">
        <f>IF(F$6&gt;=Assumptions!$F$38,Assumptions!$K$5*(1+Assumptions!$L$5)^ROUNDDOWN(YEARFRAC(F$6,Assumptions!$F$38),0),0)</f>
        <v>0</v>
      </c>
      <c r="G40" s="103">
        <f>IF(G$6&gt;=Assumptions!$F$38,Assumptions!$K$5*(1+Assumptions!$L$5)^ROUNDDOWN(YEARFRAC(G$6,Assumptions!$F$38),0),0)</f>
        <v>0</v>
      </c>
      <c r="H40" s="103">
        <f>IF(H$6&gt;=Assumptions!$F$38,Assumptions!$K$5*(1+Assumptions!$L$5)^ROUNDDOWN(YEARFRAC(H$6,Assumptions!$F$38),0),0)</f>
        <v>0</v>
      </c>
      <c r="I40" s="103">
        <f>IF(I$6&gt;=Assumptions!$F$38,Assumptions!$K$5*(1+Assumptions!$L$5)^ROUNDDOWN(YEARFRAC(I$6,Assumptions!$F$38),0),0)</f>
        <v>0</v>
      </c>
      <c r="J40" s="103">
        <f>IF(J$6&gt;=Assumptions!$F$38,Assumptions!$K$5*(1+Assumptions!$L$5)^ROUNDDOWN(YEARFRAC(J$6,Assumptions!$F$38),0),0)</f>
        <v>0</v>
      </c>
      <c r="K40" s="103">
        <f>IF(K$6&gt;=Assumptions!$F$38,Assumptions!$K$5*(1+Assumptions!$L$5)^ROUNDDOWN(YEARFRAC(K$6,Assumptions!$F$38),0),0)</f>
        <v>0</v>
      </c>
      <c r="L40" s="103">
        <f>IF(L$6&gt;=Assumptions!$F$38,Assumptions!$K$5*(1+Assumptions!$L$5)^ROUNDDOWN(YEARFRAC(L$6,Assumptions!$F$38),0),0)</f>
        <v>0</v>
      </c>
      <c r="M40" s="103">
        <f>IF(M$6&gt;=Assumptions!$F$38,Assumptions!$K$5*(1+Assumptions!$L$5)^ROUNDDOWN(YEARFRAC(M$6,Assumptions!$F$38),0),0)</f>
        <v>0</v>
      </c>
      <c r="N40" s="103">
        <f>IF(N$6&gt;=Assumptions!$F$38,Assumptions!$K$5*(1+Assumptions!$L$5)^ROUNDDOWN(YEARFRAC(N$6,Assumptions!$F$38),0),0)</f>
        <v>0</v>
      </c>
      <c r="O40" s="103">
        <f>IF(O$6&gt;=Assumptions!$F$38,Assumptions!$K$5*(1+Assumptions!$L$5)^ROUNDDOWN(YEARFRAC(O$6,Assumptions!$F$38),0),0)</f>
        <v>0</v>
      </c>
      <c r="P40" s="103">
        <f>IF(P$6&gt;=Assumptions!$F$38,Assumptions!$K$5*(1+Assumptions!$L$5)^ROUNDDOWN(YEARFRAC(P$6,Assumptions!$F$38),0),0)</f>
        <v>0</v>
      </c>
      <c r="Q40" s="103">
        <f>IF(Q$6&gt;=Assumptions!$F$38,Assumptions!$K$5*(1+Assumptions!$L$5)^ROUNDDOWN(YEARFRAC(Q$6,Assumptions!$F$38),0),0)</f>
        <v>0</v>
      </c>
      <c r="R40" s="103">
        <f>IF(R$6&gt;=Assumptions!$F$38,Assumptions!$K$5*(1+Assumptions!$L$5)^ROUNDDOWN(YEARFRAC(R$6,Assumptions!$F$38),0),0)</f>
        <v>0</v>
      </c>
      <c r="S40" s="103">
        <f>IF(S$6&gt;=Assumptions!$F$38,Assumptions!$K$5*(1+Assumptions!$L$5)^ROUNDDOWN(YEARFRAC(S$6,Assumptions!$F$38),0),0)</f>
        <v>0</v>
      </c>
      <c r="T40" s="103">
        <f>IF(T$6&gt;=Assumptions!$F$38,Assumptions!$K$5*(1+Assumptions!$L$5)^ROUNDDOWN(YEARFRAC(T$6,Assumptions!$F$38),0),0)</f>
        <v>0</v>
      </c>
      <c r="U40" s="103">
        <f>IF(U$6&gt;=Assumptions!$F$38,Assumptions!$K$5*(1+Assumptions!$L$5)^ROUNDDOWN(YEARFRAC(U$6,Assumptions!$F$38),0),0)</f>
        <v>0</v>
      </c>
      <c r="V40" s="103">
        <f>IF(V$6&gt;=Assumptions!$F$38,Assumptions!$K$5*(1+Assumptions!$L$5)^ROUNDDOWN(YEARFRAC(V$6,Assumptions!$F$38),0),0)</f>
        <v>0</v>
      </c>
      <c r="W40" s="103">
        <f>IF(W$6&gt;=Assumptions!$F$38,Assumptions!$K$5*(1+Assumptions!$L$5)^ROUNDDOWN(YEARFRAC(W$6,Assumptions!$F$38),0),0)</f>
        <v>0</v>
      </c>
      <c r="X40" s="103">
        <f>IF(X$6&gt;=Assumptions!$F$38,Assumptions!$K$5*(1+Assumptions!$L$5)^ROUNDDOWN(YEARFRAC(X$6,Assumptions!$F$38),0),0)</f>
        <v>0</v>
      </c>
      <c r="Y40" s="103">
        <f>IF(Y$6&gt;=Assumptions!$F$38,Assumptions!$K$5*(1+Assumptions!$L$5)^ROUNDDOWN(YEARFRAC(Y$6,Assumptions!$F$38),0),0)</f>
        <v>0</v>
      </c>
      <c r="Z40" s="103">
        <f>IF(Z$6&gt;=Assumptions!$F$38,Assumptions!$K$5*(1+Assumptions!$L$5)^ROUNDDOWN(YEARFRAC(Z$6,Assumptions!$F$38),0),0)</f>
        <v>0</v>
      </c>
      <c r="AA40" s="103">
        <f>IF(AA$6&gt;=Assumptions!$F$38,Assumptions!$K$5*(1+Assumptions!$L$5)^ROUNDDOWN(YEARFRAC(AA$6,Assumptions!$F$38),0),0)</f>
        <v>0</v>
      </c>
      <c r="AB40" s="103">
        <f>IF(AB$6&gt;=Assumptions!$F$38,Assumptions!$K$5*(1+Assumptions!$L$5)^ROUNDDOWN(YEARFRAC(AB$6,Assumptions!$F$38),0),0)</f>
        <v>0</v>
      </c>
      <c r="AC40" s="103">
        <f>IF(AC$6&gt;=Assumptions!$F$38,Assumptions!$K$5*(1+Assumptions!$L$5)^ROUNDDOWN(YEARFRAC(AC$6,Assumptions!$F$38),0),0)</f>
        <v>0</v>
      </c>
      <c r="AD40" s="103">
        <f>IF(AD$6&gt;=Assumptions!$F$38,Assumptions!$K$5*(1+Assumptions!$L$5)^ROUNDDOWN(YEARFRAC(AD$6,Assumptions!$F$38),0),0)</f>
        <v>0</v>
      </c>
      <c r="AE40" s="103">
        <f>IF(AE$6&gt;=Assumptions!$F$38,Assumptions!$K$5*(1+Assumptions!$L$5)^ROUNDDOWN(YEARFRAC(AE$6,Assumptions!$F$38),0),0)</f>
        <v>0</v>
      </c>
      <c r="AF40" s="103">
        <f>IF(AF$6&gt;=Assumptions!$F$38,Assumptions!$K$5*(1+Assumptions!$L$5)^ROUNDDOWN(YEARFRAC(AF$6,Assumptions!$F$38),0),0)</f>
        <v>0</v>
      </c>
      <c r="AG40" s="103">
        <f>IF(AG$6&gt;=Assumptions!$F$38,Assumptions!$K$5*(1+Assumptions!$L$5)^ROUNDDOWN(YEARFRAC(AG$6,Assumptions!$F$38),0),0)</f>
        <v>0</v>
      </c>
      <c r="AH40" s="103">
        <f>IF(AH$6&gt;=Assumptions!$F$38,Assumptions!$K$5*(1+Assumptions!$L$5)^ROUNDDOWN(YEARFRAC(AH$6,Assumptions!$F$38),0),0)</f>
        <v>0</v>
      </c>
      <c r="AI40" s="103">
        <f>IF(AI$6&gt;=Assumptions!$F$38,Assumptions!$K$5*(1+Assumptions!$L$5)^ROUNDDOWN(YEARFRAC(AI$6,Assumptions!$F$38),0),0)</f>
        <v>0</v>
      </c>
      <c r="AJ40" s="103">
        <f>IF(AJ$6&gt;=Assumptions!$F$38,Assumptions!$K$5*(1+Assumptions!$L$5)^ROUNDDOWN(YEARFRAC(AJ$6,Assumptions!$F$38),0),0)</f>
        <v>0</v>
      </c>
      <c r="AK40" s="103">
        <f>IF(AK$6&gt;=Assumptions!$F$38,Assumptions!$K$5*(1+Assumptions!$L$5)^ROUNDDOWN(YEARFRAC(AK$6,Assumptions!$F$38),0),0)</f>
        <v>0</v>
      </c>
      <c r="AL40" s="103">
        <f>IF(AL$6&gt;=Assumptions!$F$38,Assumptions!$K$5*(1+Assumptions!$L$5)^ROUNDDOWN(YEARFRAC(AL$6,Assumptions!$F$38),0),0)</f>
        <v>0</v>
      </c>
      <c r="AM40" s="103">
        <f>IF(AM$6&gt;=Assumptions!$F$38,Assumptions!$K$5*(1+Assumptions!$L$5)^ROUNDDOWN(YEARFRAC(AM$6,Assumptions!$F$38),0),0)</f>
        <v>0</v>
      </c>
      <c r="AN40" s="103">
        <f>IF(AN$6&gt;=Assumptions!$F$38,Assumptions!$K$5*(1+Assumptions!$L$5)^ROUNDDOWN(YEARFRAC(AN$6,Assumptions!$F$38),0),0)</f>
        <v>0</v>
      </c>
      <c r="AO40" s="103">
        <f>IF(AO$6&gt;=Assumptions!$F$38,Assumptions!$K$5*(1+Assumptions!$L$5)^ROUNDDOWN(YEARFRAC(AO$6,Assumptions!$F$38),0),0)</f>
        <v>2.7</v>
      </c>
      <c r="AP40" s="103">
        <f>IF(AP$6&gt;=Assumptions!$F$38,Assumptions!$K$5*(1+Assumptions!$L$5)^ROUNDDOWN(YEARFRAC(AP$6,Assumptions!$F$38),0),0)</f>
        <v>2.7</v>
      </c>
      <c r="AQ40" s="103">
        <f>IF(AQ$6&gt;=Assumptions!$F$38,Assumptions!$K$5*(1+Assumptions!$L$5)^ROUNDDOWN(YEARFRAC(AQ$6,Assumptions!$F$38),0),0)</f>
        <v>2.7</v>
      </c>
      <c r="AR40" s="103">
        <f>IF(AR$6&gt;=Assumptions!$F$38,Assumptions!$K$5*(1+Assumptions!$L$5)^ROUNDDOWN(YEARFRAC(AR$6,Assumptions!$F$38),0),0)</f>
        <v>2.7</v>
      </c>
      <c r="AS40" s="103">
        <f>IF(AS$6&gt;=Assumptions!$F$38,Assumptions!$K$5*(1+Assumptions!$L$5)^ROUNDDOWN(YEARFRAC(AS$6,Assumptions!$F$38),0),0)</f>
        <v>2.7</v>
      </c>
      <c r="AT40" s="103">
        <f>IF(AT$6&gt;=Assumptions!$F$38,Assumptions!$K$5*(1+Assumptions!$L$5)^ROUNDDOWN(YEARFRAC(AT$6,Assumptions!$F$38),0),0)</f>
        <v>2.7</v>
      </c>
      <c r="AU40" s="103">
        <f>IF(AU$6&gt;=Assumptions!$F$38,Assumptions!$K$5*(1+Assumptions!$L$5)^ROUNDDOWN(YEARFRAC(AU$6,Assumptions!$F$38),0),0)</f>
        <v>2.7</v>
      </c>
      <c r="AV40" s="103">
        <f>IF(AV$6&gt;=Assumptions!$F$38,Assumptions!$K$5*(1+Assumptions!$L$5)^ROUNDDOWN(YEARFRAC(AV$6,Assumptions!$F$38),0),0)</f>
        <v>2.7</v>
      </c>
      <c r="AW40" s="103">
        <f>IF(AW$6&gt;=Assumptions!$F$38,Assumptions!$K$5*(1+Assumptions!$L$5)^ROUNDDOWN(YEARFRAC(AW$6,Assumptions!$F$38),0),0)</f>
        <v>2.7</v>
      </c>
      <c r="AX40" s="103">
        <f>IF(AX$6&gt;=Assumptions!$F$38,Assumptions!$K$5*(1+Assumptions!$L$5)^ROUNDDOWN(YEARFRAC(AX$6,Assumptions!$F$38),0),0)</f>
        <v>2.7</v>
      </c>
      <c r="AY40" s="103">
        <f>IF(AY$6&gt;=Assumptions!$F$38,Assumptions!$K$5*(1+Assumptions!$L$5)^ROUNDDOWN(YEARFRAC(AY$6,Assumptions!$F$38),0),0)</f>
        <v>2.7</v>
      </c>
      <c r="AZ40" s="103">
        <f>IF(AZ$6&gt;=Assumptions!$F$38,Assumptions!$K$5*(1+Assumptions!$L$5)^ROUNDDOWN(YEARFRAC(AZ$6,Assumptions!$F$38),0),0)</f>
        <v>2.7</v>
      </c>
      <c r="BA40" s="103">
        <f>IF(BA$6&gt;=Assumptions!$F$38,Assumptions!$K$5*(1+Assumptions!$L$5)^ROUNDDOWN(YEARFRAC(BA$6,Assumptions!$F$38),0),0)</f>
        <v>2.7810000000000001</v>
      </c>
      <c r="BB40" s="103">
        <f>IF(BB$6&gt;=Assumptions!$F$38,Assumptions!$K$5*(1+Assumptions!$L$5)^ROUNDDOWN(YEARFRAC(BB$6,Assumptions!$F$38),0),0)</f>
        <v>2.7810000000000001</v>
      </c>
      <c r="BC40" s="103">
        <f>IF(BC$6&gt;=Assumptions!$F$38,Assumptions!$K$5*(1+Assumptions!$L$5)^ROUNDDOWN(YEARFRAC(BC$6,Assumptions!$F$38),0),0)</f>
        <v>2.7810000000000001</v>
      </c>
      <c r="BD40" s="103">
        <f>IF(BD$6&gt;=Assumptions!$F$38,Assumptions!$K$5*(1+Assumptions!$L$5)^ROUNDDOWN(YEARFRAC(BD$6,Assumptions!$F$38),0),0)</f>
        <v>2.7810000000000001</v>
      </c>
      <c r="BE40" s="103">
        <f>IF(BE$6&gt;=Assumptions!$F$38,Assumptions!$K$5*(1+Assumptions!$L$5)^ROUNDDOWN(YEARFRAC(BE$6,Assumptions!$F$38),0),0)</f>
        <v>2.7810000000000001</v>
      </c>
      <c r="BF40" s="103">
        <f>IF(BF$6&gt;=Assumptions!$F$38,Assumptions!$K$5*(1+Assumptions!$L$5)^ROUNDDOWN(YEARFRAC(BF$6,Assumptions!$F$38),0),0)</f>
        <v>2.7810000000000001</v>
      </c>
      <c r="BG40" s="103">
        <f>IF(BG$6&gt;=Assumptions!$F$38,Assumptions!$K$5*(1+Assumptions!$L$5)^ROUNDDOWN(YEARFRAC(BG$6,Assumptions!$F$38),0),0)</f>
        <v>2.7810000000000001</v>
      </c>
      <c r="BH40" s="103">
        <f>IF(BH$6&gt;=Assumptions!$F$38,Assumptions!$K$5*(1+Assumptions!$L$5)^ROUNDDOWN(YEARFRAC(BH$6,Assumptions!$F$38),0),0)</f>
        <v>2.7810000000000001</v>
      </c>
      <c r="BI40" s="103">
        <f>IF(BI$6&gt;=Assumptions!$F$38,Assumptions!$K$5*(1+Assumptions!$L$5)^ROUNDDOWN(YEARFRAC(BI$6,Assumptions!$F$38),0),0)</f>
        <v>2.7810000000000001</v>
      </c>
      <c r="BJ40" s="103">
        <f>IF(BJ$6&gt;=Assumptions!$F$38,Assumptions!$K$5*(1+Assumptions!$L$5)^ROUNDDOWN(YEARFRAC(BJ$6,Assumptions!$F$38),0),0)</f>
        <v>2.7810000000000001</v>
      </c>
      <c r="BK40" s="103">
        <f>IF(BK$6&gt;=Assumptions!$F$38,Assumptions!$K$5*(1+Assumptions!$L$5)^ROUNDDOWN(YEARFRAC(BK$6,Assumptions!$F$38),0),0)</f>
        <v>2.7810000000000001</v>
      </c>
      <c r="BL40" s="103">
        <f>IF(BL$6&gt;=Assumptions!$F$38,Assumptions!$K$5*(1+Assumptions!$L$5)^ROUNDDOWN(YEARFRAC(BL$6,Assumptions!$F$38),0),0)</f>
        <v>2.7810000000000001</v>
      </c>
      <c r="BM40" s="103">
        <f>IF(BM$6&gt;=Assumptions!$F$38,Assumptions!$K$5*(1+Assumptions!$L$5)^ROUNDDOWN(YEARFRAC(BM$6,Assumptions!$F$38),0),0)</f>
        <v>2.86443</v>
      </c>
      <c r="BN40" s="103">
        <f>IF(BN$6&gt;=Assumptions!$F$38,Assumptions!$K$5*(1+Assumptions!$L$5)^ROUNDDOWN(YEARFRAC(BN$6,Assumptions!$F$38),0),0)</f>
        <v>2.86443</v>
      </c>
      <c r="BO40" s="103">
        <f>IF(BO$6&gt;=Assumptions!$F$38,Assumptions!$K$5*(1+Assumptions!$L$5)^ROUNDDOWN(YEARFRAC(BO$6,Assumptions!$F$38),0),0)</f>
        <v>2.86443</v>
      </c>
      <c r="BP40" s="103">
        <f>IF(BP$6&gt;=Assumptions!$F$38,Assumptions!$K$5*(1+Assumptions!$L$5)^ROUNDDOWN(YEARFRAC(BP$6,Assumptions!$F$38),0),0)</f>
        <v>2.86443</v>
      </c>
      <c r="BQ40" s="103">
        <f>IF(BQ$6&gt;=Assumptions!$F$38,Assumptions!$K$5*(1+Assumptions!$L$5)^ROUNDDOWN(YEARFRAC(BQ$6,Assumptions!$F$38),0),0)</f>
        <v>2.86443</v>
      </c>
      <c r="BR40" s="103">
        <f>IF(BR$6&gt;=Assumptions!$F$38,Assumptions!$K$5*(1+Assumptions!$L$5)^ROUNDDOWN(YEARFRAC(BR$6,Assumptions!$F$38),0),0)</f>
        <v>2.86443</v>
      </c>
      <c r="BS40" s="103">
        <f>IF(BS$6&gt;=Assumptions!$F$38,Assumptions!$K$5*(1+Assumptions!$L$5)^ROUNDDOWN(YEARFRAC(BS$6,Assumptions!$F$38),0),0)</f>
        <v>2.86443</v>
      </c>
      <c r="BT40" s="103">
        <f>IF(BT$6&gt;=Assumptions!$F$38,Assumptions!$K$5*(1+Assumptions!$L$5)^ROUNDDOWN(YEARFRAC(BT$6,Assumptions!$F$38),0),0)</f>
        <v>2.86443</v>
      </c>
      <c r="BU40" s="103">
        <f>IF(BU$6&gt;=Assumptions!$F$38,Assumptions!$K$5*(1+Assumptions!$L$5)^ROUNDDOWN(YEARFRAC(BU$6,Assumptions!$F$38),0),0)</f>
        <v>2.86443</v>
      </c>
      <c r="BV40" s="103">
        <f>IF(BV$6&gt;=Assumptions!$F$38,Assumptions!$K$5*(1+Assumptions!$L$5)^ROUNDDOWN(YEARFRAC(BV$6,Assumptions!$F$38),0),0)</f>
        <v>2.86443</v>
      </c>
      <c r="BW40" s="103">
        <f>IF(BW$6&gt;=Assumptions!$F$38,Assumptions!$K$5*(1+Assumptions!$L$5)^ROUNDDOWN(YEARFRAC(BW$6,Assumptions!$F$38),0),0)</f>
        <v>2.86443</v>
      </c>
      <c r="BX40" s="103">
        <f>IF(BX$6&gt;=Assumptions!$F$38,Assumptions!$K$5*(1+Assumptions!$L$5)^ROUNDDOWN(YEARFRAC(BX$6,Assumptions!$F$38),0),0)</f>
        <v>2.86443</v>
      </c>
      <c r="BY40" s="103">
        <f>IF(BY$6&gt;=Assumptions!$F$38,Assumptions!$K$5*(1+Assumptions!$L$5)^ROUNDDOWN(YEARFRAC(BY$6,Assumptions!$F$38),0),0)</f>
        <v>2.9503629</v>
      </c>
      <c r="BZ40" s="103">
        <f>IF(BZ$6&gt;=Assumptions!$F$38,Assumptions!$K$5*(1+Assumptions!$L$5)^ROUNDDOWN(YEARFRAC(BZ$6,Assumptions!$F$38),0),0)</f>
        <v>2.9503629</v>
      </c>
      <c r="CA40" s="103">
        <f>IF(CA$6&gt;=Assumptions!$F$38,Assumptions!$K$5*(1+Assumptions!$L$5)^ROUNDDOWN(YEARFRAC(CA$6,Assumptions!$F$38),0),0)</f>
        <v>2.9503629</v>
      </c>
      <c r="CB40" s="103">
        <f>IF(CB$6&gt;=Assumptions!$F$38,Assumptions!$K$5*(1+Assumptions!$L$5)^ROUNDDOWN(YEARFRAC(CB$6,Assumptions!$F$38),0),0)</f>
        <v>2.9503629</v>
      </c>
      <c r="CC40" s="103">
        <f>IF(CC$6&gt;=Assumptions!$F$38,Assumptions!$K$5*(1+Assumptions!$L$5)^ROUNDDOWN(YEARFRAC(CC$6,Assumptions!$F$38),0),0)</f>
        <v>2.9503629</v>
      </c>
      <c r="CD40" s="103">
        <f>IF(CD$6&gt;=Assumptions!$F$38,Assumptions!$K$5*(1+Assumptions!$L$5)^ROUNDDOWN(YEARFRAC(CD$6,Assumptions!$F$38),0),0)</f>
        <v>2.9503629</v>
      </c>
      <c r="CE40" s="103">
        <f>IF(CE$6&gt;=Assumptions!$F$38,Assumptions!$K$5*(1+Assumptions!$L$5)^ROUNDDOWN(YEARFRAC(CE$6,Assumptions!$F$38),0),0)</f>
        <v>2.9503629</v>
      </c>
      <c r="CF40" s="103">
        <f>IF(CF$6&gt;=Assumptions!$F$38,Assumptions!$K$5*(1+Assumptions!$L$5)^ROUNDDOWN(YEARFRAC(CF$6,Assumptions!$F$38),0),0)</f>
        <v>2.9503629</v>
      </c>
      <c r="CG40" s="103">
        <f>IF(CG$6&gt;=Assumptions!$F$38,Assumptions!$K$5*(1+Assumptions!$L$5)^ROUNDDOWN(YEARFRAC(CG$6,Assumptions!$F$38),0),0)</f>
        <v>2.9503629</v>
      </c>
      <c r="CH40" s="103">
        <f>IF(CH$6&gt;=Assumptions!$F$38,Assumptions!$K$5*(1+Assumptions!$L$5)^ROUNDDOWN(YEARFRAC(CH$6,Assumptions!$F$38),0),0)</f>
        <v>2.9503629</v>
      </c>
      <c r="CI40" s="103">
        <f>IF(CI$6&gt;=Assumptions!$F$38,Assumptions!$K$5*(1+Assumptions!$L$5)^ROUNDDOWN(YEARFRAC(CI$6,Assumptions!$F$38),0),0)</f>
        <v>2.9503629</v>
      </c>
      <c r="CJ40" s="103">
        <f>IF(CJ$6&gt;=Assumptions!$F$38,Assumptions!$K$5*(1+Assumptions!$L$5)^ROUNDDOWN(YEARFRAC(CJ$6,Assumptions!$F$38),0),0)</f>
        <v>2.9503629</v>
      </c>
      <c r="CK40" s="103">
        <f>IF(CK$6&gt;=Assumptions!$F$38,Assumptions!$K$5*(1+Assumptions!$L$5)^ROUNDDOWN(YEARFRAC(CK$6,Assumptions!$F$38),0),0)</f>
        <v>3.038873787</v>
      </c>
      <c r="CL40" s="103">
        <f>IF(CL$6&gt;=Assumptions!$F$38,Assumptions!$K$5*(1+Assumptions!$L$5)^ROUNDDOWN(YEARFRAC(CL$6,Assumptions!$F$38),0),0)</f>
        <v>3.038873787</v>
      </c>
      <c r="CM40" s="103">
        <f>IF(CM$6&gt;=Assumptions!$F$38,Assumptions!$K$5*(1+Assumptions!$L$5)^ROUNDDOWN(YEARFRAC(CM$6,Assumptions!$F$38),0),0)</f>
        <v>3.038873787</v>
      </c>
      <c r="CN40" s="103">
        <f>IF(CN$6&gt;=Assumptions!$F$38,Assumptions!$K$5*(1+Assumptions!$L$5)^ROUNDDOWN(YEARFRAC(CN$6,Assumptions!$F$38),0),0)</f>
        <v>3.038873787</v>
      </c>
      <c r="CO40" s="103">
        <f>IF(CO$6&gt;=Assumptions!$F$38,Assumptions!$K$5*(1+Assumptions!$L$5)^ROUNDDOWN(YEARFRAC(CO$6,Assumptions!$F$38),0),0)</f>
        <v>3.038873787</v>
      </c>
      <c r="CP40" s="103">
        <f>IF(CP$6&gt;=Assumptions!$F$38,Assumptions!$K$5*(1+Assumptions!$L$5)^ROUNDDOWN(YEARFRAC(CP$6,Assumptions!$F$38),0),0)</f>
        <v>3.038873787</v>
      </c>
      <c r="CQ40" s="103">
        <f>IF(CQ$6&gt;=Assumptions!$F$38,Assumptions!$K$5*(1+Assumptions!$L$5)^ROUNDDOWN(YEARFRAC(CQ$6,Assumptions!$F$38),0),0)</f>
        <v>3.038873787</v>
      </c>
      <c r="CR40" s="103">
        <f>IF(CR$6&gt;=Assumptions!$F$38,Assumptions!$K$5*(1+Assumptions!$L$5)^ROUNDDOWN(YEARFRAC(CR$6,Assumptions!$F$38),0),0)</f>
        <v>3.038873787</v>
      </c>
      <c r="CS40" s="103">
        <f>IF(CS$6&gt;=Assumptions!$F$38,Assumptions!$K$5*(1+Assumptions!$L$5)^ROUNDDOWN(YEARFRAC(CS$6,Assumptions!$F$38),0),0)</f>
        <v>3.038873787</v>
      </c>
      <c r="CT40" s="103">
        <f>IF(CT$6&gt;=Assumptions!$F$38,Assumptions!$K$5*(1+Assumptions!$L$5)^ROUNDDOWN(YEARFRAC(CT$6,Assumptions!$F$38),0),0)</f>
        <v>3.038873787</v>
      </c>
      <c r="CU40" s="103">
        <f>IF(CU$6&gt;=Assumptions!$F$38,Assumptions!$K$5*(1+Assumptions!$L$5)^ROUNDDOWN(YEARFRAC(CU$6,Assumptions!$F$38),0),0)</f>
        <v>3.038873787</v>
      </c>
      <c r="CV40" s="103">
        <f>IF(CV$6&gt;=Assumptions!$F$38,Assumptions!$K$5*(1+Assumptions!$L$5)^ROUNDDOWN(YEARFRAC(CV$6,Assumptions!$F$38),0),0)</f>
        <v>3.038873787</v>
      </c>
      <c r="CW40" s="103">
        <f>IF(CW$6&gt;=Assumptions!$F$38,Assumptions!$K$5*(1+Assumptions!$L$5)^ROUNDDOWN(YEARFRAC(CW$6,Assumptions!$F$38),0),0)</f>
        <v>3.1300400006099998</v>
      </c>
      <c r="CX40" s="103">
        <f>IF(CX$6&gt;=Assumptions!$F$38,Assumptions!$K$5*(1+Assumptions!$L$5)^ROUNDDOWN(YEARFRAC(CX$6,Assumptions!$F$38),0),0)</f>
        <v>3.1300400006099998</v>
      </c>
      <c r="CY40" s="103">
        <f>IF(CY$6&gt;=Assumptions!$F$38,Assumptions!$K$5*(1+Assumptions!$L$5)^ROUNDDOWN(YEARFRAC(CY$6,Assumptions!$F$38),0),0)</f>
        <v>3.1300400006099998</v>
      </c>
      <c r="CZ40" s="103">
        <f>IF(CZ$6&gt;=Assumptions!$F$38,Assumptions!$K$5*(1+Assumptions!$L$5)^ROUNDDOWN(YEARFRAC(CZ$6,Assumptions!$F$38),0),0)</f>
        <v>3.1300400006099998</v>
      </c>
      <c r="DA40" s="103">
        <f>IF(DA$6&gt;=Assumptions!$F$38,Assumptions!$K$5*(1+Assumptions!$L$5)^ROUNDDOWN(YEARFRAC(DA$6,Assumptions!$F$38),0),0)</f>
        <v>3.1300400006099998</v>
      </c>
      <c r="DB40" s="103">
        <f>IF(DB$6&gt;=Assumptions!$F$38,Assumptions!$K$5*(1+Assumptions!$L$5)^ROUNDDOWN(YEARFRAC(DB$6,Assumptions!$F$38),0),0)</f>
        <v>3.1300400006099998</v>
      </c>
      <c r="DC40" s="103">
        <f>IF(DC$6&gt;=Assumptions!$F$38,Assumptions!$K$5*(1+Assumptions!$L$5)^ROUNDDOWN(YEARFRAC(DC$6,Assumptions!$F$38),0),0)</f>
        <v>3.1300400006099998</v>
      </c>
      <c r="DD40" s="103">
        <f>IF(DD$6&gt;=Assumptions!$F$38,Assumptions!$K$5*(1+Assumptions!$L$5)^ROUNDDOWN(YEARFRAC(DD$6,Assumptions!$F$38),0),0)</f>
        <v>3.1300400006099998</v>
      </c>
      <c r="DE40" s="103">
        <f>IF(DE$6&gt;=Assumptions!$F$38,Assumptions!$K$5*(1+Assumptions!$L$5)^ROUNDDOWN(YEARFRAC(DE$6,Assumptions!$F$38),0),0)</f>
        <v>3.1300400006099998</v>
      </c>
      <c r="DF40" s="103">
        <f>IF(DF$6&gt;=Assumptions!$F$38,Assumptions!$K$5*(1+Assumptions!$L$5)^ROUNDDOWN(YEARFRAC(DF$6,Assumptions!$F$38),0),0)</f>
        <v>3.1300400006099998</v>
      </c>
      <c r="DG40" s="103">
        <f>IF(DG$6&gt;=Assumptions!$F$38,Assumptions!$K$5*(1+Assumptions!$L$5)^ROUNDDOWN(YEARFRAC(DG$6,Assumptions!$F$38),0),0)</f>
        <v>3.1300400006099998</v>
      </c>
      <c r="DH40" s="103">
        <f>IF(DH$6&gt;=Assumptions!$F$38,Assumptions!$K$5*(1+Assumptions!$L$5)^ROUNDDOWN(YEARFRAC(DH$6,Assumptions!$F$38),0),0)</f>
        <v>3.1300400006099998</v>
      </c>
      <c r="DI40" s="103">
        <f>IF(DI$6&gt;=Assumptions!$F$38,Assumptions!$K$5*(1+Assumptions!$L$5)^ROUNDDOWN(YEARFRAC(DI$6,Assumptions!$F$38),0),0)</f>
        <v>3.2239412006283001</v>
      </c>
      <c r="DJ40" s="103">
        <f>IF(DJ$6&gt;=Assumptions!$F$38,Assumptions!$K$5*(1+Assumptions!$L$5)^ROUNDDOWN(YEARFRAC(DJ$6,Assumptions!$F$38),0),0)</f>
        <v>3.2239412006283001</v>
      </c>
      <c r="DK40" s="103">
        <f>IF(DK$6&gt;=Assumptions!$F$38,Assumptions!$K$5*(1+Assumptions!$L$5)^ROUNDDOWN(YEARFRAC(DK$6,Assumptions!$F$38),0),0)</f>
        <v>3.2239412006283001</v>
      </c>
      <c r="DL40" s="103">
        <f>IF(DL$6&gt;=Assumptions!$F$38,Assumptions!$K$5*(1+Assumptions!$L$5)^ROUNDDOWN(YEARFRAC(DL$6,Assumptions!$F$38),0),0)</f>
        <v>3.2239412006283001</v>
      </c>
      <c r="DM40" s="103">
        <f>IF(DM$6&gt;=Assumptions!$F$38,Assumptions!$K$5*(1+Assumptions!$L$5)^ROUNDDOWN(YEARFRAC(DM$6,Assumptions!$F$38),0),0)</f>
        <v>3.2239412006283001</v>
      </c>
      <c r="DN40" s="103">
        <f>IF(DN$6&gt;=Assumptions!$F$38,Assumptions!$K$5*(1+Assumptions!$L$5)^ROUNDDOWN(YEARFRAC(DN$6,Assumptions!$F$38),0),0)</f>
        <v>3.2239412006283001</v>
      </c>
      <c r="DO40" s="103">
        <f>IF(DO$6&gt;=Assumptions!$F$38,Assumptions!$K$5*(1+Assumptions!$L$5)^ROUNDDOWN(YEARFRAC(DO$6,Assumptions!$F$38),0),0)</f>
        <v>3.2239412006283001</v>
      </c>
      <c r="DP40" s="103">
        <f>IF(DP$6&gt;=Assumptions!$F$38,Assumptions!$K$5*(1+Assumptions!$L$5)^ROUNDDOWN(YEARFRAC(DP$6,Assumptions!$F$38),0),0)</f>
        <v>3.2239412006283001</v>
      </c>
      <c r="DQ40" s="103">
        <f>IF(DQ$6&gt;=Assumptions!$F$38,Assumptions!$K$5*(1+Assumptions!$L$5)^ROUNDDOWN(YEARFRAC(DQ$6,Assumptions!$F$38),0),0)</f>
        <v>3.2239412006283001</v>
      </c>
      <c r="DR40" s="103">
        <f>IF(DR$6&gt;=Assumptions!$F$38,Assumptions!$K$5*(1+Assumptions!$L$5)^ROUNDDOWN(YEARFRAC(DR$6,Assumptions!$F$38),0),0)</f>
        <v>3.2239412006283001</v>
      </c>
      <c r="DS40" s="103">
        <f>IF(DS$6&gt;=Assumptions!$F$38,Assumptions!$K$5*(1+Assumptions!$L$5)^ROUNDDOWN(YEARFRAC(DS$6,Assumptions!$F$38),0),0)</f>
        <v>3.2239412006283001</v>
      </c>
      <c r="DT40" s="103">
        <f>IF(DT$6&gt;=Assumptions!$F$38,Assumptions!$K$5*(1+Assumptions!$L$5)^ROUNDDOWN(YEARFRAC(DT$6,Assumptions!$F$38),0),0)</f>
        <v>3.2239412006283001</v>
      </c>
      <c r="DU40" s="103">
        <f>IF(DU$6&gt;=Assumptions!$F$38,Assumptions!$K$5*(1+Assumptions!$L$5)^ROUNDDOWN(YEARFRAC(DU$6,Assumptions!$F$38),0),0)</f>
        <v>3.3206594366471491</v>
      </c>
      <c r="DV40" s="103">
        <f>IF(DV$6&gt;=Assumptions!$F$38,Assumptions!$K$5*(1+Assumptions!$L$5)^ROUNDDOWN(YEARFRAC(DV$6,Assumptions!$F$38),0),0)</f>
        <v>3.3206594366471491</v>
      </c>
      <c r="DW40" s="103">
        <f>IF(DW$6&gt;=Assumptions!$F$38,Assumptions!$K$5*(1+Assumptions!$L$5)^ROUNDDOWN(YEARFRAC(DW$6,Assumptions!$F$38),0),0)</f>
        <v>3.3206594366471491</v>
      </c>
      <c r="DX40" s="103">
        <f>IF(DX$6&gt;=Assumptions!$F$38,Assumptions!$K$5*(1+Assumptions!$L$5)^ROUNDDOWN(YEARFRAC(DX$6,Assumptions!$F$38),0),0)</f>
        <v>3.3206594366471491</v>
      </c>
      <c r="DY40" s="103">
        <f>IF(DY$6&gt;=Assumptions!$F$38,Assumptions!$K$5*(1+Assumptions!$L$5)^ROUNDDOWN(YEARFRAC(DY$6,Assumptions!$F$38),0),0)</f>
        <v>3.3206594366471491</v>
      </c>
      <c r="DZ40" s="103">
        <f>IF(DZ$6&gt;=Assumptions!$F$38,Assumptions!$K$5*(1+Assumptions!$L$5)^ROUNDDOWN(YEARFRAC(DZ$6,Assumptions!$F$38),0),0)</f>
        <v>3.3206594366471491</v>
      </c>
      <c r="EA40" s="103">
        <f>IF(EA$6&gt;=Assumptions!$F$38,Assumptions!$K$5*(1+Assumptions!$L$5)^ROUNDDOWN(YEARFRAC(EA$6,Assumptions!$F$38),0),0)</f>
        <v>3.3206594366471491</v>
      </c>
      <c r="EB40" s="103">
        <f>IF(EB$6&gt;=Assumptions!$F$38,Assumptions!$K$5*(1+Assumptions!$L$5)^ROUNDDOWN(YEARFRAC(EB$6,Assumptions!$F$38),0),0)</f>
        <v>3.3206594366471491</v>
      </c>
      <c r="EC40" s="103">
        <f>IF(EC$6&gt;=Assumptions!$F$38,Assumptions!$K$5*(1+Assumptions!$L$5)^ROUNDDOWN(YEARFRAC(EC$6,Assumptions!$F$38),0),0)</f>
        <v>3.3206594366471491</v>
      </c>
      <c r="ED40" s="103">
        <f>IF(ED$6&gt;=Assumptions!$F$38,Assumptions!$K$5*(1+Assumptions!$L$5)^ROUNDDOWN(YEARFRAC(ED$6,Assumptions!$F$38),0),0)</f>
        <v>3.3206594366471491</v>
      </c>
      <c r="EE40" s="103">
        <f>IF(EE$6&gt;=Assumptions!$F$38,Assumptions!$K$5*(1+Assumptions!$L$5)^ROUNDDOWN(YEARFRAC(EE$6,Assumptions!$F$38),0),0)</f>
        <v>3.3206594366471491</v>
      </c>
      <c r="EF40" s="103">
        <f>IF(EF$6&gt;=Assumptions!$F$38,Assumptions!$K$5*(1+Assumptions!$L$5)^ROUNDDOWN(YEARFRAC(EF$6,Assumptions!$F$38),0),0)</f>
        <v>3.3206594366471491</v>
      </c>
      <c r="EG40" s="103">
        <f>IF(EG$6&gt;=Assumptions!$F$38,Assumptions!$K$5*(1+Assumptions!$L$5)^ROUNDDOWN(YEARFRAC(EG$6,Assumptions!$F$38),0),0)</f>
        <v>3.4202792197465635</v>
      </c>
      <c r="EH40" s="103">
        <f>IF(EH$6&gt;=Assumptions!$F$38,Assumptions!$K$5*(1+Assumptions!$L$5)^ROUNDDOWN(YEARFRAC(EH$6,Assumptions!$F$38),0),0)</f>
        <v>3.4202792197465635</v>
      </c>
      <c r="EI40" s="103">
        <f>IF(EI$6&gt;=Assumptions!$F$38,Assumptions!$K$5*(1+Assumptions!$L$5)^ROUNDDOWN(YEARFRAC(EI$6,Assumptions!$F$38),0),0)</f>
        <v>3.4202792197465635</v>
      </c>
      <c r="EJ40" s="103">
        <f>IF(EJ$6&gt;=Assumptions!$F$38,Assumptions!$K$5*(1+Assumptions!$L$5)^ROUNDDOWN(YEARFRAC(EJ$6,Assumptions!$F$38),0),0)</f>
        <v>3.4202792197465635</v>
      </c>
      <c r="EK40" s="103">
        <f>IF(EK$6&gt;=Assumptions!$F$38,Assumptions!$K$5*(1+Assumptions!$L$5)^ROUNDDOWN(YEARFRAC(EK$6,Assumptions!$F$38),0),0)</f>
        <v>3.4202792197465635</v>
      </c>
      <c r="EL40" s="103">
        <f>IF(EL$6&gt;=Assumptions!$F$38,Assumptions!$K$5*(1+Assumptions!$L$5)^ROUNDDOWN(YEARFRAC(EL$6,Assumptions!$F$38),0),0)</f>
        <v>3.4202792197465635</v>
      </c>
      <c r="EM40" s="103">
        <f>IF(EM$6&gt;=Assumptions!$F$38,Assumptions!$K$5*(1+Assumptions!$L$5)^ROUNDDOWN(YEARFRAC(EM$6,Assumptions!$F$38),0),0)</f>
        <v>3.4202792197465635</v>
      </c>
      <c r="EN40" s="103">
        <f>IF(EN$6&gt;=Assumptions!$F$38,Assumptions!$K$5*(1+Assumptions!$L$5)^ROUNDDOWN(YEARFRAC(EN$6,Assumptions!$F$38),0),0)</f>
        <v>3.4202792197465635</v>
      </c>
      <c r="EO40" s="103">
        <f>IF(EO$6&gt;=Assumptions!$F$38,Assumptions!$K$5*(1+Assumptions!$L$5)^ROUNDDOWN(YEARFRAC(EO$6,Assumptions!$F$38),0),0)</f>
        <v>3.4202792197465635</v>
      </c>
      <c r="EP40" s="103">
        <f>IF(EP$6&gt;=Assumptions!$F$38,Assumptions!$K$5*(1+Assumptions!$L$5)^ROUNDDOWN(YEARFRAC(EP$6,Assumptions!$F$38),0),0)</f>
        <v>3.4202792197465635</v>
      </c>
      <c r="EQ40" s="103">
        <f>IF(EQ$6&gt;=Assumptions!$F$38,Assumptions!$K$5*(1+Assumptions!$L$5)^ROUNDDOWN(YEARFRAC(EQ$6,Assumptions!$F$38),0),0)</f>
        <v>3.4202792197465635</v>
      </c>
      <c r="ER40" s="103">
        <f>IF(ER$6&gt;=Assumptions!$F$38,Assumptions!$K$5*(1+Assumptions!$L$5)^ROUNDDOWN(YEARFRAC(ER$6,Assumptions!$F$38),0),0)</f>
        <v>3.4202792197465635</v>
      </c>
      <c r="ES40" s="103">
        <f>IF(ES$6&gt;=Assumptions!$F$38,Assumptions!$K$5*(1+Assumptions!$L$5)^ROUNDDOWN(YEARFRAC(ES$6,Assumptions!$F$38),0),0)</f>
        <v>3.5228875963389603</v>
      </c>
      <c r="ET40" s="103">
        <f>IF(ET$6&gt;=Assumptions!$F$38,Assumptions!$K$5*(1+Assumptions!$L$5)^ROUNDDOWN(YEARFRAC(ET$6,Assumptions!$F$38),0),0)</f>
        <v>3.5228875963389603</v>
      </c>
    </row>
    <row r="41" spans="2:150" x14ac:dyDescent="0.2">
      <c r="B41" t="s">
        <v>146</v>
      </c>
      <c r="F41" s="103">
        <f>IF(F$6&gt;=Assumptions!$F$38,Assumptions!$K$6*(1+Assumptions!$L$6)^ROUNDDOWN(YEARFRAC(F$6,Assumptions!$F$38),0),0)</f>
        <v>0</v>
      </c>
      <c r="G41" s="103">
        <f>IF(G$6&gt;=Assumptions!$F$38,Assumptions!$K$6*(1+Assumptions!$L$6)^ROUNDDOWN(YEARFRAC(G$6,Assumptions!$F$38),0),0)</f>
        <v>0</v>
      </c>
      <c r="H41" s="103">
        <f>IF(H$6&gt;=Assumptions!$F$38,Assumptions!$K$6*(1+Assumptions!$L$6)^ROUNDDOWN(YEARFRAC(H$6,Assumptions!$F$38),0),0)</f>
        <v>0</v>
      </c>
      <c r="I41" s="103">
        <f>IF(I$6&gt;=Assumptions!$F$38,Assumptions!$K$6*(1+Assumptions!$L$6)^ROUNDDOWN(YEARFRAC(I$6,Assumptions!$F$38),0),0)</f>
        <v>0</v>
      </c>
      <c r="J41" s="103">
        <f>IF(J$6&gt;=Assumptions!$F$38,Assumptions!$K$6*(1+Assumptions!$L$6)^ROUNDDOWN(YEARFRAC(J$6,Assumptions!$F$38),0),0)</f>
        <v>0</v>
      </c>
      <c r="K41" s="103">
        <f>IF(K$6&gt;=Assumptions!$F$38,Assumptions!$K$6*(1+Assumptions!$L$6)^ROUNDDOWN(YEARFRAC(K$6,Assumptions!$F$38),0),0)</f>
        <v>0</v>
      </c>
      <c r="L41" s="103">
        <f>IF(L$6&gt;=Assumptions!$F$38,Assumptions!$K$6*(1+Assumptions!$L$6)^ROUNDDOWN(YEARFRAC(L$6,Assumptions!$F$38),0),0)</f>
        <v>0</v>
      </c>
      <c r="M41" s="103">
        <f>IF(M$6&gt;=Assumptions!$F$38,Assumptions!$K$6*(1+Assumptions!$L$6)^ROUNDDOWN(YEARFRAC(M$6,Assumptions!$F$38),0),0)</f>
        <v>0</v>
      </c>
      <c r="N41" s="103">
        <f>IF(N$6&gt;=Assumptions!$F$38,Assumptions!$K$6*(1+Assumptions!$L$6)^ROUNDDOWN(YEARFRAC(N$6,Assumptions!$F$38),0),0)</f>
        <v>0</v>
      </c>
      <c r="O41" s="103">
        <f>IF(O$6&gt;=Assumptions!$F$38,Assumptions!$K$6*(1+Assumptions!$L$6)^ROUNDDOWN(YEARFRAC(O$6,Assumptions!$F$38),0),0)</f>
        <v>0</v>
      </c>
      <c r="P41" s="103">
        <f>IF(P$6&gt;=Assumptions!$F$38,Assumptions!$K$6*(1+Assumptions!$L$6)^ROUNDDOWN(YEARFRAC(P$6,Assumptions!$F$38),0),0)</f>
        <v>0</v>
      </c>
      <c r="Q41" s="103">
        <f>IF(Q$6&gt;=Assumptions!$F$38,Assumptions!$K$6*(1+Assumptions!$L$6)^ROUNDDOWN(YEARFRAC(Q$6,Assumptions!$F$38),0),0)</f>
        <v>0</v>
      </c>
      <c r="R41" s="103">
        <f>IF(R$6&gt;=Assumptions!$F$38,Assumptions!$K$6*(1+Assumptions!$L$6)^ROUNDDOWN(YEARFRAC(R$6,Assumptions!$F$38),0),0)</f>
        <v>0</v>
      </c>
      <c r="S41" s="103">
        <f>IF(S$6&gt;=Assumptions!$F$38,Assumptions!$K$6*(1+Assumptions!$L$6)^ROUNDDOWN(YEARFRAC(S$6,Assumptions!$F$38),0),0)</f>
        <v>0</v>
      </c>
      <c r="T41" s="103">
        <f>IF(T$6&gt;=Assumptions!$F$38,Assumptions!$K$6*(1+Assumptions!$L$6)^ROUNDDOWN(YEARFRAC(T$6,Assumptions!$F$38),0),0)</f>
        <v>0</v>
      </c>
      <c r="U41" s="103">
        <f>IF(U$6&gt;=Assumptions!$F$38,Assumptions!$K$6*(1+Assumptions!$L$6)^ROUNDDOWN(YEARFRAC(U$6,Assumptions!$F$38),0),0)</f>
        <v>0</v>
      </c>
      <c r="V41" s="103">
        <f>IF(V$6&gt;=Assumptions!$F$38,Assumptions!$K$6*(1+Assumptions!$L$6)^ROUNDDOWN(YEARFRAC(V$6,Assumptions!$F$38),0),0)</f>
        <v>0</v>
      </c>
      <c r="W41" s="103">
        <f>IF(W$6&gt;=Assumptions!$F$38,Assumptions!$K$6*(1+Assumptions!$L$6)^ROUNDDOWN(YEARFRAC(W$6,Assumptions!$F$38),0),0)</f>
        <v>0</v>
      </c>
      <c r="X41" s="103">
        <f>IF(X$6&gt;=Assumptions!$F$38,Assumptions!$K$6*(1+Assumptions!$L$6)^ROUNDDOWN(YEARFRAC(X$6,Assumptions!$F$38),0),0)</f>
        <v>0</v>
      </c>
      <c r="Y41" s="103">
        <f>IF(Y$6&gt;=Assumptions!$F$38,Assumptions!$K$6*(1+Assumptions!$L$6)^ROUNDDOWN(YEARFRAC(Y$6,Assumptions!$F$38),0),0)</f>
        <v>0</v>
      </c>
      <c r="Z41" s="103">
        <f>IF(Z$6&gt;=Assumptions!$F$38,Assumptions!$K$6*(1+Assumptions!$L$6)^ROUNDDOWN(YEARFRAC(Z$6,Assumptions!$F$38),0),0)</f>
        <v>0</v>
      </c>
      <c r="AA41" s="103">
        <f>IF(AA$6&gt;=Assumptions!$F$38,Assumptions!$K$6*(1+Assumptions!$L$6)^ROUNDDOWN(YEARFRAC(AA$6,Assumptions!$F$38),0),0)</f>
        <v>0</v>
      </c>
      <c r="AB41" s="103">
        <f>IF(AB$6&gt;=Assumptions!$F$38,Assumptions!$K$6*(1+Assumptions!$L$6)^ROUNDDOWN(YEARFRAC(AB$6,Assumptions!$F$38),0),0)</f>
        <v>0</v>
      </c>
      <c r="AC41" s="103">
        <f>IF(AC$6&gt;=Assumptions!$F$38,Assumptions!$K$6*(1+Assumptions!$L$6)^ROUNDDOWN(YEARFRAC(AC$6,Assumptions!$F$38),0),0)</f>
        <v>0</v>
      </c>
      <c r="AD41" s="103">
        <f>IF(AD$6&gt;=Assumptions!$F$38,Assumptions!$K$6*(1+Assumptions!$L$6)^ROUNDDOWN(YEARFRAC(AD$6,Assumptions!$F$38),0),0)</f>
        <v>0</v>
      </c>
      <c r="AE41" s="103">
        <f>IF(AE$6&gt;=Assumptions!$F$38,Assumptions!$K$6*(1+Assumptions!$L$6)^ROUNDDOWN(YEARFRAC(AE$6,Assumptions!$F$38),0),0)</f>
        <v>0</v>
      </c>
      <c r="AF41" s="103">
        <f>IF(AF$6&gt;=Assumptions!$F$38,Assumptions!$K$6*(1+Assumptions!$L$6)^ROUNDDOWN(YEARFRAC(AF$6,Assumptions!$F$38),0),0)</f>
        <v>0</v>
      </c>
      <c r="AG41" s="103">
        <f>IF(AG$6&gt;=Assumptions!$F$38,Assumptions!$K$6*(1+Assumptions!$L$6)^ROUNDDOWN(YEARFRAC(AG$6,Assumptions!$F$38),0),0)</f>
        <v>0</v>
      </c>
      <c r="AH41" s="103">
        <f>IF(AH$6&gt;=Assumptions!$F$38,Assumptions!$K$6*(1+Assumptions!$L$6)^ROUNDDOWN(YEARFRAC(AH$6,Assumptions!$F$38),0),0)</f>
        <v>0</v>
      </c>
      <c r="AI41" s="103">
        <f>IF(AI$6&gt;=Assumptions!$F$38,Assumptions!$K$6*(1+Assumptions!$L$6)^ROUNDDOWN(YEARFRAC(AI$6,Assumptions!$F$38),0),0)</f>
        <v>0</v>
      </c>
      <c r="AJ41" s="103">
        <f>IF(AJ$6&gt;=Assumptions!$F$38,Assumptions!$K$6*(1+Assumptions!$L$6)^ROUNDDOWN(YEARFRAC(AJ$6,Assumptions!$F$38),0),0)</f>
        <v>0</v>
      </c>
      <c r="AK41" s="103">
        <f>IF(AK$6&gt;=Assumptions!$F$38,Assumptions!$K$6*(1+Assumptions!$L$6)^ROUNDDOWN(YEARFRAC(AK$6,Assumptions!$F$38),0),0)</f>
        <v>0</v>
      </c>
      <c r="AL41" s="103">
        <f>IF(AL$6&gt;=Assumptions!$F$38,Assumptions!$K$6*(1+Assumptions!$L$6)^ROUNDDOWN(YEARFRAC(AL$6,Assumptions!$F$38),0),0)</f>
        <v>0</v>
      </c>
      <c r="AM41" s="103">
        <f>IF(AM$6&gt;=Assumptions!$F$38,Assumptions!$K$6*(1+Assumptions!$L$6)^ROUNDDOWN(YEARFRAC(AM$6,Assumptions!$F$38),0),0)</f>
        <v>0</v>
      </c>
      <c r="AN41" s="103">
        <f>IF(AN$6&gt;=Assumptions!$F$38,Assumptions!$K$6*(1+Assumptions!$L$6)^ROUNDDOWN(YEARFRAC(AN$6,Assumptions!$F$38),0),0)</f>
        <v>0</v>
      </c>
      <c r="AO41" s="103">
        <f>IF(AO$6&gt;=Assumptions!$F$38,Assumptions!$K$6*(1+Assumptions!$L$6)^ROUNDDOWN(YEARFRAC(AO$6,Assumptions!$F$38),0),0)</f>
        <v>0</v>
      </c>
      <c r="AP41" s="103">
        <f>IF(AP$6&gt;=Assumptions!$F$38,Assumptions!$K$6*(1+Assumptions!$L$6)^ROUNDDOWN(YEARFRAC(AP$6,Assumptions!$F$38),0),0)</f>
        <v>0</v>
      </c>
      <c r="AQ41" s="103">
        <f>IF(AQ$6&gt;=Assumptions!$F$38,Assumptions!$K$6*(1+Assumptions!$L$6)^ROUNDDOWN(YEARFRAC(AQ$6,Assumptions!$F$38),0),0)</f>
        <v>0</v>
      </c>
      <c r="AR41" s="103">
        <f>IF(AR$6&gt;=Assumptions!$F$38,Assumptions!$K$6*(1+Assumptions!$L$6)^ROUNDDOWN(YEARFRAC(AR$6,Assumptions!$F$38),0),0)</f>
        <v>0</v>
      </c>
      <c r="AS41" s="103">
        <f>IF(AS$6&gt;=Assumptions!$F$38,Assumptions!$K$6*(1+Assumptions!$L$6)^ROUNDDOWN(YEARFRAC(AS$6,Assumptions!$F$38),0),0)</f>
        <v>0</v>
      </c>
      <c r="AT41" s="103">
        <f>IF(AT$6&gt;=Assumptions!$F$38,Assumptions!$K$6*(1+Assumptions!$L$6)^ROUNDDOWN(YEARFRAC(AT$6,Assumptions!$F$38),0),0)</f>
        <v>0</v>
      </c>
      <c r="AU41" s="103">
        <f>IF(AU$6&gt;=Assumptions!$F$38,Assumptions!$K$6*(1+Assumptions!$L$6)^ROUNDDOWN(YEARFRAC(AU$6,Assumptions!$F$38),0),0)</f>
        <v>0</v>
      </c>
      <c r="AV41" s="103">
        <f>IF(AV$6&gt;=Assumptions!$F$38,Assumptions!$K$6*(1+Assumptions!$L$6)^ROUNDDOWN(YEARFRAC(AV$6,Assumptions!$F$38),0),0)</f>
        <v>0</v>
      </c>
      <c r="AW41" s="103">
        <f>IF(AW$6&gt;=Assumptions!$F$38,Assumptions!$K$6*(1+Assumptions!$L$6)^ROUNDDOWN(YEARFRAC(AW$6,Assumptions!$F$38),0),0)</f>
        <v>0</v>
      </c>
      <c r="AX41" s="103">
        <f>IF(AX$6&gt;=Assumptions!$F$38,Assumptions!$K$6*(1+Assumptions!$L$6)^ROUNDDOWN(YEARFRAC(AX$6,Assumptions!$F$38),0),0)</f>
        <v>0</v>
      </c>
      <c r="AY41" s="103">
        <f>IF(AY$6&gt;=Assumptions!$F$38,Assumptions!$K$6*(1+Assumptions!$L$6)^ROUNDDOWN(YEARFRAC(AY$6,Assumptions!$F$38),0),0)</f>
        <v>0</v>
      </c>
      <c r="AZ41" s="103">
        <f>IF(AZ$6&gt;=Assumptions!$F$38,Assumptions!$K$6*(1+Assumptions!$L$6)^ROUNDDOWN(YEARFRAC(AZ$6,Assumptions!$F$38),0),0)</f>
        <v>0</v>
      </c>
      <c r="BA41" s="103">
        <f>IF(BA$6&gt;=Assumptions!$F$38,Assumptions!$K$6*(1+Assumptions!$L$6)^ROUNDDOWN(YEARFRAC(BA$6,Assumptions!$F$38),0),0)</f>
        <v>0</v>
      </c>
      <c r="BB41" s="103">
        <f>IF(BB$6&gt;=Assumptions!$F$38,Assumptions!$K$6*(1+Assumptions!$L$6)^ROUNDDOWN(YEARFRAC(BB$6,Assumptions!$F$38),0),0)</f>
        <v>0</v>
      </c>
      <c r="BC41" s="103">
        <f>IF(BC$6&gt;=Assumptions!$F$38,Assumptions!$K$6*(1+Assumptions!$L$6)^ROUNDDOWN(YEARFRAC(BC$6,Assumptions!$F$38),0),0)</f>
        <v>0</v>
      </c>
      <c r="BD41" s="103">
        <f>IF(BD$6&gt;=Assumptions!$F$38,Assumptions!$K$6*(1+Assumptions!$L$6)^ROUNDDOWN(YEARFRAC(BD$6,Assumptions!$F$38),0),0)</f>
        <v>0</v>
      </c>
      <c r="BE41" s="103">
        <f>IF(BE$6&gt;=Assumptions!$F$38,Assumptions!$K$6*(1+Assumptions!$L$6)^ROUNDDOWN(YEARFRAC(BE$6,Assumptions!$F$38),0),0)</f>
        <v>0</v>
      </c>
      <c r="BF41" s="103">
        <f>IF(BF$6&gt;=Assumptions!$F$38,Assumptions!$K$6*(1+Assumptions!$L$6)^ROUNDDOWN(YEARFRAC(BF$6,Assumptions!$F$38),0),0)</f>
        <v>0</v>
      </c>
      <c r="BG41" s="103">
        <f>IF(BG$6&gt;=Assumptions!$F$38,Assumptions!$K$6*(1+Assumptions!$L$6)^ROUNDDOWN(YEARFRAC(BG$6,Assumptions!$F$38),0),0)</f>
        <v>0</v>
      </c>
      <c r="BH41" s="103">
        <f>IF(BH$6&gt;=Assumptions!$F$38,Assumptions!$K$6*(1+Assumptions!$L$6)^ROUNDDOWN(YEARFRAC(BH$6,Assumptions!$F$38),0),0)</f>
        <v>0</v>
      </c>
      <c r="BI41" s="103">
        <f>IF(BI$6&gt;=Assumptions!$F$38,Assumptions!$K$6*(1+Assumptions!$L$6)^ROUNDDOWN(YEARFRAC(BI$6,Assumptions!$F$38),0),0)</f>
        <v>0</v>
      </c>
      <c r="BJ41" s="103">
        <f>IF(BJ$6&gt;=Assumptions!$F$38,Assumptions!$K$6*(1+Assumptions!$L$6)^ROUNDDOWN(YEARFRAC(BJ$6,Assumptions!$F$38),0),0)</f>
        <v>0</v>
      </c>
      <c r="BK41" s="103">
        <f>IF(BK$6&gt;=Assumptions!$F$38,Assumptions!$K$6*(1+Assumptions!$L$6)^ROUNDDOWN(YEARFRAC(BK$6,Assumptions!$F$38),0),0)</f>
        <v>0</v>
      </c>
      <c r="BL41" s="103">
        <f>IF(BL$6&gt;=Assumptions!$F$38,Assumptions!$K$6*(1+Assumptions!$L$6)^ROUNDDOWN(YEARFRAC(BL$6,Assumptions!$F$38),0),0)</f>
        <v>0</v>
      </c>
      <c r="BM41" s="103">
        <f>IF(BM$6&gt;=Assumptions!$F$38,Assumptions!$K$6*(1+Assumptions!$L$6)^ROUNDDOWN(YEARFRAC(BM$6,Assumptions!$F$38),0),0)</f>
        <v>0</v>
      </c>
      <c r="BN41" s="103">
        <f>IF(BN$6&gt;=Assumptions!$F$38,Assumptions!$K$6*(1+Assumptions!$L$6)^ROUNDDOWN(YEARFRAC(BN$6,Assumptions!$F$38),0),0)</f>
        <v>0</v>
      </c>
      <c r="BO41" s="103">
        <f>IF(BO$6&gt;=Assumptions!$F$38,Assumptions!$K$6*(1+Assumptions!$L$6)^ROUNDDOWN(YEARFRAC(BO$6,Assumptions!$F$38),0),0)</f>
        <v>0</v>
      </c>
      <c r="BP41" s="103">
        <f>IF(BP$6&gt;=Assumptions!$F$38,Assumptions!$K$6*(1+Assumptions!$L$6)^ROUNDDOWN(YEARFRAC(BP$6,Assumptions!$F$38),0),0)</f>
        <v>0</v>
      </c>
      <c r="BQ41" s="103">
        <f>IF(BQ$6&gt;=Assumptions!$F$38,Assumptions!$K$6*(1+Assumptions!$L$6)^ROUNDDOWN(YEARFRAC(BQ$6,Assumptions!$F$38),0),0)</f>
        <v>0</v>
      </c>
      <c r="BR41" s="103">
        <f>IF(BR$6&gt;=Assumptions!$F$38,Assumptions!$K$6*(1+Assumptions!$L$6)^ROUNDDOWN(YEARFRAC(BR$6,Assumptions!$F$38),0),0)</f>
        <v>0</v>
      </c>
      <c r="BS41" s="103">
        <f>IF(BS$6&gt;=Assumptions!$F$38,Assumptions!$K$6*(1+Assumptions!$L$6)^ROUNDDOWN(YEARFRAC(BS$6,Assumptions!$F$38),0),0)</f>
        <v>0</v>
      </c>
      <c r="BT41" s="103">
        <f>IF(BT$6&gt;=Assumptions!$F$38,Assumptions!$K$6*(1+Assumptions!$L$6)^ROUNDDOWN(YEARFRAC(BT$6,Assumptions!$F$38),0),0)</f>
        <v>0</v>
      </c>
      <c r="BU41" s="103">
        <f>IF(BU$6&gt;=Assumptions!$F$38,Assumptions!$K$6*(1+Assumptions!$L$6)^ROUNDDOWN(YEARFRAC(BU$6,Assumptions!$F$38),0),0)</f>
        <v>0</v>
      </c>
      <c r="BV41" s="103">
        <f>IF(BV$6&gt;=Assumptions!$F$38,Assumptions!$K$6*(1+Assumptions!$L$6)^ROUNDDOWN(YEARFRAC(BV$6,Assumptions!$F$38),0),0)</f>
        <v>0</v>
      </c>
      <c r="BW41" s="103">
        <f>IF(BW$6&gt;=Assumptions!$F$38,Assumptions!$K$6*(1+Assumptions!$L$6)^ROUNDDOWN(YEARFRAC(BW$6,Assumptions!$F$38),0),0)</f>
        <v>0</v>
      </c>
      <c r="BX41" s="103">
        <f>IF(BX$6&gt;=Assumptions!$F$38,Assumptions!$K$6*(1+Assumptions!$L$6)^ROUNDDOWN(YEARFRAC(BX$6,Assumptions!$F$38),0),0)</f>
        <v>0</v>
      </c>
      <c r="BY41" s="103">
        <f>IF(BY$6&gt;=Assumptions!$F$38,Assumptions!$K$6*(1+Assumptions!$L$6)^ROUNDDOWN(YEARFRAC(BY$6,Assumptions!$F$38),0),0)</f>
        <v>0</v>
      </c>
      <c r="BZ41" s="103">
        <f>IF(BZ$6&gt;=Assumptions!$F$38,Assumptions!$K$6*(1+Assumptions!$L$6)^ROUNDDOWN(YEARFRAC(BZ$6,Assumptions!$F$38),0),0)</f>
        <v>0</v>
      </c>
      <c r="CA41" s="103">
        <f>IF(CA$6&gt;=Assumptions!$F$38,Assumptions!$K$6*(1+Assumptions!$L$6)^ROUNDDOWN(YEARFRAC(CA$6,Assumptions!$F$38),0),0)</f>
        <v>0</v>
      </c>
      <c r="CB41" s="103">
        <f>IF(CB$6&gt;=Assumptions!$F$38,Assumptions!$K$6*(1+Assumptions!$L$6)^ROUNDDOWN(YEARFRAC(CB$6,Assumptions!$F$38),0),0)</f>
        <v>0</v>
      </c>
      <c r="CC41" s="103">
        <f>IF(CC$6&gt;=Assumptions!$F$38,Assumptions!$K$6*(1+Assumptions!$L$6)^ROUNDDOWN(YEARFRAC(CC$6,Assumptions!$F$38),0),0)</f>
        <v>0</v>
      </c>
      <c r="CD41" s="103">
        <f>IF(CD$6&gt;=Assumptions!$F$38,Assumptions!$K$6*(1+Assumptions!$L$6)^ROUNDDOWN(YEARFRAC(CD$6,Assumptions!$F$38),0),0)</f>
        <v>0</v>
      </c>
      <c r="CE41" s="103">
        <f>IF(CE$6&gt;=Assumptions!$F$38,Assumptions!$K$6*(1+Assumptions!$L$6)^ROUNDDOWN(YEARFRAC(CE$6,Assumptions!$F$38),0),0)</f>
        <v>0</v>
      </c>
      <c r="CF41" s="103">
        <f>IF(CF$6&gt;=Assumptions!$F$38,Assumptions!$K$6*(1+Assumptions!$L$6)^ROUNDDOWN(YEARFRAC(CF$6,Assumptions!$F$38),0),0)</f>
        <v>0</v>
      </c>
      <c r="CG41" s="103">
        <f>IF(CG$6&gt;=Assumptions!$F$38,Assumptions!$K$6*(1+Assumptions!$L$6)^ROUNDDOWN(YEARFRAC(CG$6,Assumptions!$F$38),0),0)</f>
        <v>0</v>
      </c>
      <c r="CH41" s="103">
        <f>IF(CH$6&gt;=Assumptions!$F$38,Assumptions!$K$6*(1+Assumptions!$L$6)^ROUNDDOWN(YEARFRAC(CH$6,Assumptions!$F$38),0),0)</f>
        <v>0</v>
      </c>
      <c r="CI41" s="103">
        <f>IF(CI$6&gt;=Assumptions!$F$38,Assumptions!$K$6*(1+Assumptions!$L$6)^ROUNDDOWN(YEARFRAC(CI$6,Assumptions!$F$38),0),0)</f>
        <v>0</v>
      </c>
      <c r="CJ41" s="103">
        <f>IF(CJ$6&gt;=Assumptions!$F$38,Assumptions!$K$6*(1+Assumptions!$L$6)^ROUNDDOWN(YEARFRAC(CJ$6,Assumptions!$F$38),0),0)</f>
        <v>0</v>
      </c>
      <c r="CK41" s="103">
        <f>IF(CK$6&gt;=Assumptions!$F$38,Assumptions!$K$6*(1+Assumptions!$L$6)^ROUNDDOWN(YEARFRAC(CK$6,Assumptions!$F$38),0),0)</f>
        <v>0</v>
      </c>
      <c r="CL41" s="103">
        <f>IF(CL$6&gt;=Assumptions!$F$38,Assumptions!$K$6*(1+Assumptions!$L$6)^ROUNDDOWN(YEARFRAC(CL$6,Assumptions!$F$38),0),0)</f>
        <v>0</v>
      </c>
      <c r="CM41" s="103">
        <f>IF(CM$6&gt;=Assumptions!$F$38,Assumptions!$K$6*(1+Assumptions!$L$6)^ROUNDDOWN(YEARFRAC(CM$6,Assumptions!$F$38),0),0)</f>
        <v>0</v>
      </c>
      <c r="CN41" s="103">
        <f>IF(CN$6&gt;=Assumptions!$F$38,Assumptions!$K$6*(1+Assumptions!$L$6)^ROUNDDOWN(YEARFRAC(CN$6,Assumptions!$F$38),0),0)</f>
        <v>0</v>
      </c>
      <c r="CO41" s="103">
        <f>IF(CO$6&gt;=Assumptions!$F$38,Assumptions!$K$6*(1+Assumptions!$L$6)^ROUNDDOWN(YEARFRAC(CO$6,Assumptions!$F$38),0),0)</f>
        <v>0</v>
      </c>
      <c r="CP41" s="103">
        <f>IF(CP$6&gt;=Assumptions!$F$38,Assumptions!$K$6*(1+Assumptions!$L$6)^ROUNDDOWN(YEARFRAC(CP$6,Assumptions!$F$38),0),0)</f>
        <v>0</v>
      </c>
      <c r="CQ41" s="103">
        <f>IF(CQ$6&gt;=Assumptions!$F$38,Assumptions!$K$6*(1+Assumptions!$L$6)^ROUNDDOWN(YEARFRAC(CQ$6,Assumptions!$F$38),0),0)</f>
        <v>0</v>
      </c>
      <c r="CR41" s="103">
        <f>IF(CR$6&gt;=Assumptions!$F$38,Assumptions!$K$6*(1+Assumptions!$L$6)^ROUNDDOWN(YEARFRAC(CR$6,Assumptions!$F$38),0),0)</f>
        <v>0</v>
      </c>
      <c r="CS41" s="103">
        <f>IF(CS$6&gt;=Assumptions!$F$38,Assumptions!$K$6*(1+Assumptions!$L$6)^ROUNDDOWN(YEARFRAC(CS$6,Assumptions!$F$38),0),0)</f>
        <v>0</v>
      </c>
      <c r="CT41" s="103">
        <f>IF(CT$6&gt;=Assumptions!$F$38,Assumptions!$K$6*(1+Assumptions!$L$6)^ROUNDDOWN(YEARFRAC(CT$6,Assumptions!$F$38),0),0)</f>
        <v>0</v>
      </c>
      <c r="CU41" s="103">
        <f>IF(CU$6&gt;=Assumptions!$F$38,Assumptions!$K$6*(1+Assumptions!$L$6)^ROUNDDOWN(YEARFRAC(CU$6,Assumptions!$F$38),0),0)</f>
        <v>0</v>
      </c>
      <c r="CV41" s="103">
        <f>IF(CV$6&gt;=Assumptions!$F$38,Assumptions!$K$6*(1+Assumptions!$L$6)^ROUNDDOWN(YEARFRAC(CV$6,Assumptions!$F$38),0),0)</f>
        <v>0</v>
      </c>
      <c r="CW41" s="103">
        <f>IF(CW$6&gt;=Assumptions!$F$38,Assumptions!$K$6*(1+Assumptions!$L$6)^ROUNDDOWN(YEARFRAC(CW$6,Assumptions!$F$38),0),0)</f>
        <v>0</v>
      </c>
      <c r="CX41" s="103">
        <f>IF(CX$6&gt;=Assumptions!$F$38,Assumptions!$K$6*(1+Assumptions!$L$6)^ROUNDDOWN(YEARFRAC(CX$6,Assumptions!$F$38),0),0)</f>
        <v>0</v>
      </c>
      <c r="CY41" s="103">
        <f>IF(CY$6&gt;=Assumptions!$F$38,Assumptions!$K$6*(1+Assumptions!$L$6)^ROUNDDOWN(YEARFRAC(CY$6,Assumptions!$F$38),0),0)</f>
        <v>0</v>
      </c>
      <c r="CZ41" s="103">
        <f>IF(CZ$6&gt;=Assumptions!$F$38,Assumptions!$K$6*(1+Assumptions!$L$6)^ROUNDDOWN(YEARFRAC(CZ$6,Assumptions!$F$38),0),0)</f>
        <v>0</v>
      </c>
      <c r="DA41" s="103">
        <f>IF(DA$6&gt;=Assumptions!$F$38,Assumptions!$K$6*(1+Assumptions!$L$6)^ROUNDDOWN(YEARFRAC(DA$6,Assumptions!$F$38),0),0)</f>
        <v>0</v>
      </c>
      <c r="DB41" s="103">
        <f>IF(DB$6&gt;=Assumptions!$F$38,Assumptions!$K$6*(1+Assumptions!$L$6)^ROUNDDOWN(YEARFRAC(DB$6,Assumptions!$F$38),0),0)</f>
        <v>0</v>
      </c>
      <c r="DC41" s="103">
        <f>IF(DC$6&gt;=Assumptions!$F$38,Assumptions!$K$6*(1+Assumptions!$L$6)^ROUNDDOWN(YEARFRAC(DC$6,Assumptions!$F$38),0),0)</f>
        <v>0</v>
      </c>
      <c r="DD41" s="103">
        <f>IF(DD$6&gt;=Assumptions!$F$38,Assumptions!$K$6*(1+Assumptions!$L$6)^ROUNDDOWN(YEARFRAC(DD$6,Assumptions!$F$38),0),0)</f>
        <v>0</v>
      </c>
      <c r="DE41" s="103">
        <f>IF(DE$6&gt;=Assumptions!$F$38,Assumptions!$K$6*(1+Assumptions!$L$6)^ROUNDDOWN(YEARFRAC(DE$6,Assumptions!$F$38),0),0)</f>
        <v>0</v>
      </c>
      <c r="DF41" s="103">
        <f>IF(DF$6&gt;=Assumptions!$F$38,Assumptions!$K$6*(1+Assumptions!$L$6)^ROUNDDOWN(YEARFRAC(DF$6,Assumptions!$F$38),0),0)</f>
        <v>0</v>
      </c>
      <c r="DG41" s="103">
        <f>IF(DG$6&gt;=Assumptions!$F$38,Assumptions!$K$6*(1+Assumptions!$L$6)^ROUNDDOWN(YEARFRAC(DG$6,Assumptions!$F$38),0),0)</f>
        <v>0</v>
      </c>
      <c r="DH41" s="103">
        <f>IF(DH$6&gt;=Assumptions!$F$38,Assumptions!$K$6*(1+Assumptions!$L$6)^ROUNDDOWN(YEARFRAC(DH$6,Assumptions!$F$38),0),0)</f>
        <v>0</v>
      </c>
      <c r="DI41" s="103">
        <f>IF(DI$6&gt;=Assumptions!$F$38,Assumptions!$K$6*(1+Assumptions!$L$6)^ROUNDDOWN(YEARFRAC(DI$6,Assumptions!$F$38),0),0)</f>
        <v>0</v>
      </c>
      <c r="DJ41" s="103">
        <f>IF(DJ$6&gt;=Assumptions!$F$38,Assumptions!$K$6*(1+Assumptions!$L$6)^ROUNDDOWN(YEARFRAC(DJ$6,Assumptions!$F$38),0),0)</f>
        <v>0</v>
      </c>
      <c r="DK41" s="103">
        <f>IF(DK$6&gt;=Assumptions!$F$38,Assumptions!$K$6*(1+Assumptions!$L$6)^ROUNDDOWN(YEARFRAC(DK$6,Assumptions!$F$38),0),0)</f>
        <v>0</v>
      </c>
      <c r="DL41" s="103">
        <f>IF(DL$6&gt;=Assumptions!$F$38,Assumptions!$K$6*(1+Assumptions!$L$6)^ROUNDDOWN(YEARFRAC(DL$6,Assumptions!$F$38),0),0)</f>
        <v>0</v>
      </c>
      <c r="DM41" s="103">
        <f>IF(DM$6&gt;=Assumptions!$F$38,Assumptions!$K$6*(1+Assumptions!$L$6)^ROUNDDOWN(YEARFRAC(DM$6,Assumptions!$F$38),0),0)</f>
        <v>0</v>
      </c>
      <c r="DN41" s="103">
        <f>IF(DN$6&gt;=Assumptions!$F$38,Assumptions!$K$6*(1+Assumptions!$L$6)^ROUNDDOWN(YEARFRAC(DN$6,Assumptions!$F$38),0),0)</f>
        <v>0</v>
      </c>
      <c r="DO41" s="103">
        <f>IF(DO$6&gt;=Assumptions!$F$38,Assumptions!$K$6*(1+Assumptions!$L$6)^ROUNDDOWN(YEARFRAC(DO$6,Assumptions!$F$38),0),0)</f>
        <v>0</v>
      </c>
      <c r="DP41" s="103">
        <f>IF(DP$6&gt;=Assumptions!$F$38,Assumptions!$K$6*(1+Assumptions!$L$6)^ROUNDDOWN(YEARFRAC(DP$6,Assumptions!$F$38),0),0)</f>
        <v>0</v>
      </c>
      <c r="DQ41" s="103">
        <f>IF(DQ$6&gt;=Assumptions!$F$38,Assumptions!$K$6*(1+Assumptions!$L$6)^ROUNDDOWN(YEARFRAC(DQ$6,Assumptions!$F$38),0),0)</f>
        <v>0</v>
      </c>
      <c r="DR41" s="103">
        <f>IF(DR$6&gt;=Assumptions!$F$38,Assumptions!$K$6*(1+Assumptions!$L$6)^ROUNDDOWN(YEARFRAC(DR$6,Assumptions!$F$38),0),0)</f>
        <v>0</v>
      </c>
      <c r="DS41" s="103">
        <f>IF(DS$6&gt;=Assumptions!$F$38,Assumptions!$K$6*(1+Assumptions!$L$6)^ROUNDDOWN(YEARFRAC(DS$6,Assumptions!$F$38),0),0)</f>
        <v>0</v>
      </c>
      <c r="DT41" s="103">
        <f>IF(DT$6&gt;=Assumptions!$F$38,Assumptions!$K$6*(1+Assumptions!$L$6)^ROUNDDOWN(YEARFRAC(DT$6,Assumptions!$F$38),0),0)</f>
        <v>0</v>
      </c>
      <c r="DU41" s="103">
        <f>IF(DU$6&gt;=Assumptions!$F$38,Assumptions!$K$6*(1+Assumptions!$L$6)^ROUNDDOWN(YEARFRAC(DU$6,Assumptions!$F$38),0),0)</f>
        <v>0</v>
      </c>
      <c r="DV41" s="103">
        <f>IF(DV$6&gt;=Assumptions!$F$38,Assumptions!$K$6*(1+Assumptions!$L$6)^ROUNDDOWN(YEARFRAC(DV$6,Assumptions!$F$38),0),0)</f>
        <v>0</v>
      </c>
      <c r="DW41" s="103">
        <f>IF(DW$6&gt;=Assumptions!$F$38,Assumptions!$K$6*(1+Assumptions!$L$6)^ROUNDDOWN(YEARFRAC(DW$6,Assumptions!$F$38),0),0)</f>
        <v>0</v>
      </c>
      <c r="DX41" s="103">
        <f>IF(DX$6&gt;=Assumptions!$F$38,Assumptions!$K$6*(1+Assumptions!$L$6)^ROUNDDOWN(YEARFRAC(DX$6,Assumptions!$F$38),0),0)</f>
        <v>0</v>
      </c>
      <c r="DY41" s="103">
        <f>IF(DY$6&gt;=Assumptions!$F$38,Assumptions!$K$6*(1+Assumptions!$L$6)^ROUNDDOWN(YEARFRAC(DY$6,Assumptions!$F$38),0),0)</f>
        <v>0</v>
      </c>
      <c r="DZ41" s="103">
        <f>IF(DZ$6&gt;=Assumptions!$F$38,Assumptions!$K$6*(1+Assumptions!$L$6)^ROUNDDOWN(YEARFRAC(DZ$6,Assumptions!$F$38),0),0)</f>
        <v>0</v>
      </c>
      <c r="EA41" s="103">
        <f>IF(EA$6&gt;=Assumptions!$F$38,Assumptions!$K$6*(1+Assumptions!$L$6)^ROUNDDOWN(YEARFRAC(EA$6,Assumptions!$F$38),0),0)</f>
        <v>0</v>
      </c>
      <c r="EB41" s="103">
        <f>IF(EB$6&gt;=Assumptions!$F$38,Assumptions!$K$6*(1+Assumptions!$L$6)^ROUNDDOWN(YEARFRAC(EB$6,Assumptions!$F$38),0),0)</f>
        <v>0</v>
      </c>
      <c r="EC41" s="103">
        <f>IF(EC$6&gt;=Assumptions!$F$38,Assumptions!$K$6*(1+Assumptions!$L$6)^ROUNDDOWN(YEARFRAC(EC$6,Assumptions!$F$38),0),0)</f>
        <v>0</v>
      </c>
      <c r="ED41" s="103">
        <f>IF(ED$6&gt;=Assumptions!$F$38,Assumptions!$K$6*(1+Assumptions!$L$6)^ROUNDDOWN(YEARFRAC(ED$6,Assumptions!$F$38),0),0)</f>
        <v>0</v>
      </c>
      <c r="EE41" s="103">
        <f>IF(EE$6&gt;=Assumptions!$F$38,Assumptions!$K$6*(1+Assumptions!$L$6)^ROUNDDOWN(YEARFRAC(EE$6,Assumptions!$F$38),0),0)</f>
        <v>0</v>
      </c>
      <c r="EF41" s="103">
        <f>IF(EF$6&gt;=Assumptions!$F$38,Assumptions!$K$6*(1+Assumptions!$L$6)^ROUNDDOWN(YEARFRAC(EF$6,Assumptions!$F$38),0),0)</f>
        <v>0</v>
      </c>
      <c r="EG41" s="103">
        <f>IF(EG$6&gt;=Assumptions!$F$38,Assumptions!$K$6*(1+Assumptions!$L$6)^ROUNDDOWN(YEARFRAC(EG$6,Assumptions!$F$38),0),0)</f>
        <v>0</v>
      </c>
      <c r="EH41" s="103">
        <f>IF(EH$6&gt;=Assumptions!$F$38,Assumptions!$K$6*(1+Assumptions!$L$6)^ROUNDDOWN(YEARFRAC(EH$6,Assumptions!$F$38),0),0)</f>
        <v>0</v>
      </c>
      <c r="EI41" s="103">
        <f>IF(EI$6&gt;=Assumptions!$F$38,Assumptions!$K$6*(1+Assumptions!$L$6)^ROUNDDOWN(YEARFRAC(EI$6,Assumptions!$F$38),0),0)</f>
        <v>0</v>
      </c>
      <c r="EJ41" s="103">
        <f>IF(EJ$6&gt;=Assumptions!$F$38,Assumptions!$K$6*(1+Assumptions!$L$6)^ROUNDDOWN(YEARFRAC(EJ$6,Assumptions!$F$38),0),0)</f>
        <v>0</v>
      </c>
      <c r="EK41" s="103">
        <f>IF(EK$6&gt;=Assumptions!$F$38,Assumptions!$K$6*(1+Assumptions!$L$6)^ROUNDDOWN(YEARFRAC(EK$6,Assumptions!$F$38),0),0)</f>
        <v>0</v>
      </c>
      <c r="EL41" s="103">
        <f>IF(EL$6&gt;=Assumptions!$F$38,Assumptions!$K$6*(1+Assumptions!$L$6)^ROUNDDOWN(YEARFRAC(EL$6,Assumptions!$F$38),0),0)</f>
        <v>0</v>
      </c>
      <c r="EM41" s="103">
        <f>IF(EM$6&gt;=Assumptions!$F$38,Assumptions!$K$6*(1+Assumptions!$L$6)^ROUNDDOWN(YEARFRAC(EM$6,Assumptions!$F$38),0),0)</f>
        <v>0</v>
      </c>
      <c r="EN41" s="103">
        <f>IF(EN$6&gt;=Assumptions!$F$38,Assumptions!$K$6*(1+Assumptions!$L$6)^ROUNDDOWN(YEARFRAC(EN$6,Assumptions!$F$38),0),0)</f>
        <v>0</v>
      </c>
      <c r="EO41" s="103">
        <f>IF(EO$6&gt;=Assumptions!$F$38,Assumptions!$K$6*(1+Assumptions!$L$6)^ROUNDDOWN(YEARFRAC(EO$6,Assumptions!$F$38),0),0)</f>
        <v>0</v>
      </c>
      <c r="EP41" s="103">
        <f>IF(EP$6&gt;=Assumptions!$F$38,Assumptions!$K$6*(1+Assumptions!$L$6)^ROUNDDOWN(YEARFRAC(EP$6,Assumptions!$F$38),0),0)</f>
        <v>0</v>
      </c>
      <c r="EQ41" s="103">
        <f>IF(EQ$6&gt;=Assumptions!$F$38,Assumptions!$K$6*(1+Assumptions!$L$6)^ROUNDDOWN(YEARFRAC(EQ$6,Assumptions!$F$38),0),0)</f>
        <v>0</v>
      </c>
      <c r="ER41" s="103">
        <f>IF(ER$6&gt;=Assumptions!$F$38,Assumptions!$K$6*(1+Assumptions!$L$6)^ROUNDDOWN(YEARFRAC(ER$6,Assumptions!$F$38),0),0)</f>
        <v>0</v>
      </c>
      <c r="ES41" s="103">
        <f>IF(ES$6&gt;=Assumptions!$F$38,Assumptions!$K$6*(1+Assumptions!$L$6)^ROUNDDOWN(YEARFRAC(ES$6,Assumptions!$F$38),0),0)</f>
        <v>0</v>
      </c>
      <c r="ET41" s="103">
        <f>IF(ET$6&gt;=Assumptions!$F$38,Assumptions!$K$6*(1+Assumptions!$L$6)^ROUNDDOWN(YEARFRAC(ET$6,Assumptions!$F$38),0),0)</f>
        <v>0</v>
      </c>
    </row>
    <row r="42" spans="2:150" x14ac:dyDescent="0.2">
      <c r="B42" t="s">
        <v>147</v>
      </c>
      <c r="F42" s="103">
        <f>IF(F$6&gt;=Assumptions!$F$38,Assumptions!$K$7*(1+Assumptions!$L$7)^ROUNDDOWN(YEARFRAC(F$6,Assumptions!$F$38),0),0)</f>
        <v>0</v>
      </c>
      <c r="G42" s="103">
        <f>IF(G$6&gt;=Assumptions!$F$38,Assumptions!$K$7*(1+Assumptions!$L$7)^ROUNDDOWN(YEARFRAC(G$6,Assumptions!$F$38),0),0)</f>
        <v>0</v>
      </c>
      <c r="H42" s="103">
        <f>IF(H$6&gt;=Assumptions!$F$38,Assumptions!$K$7*(1+Assumptions!$L$7)^ROUNDDOWN(YEARFRAC(H$6,Assumptions!$F$38),0),0)</f>
        <v>0</v>
      </c>
      <c r="I42" s="103">
        <f>IF(I$6&gt;=Assumptions!$F$38,Assumptions!$K$7*(1+Assumptions!$L$7)^ROUNDDOWN(YEARFRAC(I$6,Assumptions!$F$38),0),0)</f>
        <v>0</v>
      </c>
      <c r="J42" s="103">
        <f>IF(J$6&gt;=Assumptions!$F$38,Assumptions!$K$7*(1+Assumptions!$L$7)^ROUNDDOWN(YEARFRAC(J$6,Assumptions!$F$38),0),0)</f>
        <v>0</v>
      </c>
      <c r="K42" s="103">
        <f>IF(K$6&gt;=Assumptions!$F$38,Assumptions!$K$7*(1+Assumptions!$L$7)^ROUNDDOWN(YEARFRAC(K$6,Assumptions!$F$38),0),0)</f>
        <v>0</v>
      </c>
      <c r="L42" s="103">
        <f>IF(L$6&gt;=Assumptions!$F$38,Assumptions!$K$7*(1+Assumptions!$L$7)^ROUNDDOWN(YEARFRAC(L$6,Assumptions!$F$38),0),0)</f>
        <v>0</v>
      </c>
      <c r="M42" s="103">
        <f>IF(M$6&gt;=Assumptions!$F$38,Assumptions!$K$7*(1+Assumptions!$L$7)^ROUNDDOWN(YEARFRAC(M$6,Assumptions!$F$38),0),0)</f>
        <v>0</v>
      </c>
      <c r="N42" s="103">
        <f>IF(N$6&gt;=Assumptions!$F$38,Assumptions!$K$7*(1+Assumptions!$L$7)^ROUNDDOWN(YEARFRAC(N$6,Assumptions!$F$38),0),0)</f>
        <v>0</v>
      </c>
      <c r="O42" s="103">
        <f>IF(O$6&gt;=Assumptions!$F$38,Assumptions!$K$7*(1+Assumptions!$L$7)^ROUNDDOWN(YEARFRAC(O$6,Assumptions!$F$38),0),0)</f>
        <v>0</v>
      </c>
      <c r="P42" s="103">
        <f>IF(P$6&gt;=Assumptions!$F$38,Assumptions!$K$7*(1+Assumptions!$L$7)^ROUNDDOWN(YEARFRAC(P$6,Assumptions!$F$38),0),0)</f>
        <v>0</v>
      </c>
      <c r="Q42" s="103">
        <f>IF(Q$6&gt;=Assumptions!$F$38,Assumptions!$K$7*(1+Assumptions!$L$7)^ROUNDDOWN(YEARFRAC(Q$6,Assumptions!$F$38),0),0)</f>
        <v>0</v>
      </c>
      <c r="R42" s="103">
        <f>IF(R$6&gt;=Assumptions!$F$38,Assumptions!$K$7*(1+Assumptions!$L$7)^ROUNDDOWN(YEARFRAC(R$6,Assumptions!$F$38),0),0)</f>
        <v>0</v>
      </c>
      <c r="S42" s="103">
        <f>IF(S$6&gt;=Assumptions!$F$38,Assumptions!$K$7*(1+Assumptions!$L$7)^ROUNDDOWN(YEARFRAC(S$6,Assumptions!$F$38),0),0)</f>
        <v>0</v>
      </c>
      <c r="T42" s="103">
        <f>IF(T$6&gt;=Assumptions!$F$38,Assumptions!$K$7*(1+Assumptions!$L$7)^ROUNDDOWN(YEARFRAC(T$6,Assumptions!$F$38),0),0)</f>
        <v>0</v>
      </c>
      <c r="U42" s="103">
        <f>IF(U$6&gt;=Assumptions!$F$38,Assumptions!$K$7*(1+Assumptions!$L$7)^ROUNDDOWN(YEARFRAC(U$6,Assumptions!$F$38),0),0)</f>
        <v>0</v>
      </c>
      <c r="V42" s="103">
        <f>IF(V$6&gt;=Assumptions!$F$38,Assumptions!$K$7*(1+Assumptions!$L$7)^ROUNDDOWN(YEARFRAC(V$6,Assumptions!$F$38),0),0)</f>
        <v>0</v>
      </c>
      <c r="W42" s="103">
        <f>IF(W$6&gt;=Assumptions!$F$38,Assumptions!$K$7*(1+Assumptions!$L$7)^ROUNDDOWN(YEARFRAC(W$6,Assumptions!$F$38),0),0)</f>
        <v>0</v>
      </c>
      <c r="X42" s="103">
        <f>IF(X$6&gt;=Assumptions!$F$38,Assumptions!$K$7*(1+Assumptions!$L$7)^ROUNDDOWN(YEARFRAC(X$6,Assumptions!$F$38),0),0)</f>
        <v>0</v>
      </c>
      <c r="Y42" s="103">
        <f>IF(Y$6&gt;=Assumptions!$F$38,Assumptions!$K$7*(1+Assumptions!$L$7)^ROUNDDOWN(YEARFRAC(Y$6,Assumptions!$F$38),0),0)</f>
        <v>0</v>
      </c>
      <c r="Z42" s="103">
        <f>IF(Z$6&gt;=Assumptions!$F$38,Assumptions!$K$7*(1+Assumptions!$L$7)^ROUNDDOWN(YEARFRAC(Z$6,Assumptions!$F$38),0),0)</f>
        <v>0</v>
      </c>
      <c r="AA42" s="103">
        <f>IF(AA$6&gt;=Assumptions!$F$38,Assumptions!$K$7*(1+Assumptions!$L$7)^ROUNDDOWN(YEARFRAC(AA$6,Assumptions!$F$38),0),0)</f>
        <v>0</v>
      </c>
      <c r="AB42" s="103">
        <f>IF(AB$6&gt;=Assumptions!$F$38,Assumptions!$K$7*(1+Assumptions!$L$7)^ROUNDDOWN(YEARFRAC(AB$6,Assumptions!$F$38),0),0)</f>
        <v>0</v>
      </c>
      <c r="AC42" s="103">
        <f>IF(AC$6&gt;=Assumptions!$F$38,Assumptions!$K$7*(1+Assumptions!$L$7)^ROUNDDOWN(YEARFRAC(AC$6,Assumptions!$F$38),0),0)</f>
        <v>0</v>
      </c>
      <c r="AD42" s="103">
        <f>IF(AD$6&gt;=Assumptions!$F$38,Assumptions!$K$7*(1+Assumptions!$L$7)^ROUNDDOWN(YEARFRAC(AD$6,Assumptions!$F$38),0),0)</f>
        <v>0</v>
      </c>
      <c r="AE42" s="103">
        <f>IF(AE$6&gt;=Assumptions!$F$38,Assumptions!$K$7*(1+Assumptions!$L$7)^ROUNDDOWN(YEARFRAC(AE$6,Assumptions!$F$38),0),0)</f>
        <v>0</v>
      </c>
      <c r="AF42" s="103">
        <f>IF(AF$6&gt;=Assumptions!$F$38,Assumptions!$K$7*(1+Assumptions!$L$7)^ROUNDDOWN(YEARFRAC(AF$6,Assumptions!$F$38),0),0)</f>
        <v>0</v>
      </c>
      <c r="AG42" s="103">
        <f>IF(AG$6&gt;=Assumptions!$F$38,Assumptions!$K$7*(1+Assumptions!$L$7)^ROUNDDOWN(YEARFRAC(AG$6,Assumptions!$F$38),0),0)</f>
        <v>0</v>
      </c>
      <c r="AH42" s="103">
        <f>IF(AH$6&gt;=Assumptions!$F$38,Assumptions!$K$7*(1+Assumptions!$L$7)^ROUNDDOWN(YEARFRAC(AH$6,Assumptions!$F$38),0),0)</f>
        <v>0</v>
      </c>
      <c r="AI42" s="103">
        <f>IF(AI$6&gt;=Assumptions!$F$38,Assumptions!$K$7*(1+Assumptions!$L$7)^ROUNDDOWN(YEARFRAC(AI$6,Assumptions!$F$38),0),0)</f>
        <v>0</v>
      </c>
      <c r="AJ42" s="103">
        <f>IF(AJ$6&gt;=Assumptions!$F$38,Assumptions!$K$7*(1+Assumptions!$L$7)^ROUNDDOWN(YEARFRAC(AJ$6,Assumptions!$F$38),0),0)</f>
        <v>0</v>
      </c>
      <c r="AK42" s="103">
        <f>IF(AK$6&gt;=Assumptions!$F$38,Assumptions!$K$7*(1+Assumptions!$L$7)^ROUNDDOWN(YEARFRAC(AK$6,Assumptions!$F$38),0),0)</f>
        <v>0</v>
      </c>
      <c r="AL42" s="103">
        <f>IF(AL$6&gt;=Assumptions!$F$38,Assumptions!$K$7*(1+Assumptions!$L$7)^ROUNDDOWN(YEARFRAC(AL$6,Assumptions!$F$38),0),0)</f>
        <v>0</v>
      </c>
      <c r="AM42" s="103">
        <f>IF(AM$6&gt;=Assumptions!$F$38,Assumptions!$K$7*(1+Assumptions!$L$7)^ROUNDDOWN(YEARFRAC(AM$6,Assumptions!$F$38),0),0)</f>
        <v>0</v>
      </c>
      <c r="AN42" s="103">
        <f>IF(AN$6&gt;=Assumptions!$F$38,Assumptions!$K$7*(1+Assumptions!$L$7)^ROUNDDOWN(YEARFRAC(AN$6,Assumptions!$F$38),0),0)</f>
        <v>0</v>
      </c>
      <c r="AO42" s="103">
        <f>IF(AO$6&gt;=Assumptions!$F$38,Assumptions!$K$7*(1+Assumptions!$L$7)^ROUNDDOWN(YEARFRAC(AO$6,Assumptions!$F$38),0),0)</f>
        <v>150</v>
      </c>
      <c r="AP42" s="103">
        <f>IF(AP$6&gt;=Assumptions!$F$38,Assumptions!$K$7*(1+Assumptions!$L$7)^ROUNDDOWN(YEARFRAC(AP$6,Assumptions!$F$38),0),0)</f>
        <v>150</v>
      </c>
      <c r="AQ42" s="103">
        <f>IF(AQ$6&gt;=Assumptions!$F$38,Assumptions!$K$7*(1+Assumptions!$L$7)^ROUNDDOWN(YEARFRAC(AQ$6,Assumptions!$F$38),0),0)</f>
        <v>150</v>
      </c>
      <c r="AR42" s="103">
        <f>IF(AR$6&gt;=Assumptions!$F$38,Assumptions!$K$7*(1+Assumptions!$L$7)^ROUNDDOWN(YEARFRAC(AR$6,Assumptions!$F$38),0),0)</f>
        <v>150</v>
      </c>
      <c r="AS42" s="103">
        <f>IF(AS$6&gt;=Assumptions!$F$38,Assumptions!$K$7*(1+Assumptions!$L$7)^ROUNDDOWN(YEARFRAC(AS$6,Assumptions!$F$38),0),0)</f>
        <v>150</v>
      </c>
      <c r="AT42" s="103">
        <f>IF(AT$6&gt;=Assumptions!$F$38,Assumptions!$K$7*(1+Assumptions!$L$7)^ROUNDDOWN(YEARFRAC(AT$6,Assumptions!$F$38),0),0)</f>
        <v>150</v>
      </c>
      <c r="AU42" s="103">
        <f>IF(AU$6&gt;=Assumptions!$F$38,Assumptions!$K$7*(1+Assumptions!$L$7)^ROUNDDOWN(YEARFRAC(AU$6,Assumptions!$F$38),0),0)</f>
        <v>150</v>
      </c>
      <c r="AV42" s="103">
        <f>IF(AV$6&gt;=Assumptions!$F$38,Assumptions!$K$7*(1+Assumptions!$L$7)^ROUNDDOWN(YEARFRAC(AV$6,Assumptions!$F$38),0),0)</f>
        <v>150</v>
      </c>
      <c r="AW42" s="103">
        <f>IF(AW$6&gt;=Assumptions!$F$38,Assumptions!$K$7*(1+Assumptions!$L$7)^ROUNDDOWN(YEARFRAC(AW$6,Assumptions!$F$38),0),0)</f>
        <v>150</v>
      </c>
      <c r="AX42" s="103">
        <f>IF(AX$6&gt;=Assumptions!$F$38,Assumptions!$K$7*(1+Assumptions!$L$7)^ROUNDDOWN(YEARFRAC(AX$6,Assumptions!$F$38),0),0)</f>
        <v>150</v>
      </c>
      <c r="AY42" s="103">
        <f>IF(AY$6&gt;=Assumptions!$F$38,Assumptions!$K$7*(1+Assumptions!$L$7)^ROUNDDOWN(YEARFRAC(AY$6,Assumptions!$F$38),0),0)</f>
        <v>150</v>
      </c>
      <c r="AZ42" s="103">
        <f>IF(AZ$6&gt;=Assumptions!$F$38,Assumptions!$K$7*(1+Assumptions!$L$7)^ROUNDDOWN(YEARFRAC(AZ$6,Assumptions!$F$38),0),0)</f>
        <v>150</v>
      </c>
      <c r="BA42" s="103">
        <f>IF(BA$6&gt;=Assumptions!$F$38,Assumptions!$K$7*(1+Assumptions!$L$7)^ROUNDDOWN(YEARFRAC(BA$6,Assumptions!$F$38),0),0)</f>
        <v>154.5</v>
      </c>
      <c r="BB42" s="103">
        <f>IF(BB$6&gt;=Assumptions!$F$38,Assumptions!$K$7*(1+Assumptions!$L$7)^ROUNDDOWN(YEARFRAC(BB$6,Assumptions!$F$38),0),0)</f>
        <v>154.5</v>
      </c>
      <c r="BC42" s="103">
        <f>IF(BC$6&gt;=Assumptions!$F$38,Assumptions!$K$7*(1+Assumptions!$L$7)^ROUNDDOWN(YEARFRAC(BC$6,Assumptions!$F$38),0),0)</f>
        <v>154.5</v>
      </c>
      <c r="BD42" s="103">
        <f>IF(BD$6&gt;=Assumptions!$F$38,Assumptions!$K$7*(1+Assumptions!$L$7)^ROUNDDOWN(YEARFRAC(BD$6,Assumptions!$F$38),0),0)</f>
        <v>154.5</v>
      </c>
      <c r="BE42" s="103">
        <f>IF(BE$6&gt;=Assumptions!$F$38,Assumptions!$K$7*(1+Assumptions!$L$7)^ROUNDDOWN(YEARFRAC(BE$6,Assumptions!$F$38),0),0)</f>
        <v>154.5</v>
      </c>
      <c r="BF42" s="103">
        <f>IF(BF$6&gt;=Assumptions!$F$38,Assumptions!$K$7*(1+Assumptions!$L$7)^ROUNDDOWN(YEARFRAC(BF$6,Assumptions!$F$38),0),0)</f>
        <v>154.5</v>
      </c>
      <c r="BG42" s="103">
        <f>IF(BG$6&gt;=Assumptions!$F$38,Assumptions!$K$7*(1+Assumptions!$L$7)^ROUNDDOWN(YEARFRAC(BG$6,Assumptions!$F$38),0),0)</f>
        <v>154.5</v>
      </c>
      <c r="BH42" s="103">
        <f>IF(BH$6&gt;=Assumptions!$F$38,Assumptions!$K$7*(1+Assumptions!$L$7)^ROUNDDOWN(YEARFRAC(BH$6,Assumptions!$F$38),0),0)</f>
        <v>154.5</v>
      </c>
      <c r="BI42" s="103">
        <f>IF(BI$6&gt;=Assumptions!$F$38,Assumptions!$K$7*(1+Assumptions!$L$7)^ROUNDDOWN(YEARFRAC(BI$6,Assumptions!$F$38),0),0)</f>
        <v>154.5</v>
      </c>
      <c r="BJ42" s="103">
        <f>IF(BJ$6&gt;=Assumptions!$F$38,Assumptions!$K$7*(1+Assumptions!$L$7)^ROUNDDOWN(YEARFRAC(BJ$6,Assumptions!$F$38),0),0)</f>
        <v>154.5</v>
      </c>
      <c r="BK42" s="103">
        <f>IF(BK$6&gt;=Assumptions!$F$38,Assumptions!$K$7*(1+Assumptions!$L$7)^ROUNDDOWN(YEARFRAC(BK$6,Assumptions!$F$38),0),0)</f>
        <v>154.5</v>
      </c>
      <c r="BL42" s="103">
        <f>IF(BL$6&gt;=Assumptions!$F$38,Assumptions!$K$7*(1+Assumptions!$L$7)^ROUNDDOWN(YEARFRAC(BL$6,Assumptions!$F$38),0),0)</f>
        <v>154.5</v>
      </c>
      <c r="BM42" s="103">
        <f>IF(BM$6&gt;=Assumptions!$F$38,Assumptions!$K$7*(1+Assumptions!$L$7)^ROUNDDOWN(YEARFRAC(BM$6,Assumptions!$F$38),0),0)</f>
        <v>159.13499999999999</v>
      </c>
      <c r="BN42" s="103">
        <f>IF(BN$6&gt;=Assumptions!$F$38,Assumptions!$K$7*(1+Assumptions!$L$7)^ROUNDDOWN(YEARFRAC(BN$6,Assumptions!$F$38),0),0)</f>
        <v>159.13499999999999</v>
      </c>
      <c r="BO42" s="103">
        <f>IF(BO$6&gt;=Assumptions!$F$38,Assumptions!$K$7*(1+Assumptions!$L$7)^ROUNDDOWN(YEARFRAC(BO$6,Assumptions!$F$38),0),0)</f>
        <v>159.13499999999999</v>
      </c>
      <c r="BP42" s="103">
        <f>IF(BP$6&gt;=Assumptions!$F$38,Assumptions!$K$7*(1+Assumptions!$L$7)^ROUNDDOWN(YEARFRAC(BP$6,Assumptions!$F$38),0),0)</f>
        <v>159.13499999999999</v>
      </c>
      <c r="BQ42" s="103">
        <f>IF(BQ$6&gt;=Assumptions!$F$38,Assumptions!$K$7*(1+Assumptions!$L$7)^ROUNDDOWN(YEARFRAC(BQ$6,Assumptions!$F$38),0),0)</f>
        <v>159.13499999999999</v>
      </c>
      <c r="BR42" s="103">
        <f>IF(BR$6&gt;=Assumptions!$F$38,Assumptions!$K$7*(1+Assumptions!$L$7)^ROUNDDOWN(YEARFRAC(BR$6,Assumptions!$F$38),0),0)</f>
        <v>159.13499999999999</v>
      </c>
      <c r="BS42" s="103">
        <f>IF(BS$6&gt;=Assumptions!$F$38,Assumptions!$K$7*(1+Assumptions!$L$7)^ROUNDDOWN(YEARFRAC(BS$6,Assumptions!$F$38),0),0)</f>
        <v>159.13499999999999</v>
      </c>
      <c r="BT42" s="103">
        <f>IF(BT$6&gt;=Assumptions!$F$38,Assumptions!$K$7*(1+Assumptions!$L$7)^ROUNDDOWN(YEARFRAC(BT$6,Assumptions!$F$38),0),0)</f>
        <v>159.13499999999999</v>
      </c>
      <c r="BU42" s="103">
        <f>IF(BU$6&gt;=Assumptions!$F$38,Assumptions!$K$7*(1+Assumptions!$L$7)^ROUNDDOWN(YEARFRAC(BU$6,Assumptions!$F$38),0),0)</f>
        <v>159.13499999999999</v>
      </c>
      <c r="BV42" s="103">
        <f>IF(BV$6&gt;=Assumptions!$F$38,Assumptions!$K$7*(1+Assumptions!$L$7)^ROUNDDOWN(YEARFRAC(BV$6,Assumptions!$F$38),0),0)</f>
        <v>159.13499999999999</v>
      </c>
      <c r="BW42" s="103">
        <f>IF(BW$6&gt;=Assumptions!$F$38,Assumptions!$K$7*(1+Assumptions!$L$7)^ROUNDDOWN(YEARFRAC(BW$6,Assumptions!$F$38),0),0)</f>
        <v>159.13499999999999</v>
      </c>
      <c r="BX42" s="103">
        <f>IF(BX$6&gt;=Assumptions!$F$38,Assumptions!$K$7*(1+Assumptions!$L$7)^ROUNDDOWN(YEARFRAC(BX$6,Assumptions!$F$38),0),0)</f>
        <v>159.13499999999999</v>
      </c>
      <c r="BY42" s="103">
        <f>IF(BY$6&gt;=Assumptions!$F$38,Assumptions!$K$7*(1+Assumptions!$L$7)^ROUNDDOWN(YEARFRAC(BY$6,Assumptions!$F$38),0),0)</f>
        <v>163.90905000000001</v>
      </c>
      <c r="BZ42" s="103">
        <f>IF(BZ$6&gt;=Assumptions!$F$38,Assumptions!$K$7*(1+Assumptions!$L$7)^ROUNDDOWN(YEARFRAC(BZ$6,Assumptions!$F$38),0),0)</f>
        <v>163.90905000000001</v>
      </c>
      <c r="CA42" s="103">
        <f>IF(CA$6&gt;=Assumptions!$F$38,Assumptions!$K$7*(1+Assumptions!$L$7)^ROUNDDOWN(YEARFRAC(CA$6,Assumptions!$F$38),0),0)</f>
        <v>163.90905000000001</v>
      </c>
      <c r="CB42" s="103">
        <f>IF(CB$6&gt;=Assumptions!$F$38,Assumptions!$K$7*(1+Assumptions!$L$7)^ROUNDDOWN(YEARFRAC(CB$6,Assumptions!$F$38),0),0)</f>
        <v>163.90905000000001</v>
      </c>
      <c r="CC42" s="103">
        <f>IF(CC$6&gt;=Assumptions!$F$38,Assumptions!$K$7*(1+Assumptions!$L$7)^ROUNDDOWN(YEARFRAC(CC$6,Assumptions!$F$38),0),0)</f>
        <v>163.90905000000001</v>
      </c>
      <c r="CD42" s="103">
        <f>IF(CD$6&gt;=Assumptions!$F$38,Assumptions!$K$7*(1+Assumptions!$L$7)^ROUNDDOWN(YEARFRAC(CD$6,Assumptions!$F$38),0),0)</f>
        <v>163.90905000000001</v>
      </c>
      <c r="CE42" s="103">
        <f>IF(CE$6&gt;=Assumptions!$F$38,Assumptions!$K$7*(1+Assumptions!$L$7)^ROUNDDOWN(YEARFRAC(CE$6,Assumptions!$F$38),0),0)</f>
        <v>163.90905000000001</v>
      </c>
      <c r="CF42" s="103">
        <f>IF(CF$6&gt;=Assumptions!$F$38,Assumptions!$K$7*(1+Assumptions!$L$7)^ROUNDDOWN(YEARFRAC(CF$6,Assumptions!$F$38),0),0)</f>
        <v>163.90905000000001</v>
      </c>
      <c r="CG42" s="103">
        <f>IF(CG$6&gt;=Assumptions!$F$38,Assumptions!$K$7*(1+Assumptions!$L$7)^ROUNDDOWN(YEARFRAC(CG$6,Assumptions!$F$38),0),0)</f>
        <v>163.90905000000001</v>
      </c>
      <c r="CH42" s="103">
        <f>IF(CH$6&gt;=Assumptions!$F$38,Assumptions!$K$7*(1+Assumptions!$L$7)^ROUNDDOWN(YEARFRAC(CH$6,Assumptions!$F$38),0),0)</f>
        <v>163.90905000000001</v>
      </c>
      <c r="CI42" s="103">
        <f>IF(CI$6&gt;=Assumptions!$F$38,Assumptions!$K$7*(1+Assumptions!$L$7)^ROUNDDOWN(YEARFRAC(CI$6,Assumptions!$F$38),0),0)</f>
        <v>163.90905000000001</v>
      </c>
      <c r="CJ42" s="103">
        <f>IF(CJ$6&gt;=Assumptions!$F$38,Assumptions!$K$7*(1+Assumptions!$L$7)^ROUNDDOWN(YEARFRAC(CJ$6,Assumptions!$F$38),0),0)</f>
        <v>163.90905000000001</v>
      </c>
      <c r="CK42" s="103">
        <f>IF(CK$6&gt;=Assumptions!$F$38,Assumptions!$K$7*(1+Assumptions!$L$7)^ROUNDDOWN(YEARFRAC(CK$6,Assumptions!$F$38),0),0)</f>
        <v>168.82632149999998</v>
      </c>
      <c r="CL42" s="103">
        <f>IF(CL$6&gt;=Assumptions!$F$38,Assumptions!$K$7*(1+Assumptions!$L$7)^ROUNDDOWN(YEARFRAC(CL$6,Assumptions!$F$38),0),0)</f>
        <v>168.82632149999998</v>
      </c>
      <c r="CM42" s="103">
        <f>IF(CM$6&gt;=Assumptions!$F$38,Assumptions!$K$7*(1+Assumptions!$L$7)^ROUNDDOWN(YEARFRAC(CM$6,Assumptions!$F$38),0),0)</f>
        <v>168.82632149999998</v>
      </c>
      <c r="CN42" s="103">
        <f>IF(CN$6&gt;=Assumptions!$F$38,Assumptions!$K$7*(1+Assumptions!$L$7)^ROUNDDOWN(YEARFRAC(CN$6,Assumptions!$F$38),0),0)</f>
        <v>168.82632149999998</v>
      </c>
      <c r="CO42" s="103">
        <f>IF(CO$6&gt;=Assumptions!$F$38,Assumptions!$K$7*(1+Assumptions!$L$7)^ROUNDDOWN(YEARFRAC(CO$6,Assumptions!$F$38),0),0)</f>
        <v>168.82632149999998</v>
      </c>
      <c r="CP42" s="103">
        <f>IF(CP$6&gt;=Assumptions!$F$38,Assumptions!$K$7*(1+Assumptions!$L$7)^ROUNDDOWN(YEARFRAC(CP$6,Assumptions!$F$38),0),0)</f>
        <v>168.82632149999998</v>
      </c>
      <c r="CQ42" s="103">
        <f>IF(CQ$6&gt;=Assumptions!$F$38,Assumptions!$K$7*(1+Assumptions!$L$7)^ROUNDDOWN(YEARFRAC(CQ$6,Assumptions!$F$38),0),0)</f>
        <v>168.82632149999998</v>
      </c>
      <c r="CR42" s="103">
        <f>IF(CR$6&gt;=Assumptions!$F$38,Assumptions!$K$7*(1+Assumptions!$L$7)^ROUNDDOWN(YEARFRAC(CR$6,Assumptions!$F$38),0),0)</f>
        <v>168.82632149999998</v>
      </c>
      <c r="CS42" s="103">
        <f>IF(CS$6&gt;=Assumptions!$F$38,Assumptions!$K$7*(1+Assumptions!$L$7)^ROUNDDOWN(YEARFRAC(CS$6,Assumptions!$F$38),0),0)</f>
        <v>168.82632149999998</v>
      </c>
      <c r="CT42" s="103">
        <f>IF(CT$6&gt;=Assumptions!$F$38,Assumptions!$K$7*(1+Assumptions!$L$7)^ROUNDDOWN(YEARFRAC(CT$6,Assumptions!$F$38),0),0)</f>
        <v>168.82632149999998</v>
      </c>
      <c r="CU42" s="103">
        <f>IF(CU$6&gt;=Assumptions!$F$38,Assumptions!$K$7*(1+Assumptions!$L$7)^ROUNDDOWN(YEARFRAC(CU$6,Assumptions!$F$38),0),0)</f>
        <v>168.82632149999998</v>
      </c>
      <c r="CV42" s="103">
        <f>IF(CV$6&gt;=Assumptions!$F$38,Assumptions!$K$7*(1+Assumptions!$L$7)^ROUNDDOWN(YEARFRAC(CV$6,Assumptions!$F$38),0),0)</f>
        <v>168.82632149999998</v>
      </c>
      <c r="CW42" s="103">
        <f>IF(CW$6&gt;=Assumptions!$F$38,Assumptions!$K$7*(1+Assumptions!$L$7)^ROUNDDOWN(YEARFRAC(CW$6,Assumptions!$F$38),0),0)</f>
        <v>173.89111114499997</v>
      </c>
      <c r="CX42" s="103">
        <f>IF(CX$6&gt;=Assumptions!$F$38,Assumptions!$K$7*(1+Assumptions!$L$7)^ROUNDDOWN(YEARFRAC(CX$6,Assumptions!$F$38),0),0)</f>
        <v>173.89111114499997</v>
      </c>
      <c r="CY42" s="103">
        <f>IF(CY$6&gt;=Assumptions!$F$38,Assumptions!$K$7*(1+Assumptions!$L$7)^ROUNDDOWN(YEARFRAC(CY$6,Assumptions!$F$38),0),0)</f>
        <v>173.89111114499997</v>
      </c>
      <c r="CZ42" s="103">
        <f>IF(CZ$6&gt;=Assumptions!$F$38,Assumptions!$K$7*(1+Assumptions!$L$7)^ROUNDDOWN(YEARFRAC(CZ$6,Assumptions!$F$38),0),0)</f>
        <v>173.89111114499997</v>
      </c>
      <c r="DA42" s="103">
        <f>IF(DA$6&gt;=Assumptions!$F$38,Assumptions!$K$7*(1+Assumptions!$L$7)^ROUNDDOWN(YEARFRAC(DA$6,Assumptions!$F$38),0),0)</f>
        <v>173.89111114499997</v>
      </c>
      <c r="DB42" s="103">
        <f>IF(DB$6&gt;=Assumptions!$F$38,Assumptions!$K$7*(1+Assumptions!$L$7)^ROUNDDOWN(YEARFRAC(DB$6,Assumptions!$F$38),0),0)</f>
        <v>173.89111114499997</v>
      </c>
      <c r="DC42" s="103">
        <f>IF(DC$6&gt;=Assumptions!$F$38,Assumptions!$K$7*(1+Assumptions!$L$7)^ROUNDDOWN(YEARFRAC(DC$6,Assumptions!$F$38),0),0)</f>
        <v>173.89111114499997</v>
      </c>
      <c r="DD42" s="103">
        <f>IF(DD$6&gt;=Assumptions!$F$38,Assumptions!$K$7*(1+Assumptions!$L$7)^ROUNDDOWN(YEARFRAC(DD$6,Assumptions!$F$38),0),0)</f>
        <v>173.89111114499997</v>
      </c>
      <c r="DE42" s="103">
        <f>IF(DE$6&gt;=Assumptions!$F$38,Assumptions!$K$7*(1+Assumptions!$L$7)^ROUNDDOWN(YEARFRAC(DE$6,Assumptions!$F$38),0),0)</f>
        <v>173.89111114499997</v>
      </c>
      <c r="DF42" s="103">
        <f>IF(DF$6&gt;=Assumptions!$F$38,Assumptions!$K$7*(1+Assumptions!$L$7)^ROUNDDOWN(YEARFRAC(DF$6,Assumptions!$F$38),0),0)</f>
        <v>173.89111114499997</v>
      </c>
      <c r="DG42" s="103">
        <f>IF(DG$6&gt;=Assumptions!$F$38,Assumptions!$K$7*(1+Assumptions!$L$7)^ROUNDDOWN(YEARFRAC(DG$6,Assumptions!$F$38),0),0)</f>
        <v>173.89111114499997</v>
      </c>
      <c r="DH42" s="103">
        <f>IF(DH$6&gt;=Assumptions!$F$38,Assumptions!$K$7*(1+Assumptions!$L$7)^ROUNDDOWN(YEARFRAC(DH$6,Assumptions!$F$38),0),0)</f>
        <v>173.89111114499997</v>
      </c>
      <c r="DI42" s="103">
        <f>IF(DI$6&gt;=Assumptions!$F$38,Assumptions!$K$7*(1+Assumptions!$L$7)^ROUNDDOWN(YEARFRAC(DI$6,Assumptions!$F$38),0),0)</f>
        <v>179.10784447934998</v>
      </c>
      <c r="DJ42" s="103">
        <f>IF(DJ$6&gt;=Assumptions!$F$38,Assumptions!$K$7*(1+Assumptions!$L$7)^ROUNDDOWN(YEARFRAC(DJ$6,Assumptions!$F$38),0),0)</f>
        <v>179.10784447934998</v>
      </c>
      <c r="DK42" s="103">
        <f>IF(DK$6&gt;=Assumptions!$F$38,Assumptions!$K$7*(1+Assumptions!$L$7)^ROUNDDOWN(YEARFRAC(DK$6,Assumptions!$F$38),0),0)</f>
        <v>179.10784447934998</v>
      </c>
      <c r="DL42" s="103">
        <f>IF(DL$6&gt;=Assumptions!$F$38,Assumptions!$K$7*(1+Assumptions!$L$7)^ROUNDDOWN(YEARFRAC(DL$6,Assumptions!$F$38),0),0)</f>
        <v>179.10784447934998</v>
      </c>
      <c r="DM42" s="103">
        <f>IF(DM$6&gt;=Assumptions!$F$38,Assumptions!$K$7*(1+Assumptions!$L$7)^ROUNDDOWN(YEARFRAC(DM$6,Assumptions!$F$38),0),0)</f>
        <v>179.10784447934998</v>
      </c>
      <c r="DN42" s="103">
        <f>IF(DN$6&gt;=Assumptions!$F$38,Assumptions!$K$7*(1+Assumptions!$L$7)^ROUNDDOWN(YEARFRAC(DN$6,Assumptions!$F$38),0),0)</f>
        <v>179.10784447934998</v>
      </c>
      <c r="DO42" s="103">
        <f>IF(DO$6&gt;=Assumptions!$F$38,Assumptions!$K$7*(1+Assumptions!$L$7)^ROUNDDOWN(YEARFRAC(DO$6,Assumptions!$F$38),0),0)</f>
        <v>179.10784447934998</v>
      </c>
      <c r="DP42" s="103">
        <f>IF(DP$6&gt;=Assumptions!$F$38,Assumptions!$K$7*(1+Assumptions!$L$7)^ROUNDDOWN(YEARFRAC(DP$6,Assumptions!$F$38),0),0)</f>
        <v>179.10784447934998</v>
      </c>
      <c r="DQ42" s="103">
        <f>IF(DQ$6&gt;=Assumptions!$F$38,Assumptions!$K$7*(1+Assumptions!$L$7)^ROUNDDOWN(YEARFRAC(DQ$6,Assumptions!$F$38),0),0)</f>
        <v>179.10784447934998</v>
      </c>
      <c r="DR42" s="103">
        <f>IF(DR$6&gt;=Assumptions!$F$38,Assumptions!$K$7*(1+Assumptions!$L$7)^ROUNDDOWN(YEARFRAC(DR$6,Assumptions!$F$38),0),0)</f>
        <v>179.10784447934998</v>
      </c>
      <c r="DS42" s="103">
        <f>IF(DS$6&gt;=Assumptions!$F$38,Assumptions!$K$7*(1+Assumptions!$L$7)^ROUNDDOWN(YEARFRAC(DS$6,Assumptions!$F$38),0),0)</f>
        <v>179.10784447934998</v>
      </c>
      <c r="DT42" s="103">
        <f>IF(DT$6&gt;=Assumptions!$F$38,Assumptions!$K$7*(1+Assumptions!$L$7)^ROUNDDOWN(YEARFRAC(DT$6,Assumptions!$F$38),0),0)</f>
        <v>179.10784447934998</v>
      </c>
      <c r="DU42" s="103">
        <f>IF(DU$6&gt;=Assumptions!$F$38,Assumptions!$K$7*(1+Assumptions!$L$7)^ROUNDDOWN(YEARFRAC(DU$6,Assumptions!$F$38),0),0)</f>
        <v>184.4810798137305</v>
      </c>
      <c r="DV42" s="103">
        <f>IF(DV$6&gt;=Assumptions!$F$38,Assumptions!$K$7*(1+Assumptions!$L$7)^ROUNDDOWN(YEARFRAC(DV$6,Assumptions!$F$38),0),0)</f>
        <v>184.4810798137305</v>
      </c>
      <c r="DW42" s="103">
        <f>IF(DW$6&gt;=Assumptions!$F$38,Assumptions!$K$7*(1+Assumptions!$L$7)^ROUNDDOWN(YEARFRAC(DW$6,Assumptions!$F$38),0),0)</f>
        <v>184.4810798137305</v>
      </c>
      <c r="DX42" s="103">
        <f>IF(DX$6&gt;=Assumptions!$F$38,Assumptions!$K$7*(1+Assumptions!$L$7)^ROUNDDOWN(YEARFRAC(DX$6,Assumptions!$F$38),0),0)</f>
        <v>184.4810798137305</v>
      </c>
      <c r="DY42" s="103">
        <f>IF(DY$6&gt;=Assumptions!$F$38,Assumptions!$K$7*(1+Assumptions!$L$7)^ROUNDDOWN(YEARFRAC(DY$6,Assumptions!$F$38),0),0)</f>
        <v>184.4810798137305</v>
      </c>
      <c r="DZ42" s="103">
        <f>IF(DZ$6&gt;=Assumptions!$F$38,Assumptions!$K$7*(1+Assumptions!$L$7)^ROUNDDOWN(YEARFRAC(DZ$6,Assumptions!$F$38),0),0)</f>
        <v>184.4810798137305</v>
      </c>
      <c r="EA42" s="103">
        <f>IF(EA$6&gt;=Assumptions!$F$38,Assumptions!$K$7*(1+Assumptions!$L$7)^ROUNDDOWN(YEARFRAC(EA$6,Assumptions!$F$38),0),0)</f>
        <v>184.4810798137305</v>
      </c>
      <c r="EB42" s="103">
        <f>IF(EB$6&gt;=Assumptions!$F$38,Assumptions!$K$7*(1+Assumptions!$L$7)^ROUNDDOWN(YEARFRAC(EB$6,Assumptions!$F$38),0),0)</f>
        <v>184.4810798137305</v>
      </c>
      <c r="EC42" s="103">
        <f>IF(EC$6&gt;=Assumptions!$F$38,Assumptions!$K$7*(1+Assumptions!$L$7)^ROUNDDOWN(YEARFRAC(EC$6,Assumptions!$F$38),0),0)</f>
        <v>184.4810798137305</v>
      </c>
      <c r="ED42" s="103">
        <f>IF(ED$6&gt;=Assumptions!$F$38,Assumptions!$K$7*(1+Assumptions!$L$7)^ROUNDDOWN(YEARFRAC(ED$6,Assumptions!$F$38),0),0)</f>
        <v>184.4810798137305</v>
      </c>
      <c r="EE42" s="103">
        <f>IF(EE$6&gt;=Assumptions!$F$38,Assumptions!$K$7*(1+Assumptions!$L$7)^ROUNDDOWN(YEARFRAC(EE$6,Assumptions!$F$38),0),0)</f>
        <v>184.4810798137305</v>
      </c>
      <c r="EF42" s="103">
        <f>IF(EF$6&gt;=Assumptions!$F$38,Assumptions!$K$7*(1+Assumptions!$L$7)^ROUNDDOWN(YEARFRAC(EF$6,Assumptions!$F$38),0),0)</f>
        <v>184.4810798137305</v>
      </c>
      <c r="EG42" s="103">
        <f>IF(EG$6&gt;=Assumptions!$F$38,Assumptions!$K$7*(1+Assumptions!$L$7)^ROUNDDOWN(YEARFRAC(EG$6,Assumptions!$F$38),0),0)</f>
        <v>190.01551220814238</v>
      </c>
      <c r="EH42" s="103">
        <f>IF(EH$6&gt;=Assumptions!$F$38,Assumptions!$K$7*(1+Assumptions!$L$7)^ROUNDDOWN(YEARFRAC(EH$6,Assumptions!$F$38),0),0)</f>
        <v>190.01551220814238</v>
      </c>
      <c r="EI42" s="103">
        <f>IF(EI$6&gt;=Assumptions!$F$38,Assumptions!$K$7*(1+Assumptions!$L$7)^ROUNDDOWN(YEARFRAC(EI$6,Assumptions!$F$38),0),0)</f>
        <v>190.01551220814238</v>
      </c>
      <c r="EJ42" s="103">
        <f>IF(EJ$6&gt;=Assumptions!$F$38,Assumptions!$K$7*(1+Assumptions!$L$7)^ROUNDDOWN(YEARFRAC(EJ$6,Assumptions!$F$38),0),0)</f>
        <v>190.01551220814238</v>
      </c>
      <c r="EK42" s="103">
        <f>IF(EK$6&gt;=Assumptions!$F$38,Assumptions!$K$7*(1+Assumptions!$L$7)^ROUNDDOWN(YEARFRAC(EK$6,Assumptions!$F$38),0),0)</f>
        <v>190.01551220814238</v>
      </c>
      <c r="EL42" s="103">
        <f>IF(EL$6&gt;=Assumptions!$F$38,Assumptions!$K$7*(1+Assumptions!$L$7)^ROUNDDOWN(YEARFRAC(EL$6,Assumptions!$F$38),0),0)</f>
        <v>190.01551220814238</v>
      </c>
      <c r="EM42" s="103">
        <f>IF(EM$6&gt;=Assumptions!$F$38,Assumptions!$K$7*(1+Assumptions!$L$7)^ROUNDDOWN(YEARFRAC(EM$6,Assumptions!$F$38),0),0)</f>
        <v>190.01551220814238</v>
      </c>
      <c r="EN42" s="103">
        <f>IF(EN$6&gt;=Assumptions!$F$38,Assumptions!$K$7*(1+Assumptions!$L$7)^ROUNDDOWN(YEARFRAC(EN$6,Assumptions!$F$38),0),0)</f>
        <v>190.01551220814238</v>
      </c>
      <c r="EO42" s="103">
        <f>IF(EO$6&gt;=Assumptions!$F$38,Assumptions!$K$7*(1+Assumptions!$L$7)^ROUNDDOWN(YEARFRAC(EO$6,Assumptions!$F$38),0),0)</f>
        <v>190.01551220814238</v>
      </c>
      <c r="EP42" s="103">
        <f>IF(EP$6&gt;=Assumptions!$F$38,Assumptions!$K$7*(1+Assumptions!$L$7)^ROUNDDOWN(YEARFRAC(EP$6,Assumptions!$F$38),0),0)</f>
        <v>190.01551220814238</v>
      </c>
      <c r="EQ42" s="103">
        <f>IF(EQ$6&gt;=Assumptions!$F$38,Assumptions!$K$7*(1+Assumptions!$L$7)^ROUNDDOWN(YEARFRAC(EQ$6,Assumptions!$F$38),0),0)</f>
        <v>190.01551220814238</v>
      </c>
      <c r="ER42" s="103">
        <f>IF(ER$6&gt;=Assumptions!$F$38,Assumptions!$K$7*(1+Assumptions!$L$7)^ROUNDDOWN(YEARFRAC(ER$6,Assumptions!$F$38),0),0)</f>
        <v>190.01551220814238</v>
      </c>
      <c r="ES42" s="103">
        <f>IF(ES$6&gt;=Assumptions!$F$38,Assumptions!$K$7*(1+Assumptions!$L$7)^ROUNDDOWN(YEARFRAC(ES$6,Assumptions!$F$38),0),0)</f>
        <v>195.71597757438667</v>
      </c>
      <c r="ET42" s="103">
        <f>IF(ET$6&gt;=Assumptions!$F$38,Assumptions!$K$7*(1+Assumptions!$L$7)^ROUNDDOWN(YEARFRAC(ET$6,Assumptions!$F$38),0),0)</f>
        <v>195.71597757438667</v>
      </c>
    </row>
    <row r="43" spans="2:150" x14ac:dyDescent="0.2"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</row>
    <row r="44" spans="2:150" x14ac:dyDescent="0.2">
      <c r="B44" t="s">
        <v>148</v>
      </c>
      <c r="D44" s="242">
        <f t="shared" ref="D44:D63" si="510">SUM(F44:ET44)</f>
        <v>27371719.669288155</v>
      </c>
      <c r="F44" s="242">
        <f>F39*Assumptions!$F$17</f>
        <v>159388.00000000003</v>
      </c>
      <c r="G44" s="242">
        <f>G39*Assumptions!$F$17</f>
        <v>159388.00000000003</v>
      </c>
      <c r="H44" s="242">
        <f>H39*Assumptions!$F$17</f>
        <v>159388.00000000003</v>
      </c>
      <c r="I44" s="242">
        <f>I39*Assumptions!$F$17</f>
        <v>159388.00000000003</v>
      </c>
      <c r="J44" s="242">
        <f>J39*Assumptions!$F$17</f>
        <v>159388.00000000003</v>
      </c>
      <c r="K44" s="242">
        <f>K39*Assumptions!$F$17</f>
        <v>159388.00000000003</v>
      </c>
      <c r="L44" s="242">
        <f>L39*Assumptions!$F$17</f>
        <v>159388.00000000003</v>
      </c>
      <c r="M44" s="242">
        <f>M39*Assumptions!$F$17</f>
        <v>159388.00000000003</v>
      </c>
      <c r="N44" s="242">
        <f>N39*Assumptions!$F$17</f>
        <v>159388.00000000003</v>
      </c>
      <c r="O44" s="242">
        <f>O39*Assumptions!$F$17</f>
        <v>159388.00000000003</v>
      </c>
      <c r="P44" s="242">
        <f>P39*Assumptions!$F$17</f>
        <v>159388.00000000003</v>
      </c>
      <c r="Q44" s="242">
        <f>Q39*Assumptions!$F$17</f>
        <v>159388.00000000003</v>
      </c>
      <c r="R44" s="242">
        <f>R39*Assumptions!$F$17</f>
        <v>164169.64000000001</v>
      </c>
      <c r="S44" s="242">
        <f>S39*Assumptions!$F$17</f>
        <v>164169.64000000001</v>
      </c>
      <c r="T44" s="242">
        <f>T39*Assumptions!$F$17</f>
        <v>164169.64000000001</v>
      </c>
      <c r="U44" s="242">
        <f>U39*Assumptions!$F$17</f>
        <v>164169.64000000001</v>
      </c>
      <c r="V44" s="242">
        <f>V39*Assumptions!$F$17</f>
        <v>164169.64000000001</v>
      </c>
      <c r="W44" s="242">
        <f>W39*Assumptions!$F$17</f>
        <v>164169.64000000001</v>
      </c>
      <c r="X44" s="242">
        <f>X39*Assumptions!$F$17</f>
        <v>164169.64000000001</v>
      </c>
      <c r="Y44" s="242">
        <f>Y39*Assumptions!$F$17</f>
        <v>164169.64000000001</v>
      </c>
      <c r="Z44" s="242">
        <f>Z39*Assumptions!$F$17</f>
        <v>164169.64000000001</v>
      </c>
      <c r="AA44" s="242">
        <f>AA39*Assumptions!$F$17</f>
        <v>164169.64000000001</v>
      </c>
      <c r="AB44" s="242">
        <f>AB39*Assumptions!$F$17</f>
        <v>164169.64000000001</v>
      </c>
      <c r="AC44" s="242">
        <f>AC39*Assumptions!$F$17</f>
        <v>164169.64000000001</v>
      </c>
      <c r="AD44" s="242">
        <f>AD39*Assumptions!$F$17</f>
        <v>169094.7292</v>
      </c>
      <c r="AE44" s="242">
        <f>AE39*Assumptions!$F$17</f>
        <v>169094.7292</v>
      </c>
      <c r="AF44" s="242">
        <f>AF39*Assumptions!$F$17</f>
        <v>169094.7292</v>
      </c>
      <c r="AG44" s="242">
        <f>AG39*Assumptions!$F$17</f>
        <v>169094.7292</v>
      </c>
      <c r="AH44" s="242">
        <f>AH39*Assumptions!$F$17</f>
        <v>169094.7292</v>
      </c>
      <c r="AI44" s="242">
        <f>AI39*Assumptions!$F$17</f>
        <v>169094.7292</v>
      </c>
      <c r="AJ44" s="242">
        <f>AJ39*Assumptions!$F$17</f>
        <v>169094.7292</v>
      </c>
      <c r="AK44" s="242">
        <f>AK39*Assumptions!$F$17</f>
        <v>169094.7292</v>
      </c>
      <c r="AL44" s="242">
        <f>AL39*Assumptions!$F$17</f>
        <v>169094.7292</v>
      </c>
      <c r="AM44" s="242">
        <f>AM39*Assumptions!$F$17</f>
        <v>169094.7292</v>
      </c>
      <c r="AN44" s="242">
        <f>AN39*Assumptions!$F$17</f>
        <v>169094.7292</v>
      </c>
      <c r="AO44" s="242">
        <f>AO39*Assumptions!$F$17</f>
        <v>169094.7292</v>
      </c>
      <c r="AP44" s="242">
        <f>AP39*Assumptions!$F$17</f>
        <v>174167.57107600002</v>
      </c>
      <c r="AQ44" s="242">
        <f>AQ39*Assumptions!$F$17</f>
        <v>174167.57107600002</v>
      </c>
      <c r="AR44" s="242">
        <f>AR39*Assumptions!$F$17</f>
        <v>174167.57107600002</v>
      </c>
      <c r="AS44" s="242">
        <f>AS39*Assumptions!$F$17</f>
        <v>174167.57107600002</v>
      </c>
      <c r="AT44" s="242">
        <f>AT39*Assumptions!$F$17</f>
        <v>174167.57107600002</v>
      </c>
      <c r="AU44" s="242">
        <f>AU39*Assumptions!$F$17</f>
        <v>174167.57107600002</v>
      </c>
      <c r="AV44" s="242">
        <f>AV39*Assumptions!$F$17</f>
        <v>174167.57107600002</v>
      </c>
      <c r="AW44" s="242">
        <f>AW39*Assumptions!$F$17</f>
        <v>174167.57107600002</v>
      </c>
      <c r="AX44" s="242">
        <f>AX39*Assumptions!$F$17</f>
        <v>174167.57107600002</v>
      </c>
      <c r="AY44" s="242">
        <f>AY39*Assumptions!$F$17</f>
        <v>174167.57107600002</v>
      </c>
      <c r="AZ44" s="242">
        <f>AZ39*Assumptions!$F$17</f>
        <v>174167.57107600002</v>
      </c>
      <c r="BA44" s="242">
        <f>BA39*Assumptions!$F$17</f>
        <v>174167.57107600002</v>
      </c>
      <c r="BB44" s="242">
        <f>BB39*Assumptions!$F$17</f>
        <v>179392.59820828002</v>
      </c>
      <c r="BC44" s="242">
        <f>BC39*Assumptions!$F$17</f>
        <v>179392.59820828002</v>
      </c>
      <c r="BD44" s="242">
        <f>BD39*Assumptions!$F$17</f>
        <v>179392.59820828002</v>
      </c>
      <c r="BE44" s="242">
        <f>BE39*Assumptions!$F$17</f>
        <v>179392.59820828002</v>
      </c>
      <c r="BF44" s="242">
        <f>BF39*Assumptions!$F$17</f>
        <v>179392.59820828002</v>
      </c>
      <c r="BG44" s="242">
        <f>BG39*Assumptions!$F$17</f>
        <v>179392.59820828002</v>
      </c>
      <c r="BH44" s="242">
        <f>BH39*Assumptions!$F$17</f>
        <v>179392.59820828002</v>
      </c>
      <c r="BI44" s="242">
        <f>BI39*Assumptions!$F$17</f>
        <v>179392.59820828002</v>
      </c>
      <c r="BJ44" s="242">
        <f>BJ39*Assumptions!$F$17</f>
        <v>179392.59820828002</v>
      </c>
      <c r="BK44" s="242">
        <f>BK39*Assumptions!$F$17</f>
        <v>179392.59820828002</v>
      </c>
      <c r="BL44" s="242">
        <f>BL39*Assumptions!$F$17</f>
        <v>179392.59820828002</v>
      </c>
      <c r="BM44" s="242">
        <f>BM39*Assumptions!$F$17</f>
        <v>179392.59820828002</v>
      </c>
      <c r="BN44" s="242">
        <f>BN39*Assumptions!$F$17</f>
        <v>184774.37615452841</v>
      </c>
      <c r="BO44" s="242">
        <f>BO39*Assumptions!$F$17</f>
        <v>184774.37615452841</v>
      </c>
      <c r="BP44" s="242">
        <f>BP39*Assumptions!$F$17</f>
        <v>184774.37615452841</v>
      </c>
      <c r="BQ44" s="242">
        <f>BQ39*Assumptions!$F$17</f>
        <v>184774.37615452841</v>
      </c>
      <c r="BR44" s="242">
        <f>BR39*Assumptions!$F$17</f>
        <v>184774.37615452841</v>
      </c>
      <c r="BS44" s="242">
        <f>BS39*Assumptions!$F$17</f>
        <v>184774.37615452841</v>
      </c>
      <c r="BT44" s="242">
        <f>BT39*Assumptions!$F$17</f>
        <v>184774.37615452841</v>
      </c>
      <c r="BU44" s="242">
        <f>BU39*Assumptions!$F$17</f>
        <v>184774.37615452841</v>
      </c>
      <c r="BV44" s="242">
        <f>BV39*Assumptions!$F$17</f>
        <v>184774.37615452841</v>
      </c>
      <c r="BW44" s="242">
        <f>BW39*Assumptions!$F$17</f>
        <v>184774.37615452841</v>
      </c>
      <c r="BX44" s="242">
        <f>BX39*Assumptions!$F$17</f>
        <v>184774.37615452841</v>
      </c>
      <c r="BY44" s="242">
        <f>BY39*Assumptions!$F$17</f>
        <v>184774.37615452841</v>
      </c>
      <c r="BZ44" s="242">
        <f>BZ39*Assumptions!$F$17</f>
        <v>190317.60743916425</v>
      </c>
      <c r="CA44" s="242">
        <f>CA39*Assumptions!$F$17</f>
        <v>190317.60743916425</v>
      </c>
      <c r="CB44" s="242">
        <f>CB39*Assumptions!$F$17</f>
        <v>190317.60743916425</v>
      </c>
      <c r="CC44" s="242">
        <f>CC39*Assumptions!$F$17</f>
        <v>190317.60743916425</v>
      </c>
      <c r="CD44" s="242">
        <f>CD39*Assumptions!$F$17</f>
        <v>190317.60743916425</v>
      </c>
      <c r="CE44" s="242">
        <f>CE39*Assumptions!$F$17</f>
        <v>190317.60743916425</v>
      </c>
      <c r="CF44" s="242">
        <f>CF39*Assumptions!$F$17</f>
        <v>190317.60743916425</v>
      </c>
      <c r="CG44" s="242">
        <f>CG39*Assumptions!$F$17</f>
        <v>190317.60743916425</v>
      </c>
      <c r="CH44" s="242">
        <f>CH39*Assumptions!$F$17</f>
        <v>190317.60743916425</v>
      </c>
      <c r="CI44" s="242">
        <f>CI39*Assumptions!$F$17</f>
        <v>190317.60743916425</v>
      </c>
      <c r="CJ44" s="242">
        <f>CJ39*Assumptions!$F$17</f>
        <v>190317.60743916425</v>
      </c>
      <c r="CK44" s="242">
        <f>CK39*Assumptions!$F$17</f>
        <v>190317.60743916425</v>
      </c>
      <c r="CL44" s="242">
        <f>CL39*Assumptions!$F$17</f>
        <v>196027.13566233919</v>
      </c>
      <c r="CM44" s="242">
        <f>CM39*Assumptions!$F$17</f>
        <v>196027.13566233919</v>
      </c>
      <c r="CN44" s="242">
        <f>CN39*Assumptions!$F$17</f>
        <v>196027.13566233919</v>
      </c>
      <c r="CO44" s="242">
        <f>CO39*Assumptions!$F$17</f>
        <v>196027.13566233919</v>
      </c>
      <c r="CP44" s="242">
        <f>CP39*Assumptions!$F$17</f>
        <v>196027.13566233919</v>
      </c>
      <c r="CQ44" s="242">
        <f>CQ39*Assumptions!$F$17</f>
        <v>196027.13566233919</v>
      </c>
      <c r="CR44" s="242">
        <f>CR39*Assumptions!$F$17</f>
        <v>196027.13566233919</v>
      </c>
      <c r="CS44" s="242">
        <f>CS39*Assumptions!$F$17</f>
        <v>196027.13566233919</v>
      </c>
      <c r="CT44" s="242">
        <f>CT39*Assumptions!$F$17</f>
        <v>196027.13566233919</v>
      </c>
      <c r="CU44" s="242">
        <f>CU39*Assumptions!$F$17</f>
        <v>196027.13566233919</v>
      </c>
      <c r="CV44" s="242">
        <f>CV39*Assumptions!$F$17</f>
        <v>196027.13566233919</v>
      </c>
      <c r="CW44" s="242">
        <f>CW39*Assumptions!$F$17</f>
        <v>196027.13566233919</v>
      </c>
      <c r="CX44" s="242">
        <f>CX39*Assumptions!$F$17</f>
        <v>201907.94973220932</v>
      </c>
      <c r="CY44" s="242">
        <f>CY39*Assumptions!$F$17</f>
        <v>201907.94973220932</v>
      </c>
      <c r="CZ44" s="242">
        <f>CZ39*Assumptions!$F$17</f>
        <v>201907.94973220932</v>
      </c>
      <c r="DA44" s="242">
        <f>DA39*Assumptions!$F$17</f>
        <v>201907.94973220932</v>
      </c>
      <c r="DB44" s="242">
        <f>DB39*Assumptions!$F$17</f>
        <v>201907.94973220932</v>
      </c>
      <c r="DC44" s="242">
        <f>DC39*Assumptions!$F$17</f>
        <v>201907.94973220932</v>
      </c>
      <c r="DD44" s="242">
        <f>DD39*Assumptions!$F$17</f>
        <v>201907.94973220932</v>
      </c>
      <c r="DE44" s="242">
        <f>DE39*Assumptions!$F$17</f>
        <v>201907.94973220932</v>
      </c>
      <c r="DF44" s="242">
        <f>DF39*Assumptions!$F$17</f>
        <v>201907.94973220932</v>
      </c>
      <c r="DG44" s="242">
        <f>DG39*Assumptions!$F$17</f>
        <v>201907.94973220932</v>
      </c>
      <c r="DH44" s="242">
        <f>DH39*Assumptions!$F$17</f>
        <v>201907.94973220932</v>
      </c>
      <c r="DI44" s="242">
        <f>DI39*Assumptions!$F$17</f>
        <v>201907.94973220932</v>
      </c>
      <c r="DJ44" s="242">
        <f>DJ39*Assumptions!$F$17</f>
        <v>207965.18822417562</v>
      </c>
      <c r="DK44" s="242">
        <f>DK39*Assumptions!$F$17</f>
        <v>207965.18822417562</v>
      </c>
      <c r="DL44" s="242">
        <f>DL39*Assumptions!$F$17</f>
        <v>207965.18822417562</v>
      </c>
      <c r="DM44" s="242">
        <f>DM39*Assumptions!$F$17</f>
        <v>207965.18822417562</v>
      </c>
      <c r="DN44" s="242">
        <f>DN39*Assumptions!$F$17</f>
        <v>207965.18822417562</v>
      </c>
      <c r="DO44" s="242">
        <f>DO39*Assumptions!$F$17</f>
        <v>207965.18822417562</v>
      </c>
      <c r="DP44" s="242">
        <f>DP39*Assumptions!$F$17</f>
        <v>207965.18822417562</v>
      </c>
      <c r="DQ44" s="242">
        <f>DQ39*Assumptions!$F$17</f>
        <v>207965.18822417562</v>
      </c>
      <c r="DR44" s="242">
        <f>DR39*Assumptions!$F$17</f>
        <v>207965.18822417562</v>
      </c>
      <c r="DS44" s="242">
        <f>DS39*Assumptions!$F$17</f>
        <v>207965.18822417562</v>
      </c>
      <c r="DT44" s="242">
        <f>DT39*Assumptions!$F$17</f>
        <v>207965.18822417562</v>
      </c>
      <c r="DU44" s="242">
        <f>DU39*Assumptions!$F$17</f>
        <v>207965.18822417562</v>
      </c>
      <c r="DV44" s="242">
        <f>DV39*Assumptions!$F$17</f>
        <v>214204.14387090091</v>
      </c>
      <c r="DW44" s="242">
        <f>DW39*Assumptions!$F$17</f>
        <v>214204.14387090091</v>
      </c>
      <c r="DX44" s="242">
        <f>DX39*Assumptions!$F$17</f>
        <v>214204.14387090091</v>
      </c>
      <c r="DY44" s="242">
        <f>DY39*Assumptions!$F$17</f>
        <v>214204.14387090091</v>
      </c>
      <c r="DZ44" s="242">
        <f>DZ39*Assumptions!$F$17</f>
        <v>214204.14387090091</v>
      </c>
      <c r="EA44" s="242">
        <f>EA39*Assumptions!$F$17</f>
        <v>214204.14387090091</v>
      </c>
      <c r="EB44" s="242">
        <f>EB39*Assumptions!$F$17</f>
        <v>214204.14387090091</v>
      </c>
      <c r="EC44" s="242">
        <f>EC39*Assumptions!$F$17</f>
        <v>214204.14387090091</v>
      </c>
      <c r="ED44" s="242">
        <f>ED39*Assumptions!$F$17</f>
        <v>214204.14387090091</v>
      </c>
      <c r="EE44" s="242">
        <f>EE39*Assumptions!$F$17</f>
        <v>214204.14387090091</v>
      </c>
      <c r="EF44" s="242">
        <f>EF39*Assumptions!$F$17</f>
        <v>214204.14387090091</v>
      </c>
      <c r="EG44" s="242">
        <f>EG39*Assumptions!$F$17</f>
        <v>214204.14387090091</v>
      </c>
      <c r="EH44" s="242">
        <f>EH39*Assumptions!$F$17</f>
        <v>220630.26818702795</v>
      </c>
      <c r="EI44" s="242">
        <f>EI39*Assumptions!$F$17</f>
        <v>220630.26818702795</v>
      </c>
      <c r="EJ44" s="242">
        <f>EJ39*Assumptions!$F$17</f>
        <v>220630.26818702795</v>
      </c>
      <c r="EK44" s="242">
        <f>EK39*Assumptions!$F$17</f>
        <v>220630.26818702795</v>
      </c>
      <c r="EL44" s="242">
        <f>EL39*Assumptions!$F$17</f>
        <v>220630.26818702795</v>
      </c>
      <c r="EM44" s="242">
        <f>EM39*Assumptions!$F$17</f>
        <v>220630.26818702795</v>
      </c>
      <c r="EN44" s="242">
        <f>EN39*Assumptions!$F$17</f>
        <v>220630.26818702795</v>
      </c>
      <c r="EO44" s="242">
        <f>EO39*Assumptions!$F$17</f>
        <v>220630.26818702795</v>
      </c>
      <c r="EP44" s="242">
        <f>EP39*Assumptions!$F$17</f>
        <v>220630.26818702795</v>
      </c>
      <c r="EQ44" s="242">
        <f>EQ39*Assumptions!$F$17</f>
        <v>220630.26818702795</v>
      </c>
      <c r="ER44" s="242">
        <f>ER39*Assumptions!$F$17</f>
        <v>220630.26818702795</v>
      </c>
      <c r="ES44" s="242">
        <f>ES39*Assumptions!$F$17</f>
        <v>220630.26818702795</v>
      </c>
      <c r="ET44" s="242">
        <f>ET39*Assumptions!$F$17</f>
        <v>227249.17623263874</v>
      </c>
    </row>
    <row r="45" spans="2:150" x14ac:dyDescent="0.2">
      <c r="B45" t="s">
        <v>149</v>
      </c>
      <c r="D45" s="242">
        <f t="shared" si="510"/>
        <v>0</v>
      </c>
      <c r="F45" s="242">
        <f>F41*Assumptions!$F$30*Assumptions!$I$6</f>
        <v>0</v>
      </c>
      <c r="G45" s="242">
        <f>G41*Assumptions!$F$30*Assumptions!$I$6</f>
        <v>0</v>
      </c>
      <c r="H45" s="242">
        <f>H41*Assumptions!$F$30*Assumptions!$I$6</f>
        <v>0</v>
      </c>
      <c r="I45" s="242">
        <f>I41*Assumptions!$F$30*Assumptions!$I$6</f>
        <v>0</v>
      </c>
      <c r="J45" s="242">
        <f>J41*Assumptions!$F$30*Assumptions!$I$6</f>
        <v>0</v>
      </c>
      <c r="K45" s="242">
        <f>K41*Assumptions!$F$30*Assumptions!$I$6</f>
        <v>0</v>
      </c>
      <c r="L45" s="242">
        <f>L41*Assumptions!$F$30*Assumptions!$I$6</f>
        <v>0</v>
      </c>
      <c r="M45" s="242">
        <f>M41*Assumptions!$F$30*Assumptions!$I$6</f>
        <v>0</v>
      </c>
      <c r="N45" s="242">
        <f>N41*Assumptions!$F$30*Assumptions!$I$6</f>
        <v>0</v>
      </c>
      <c r="O45" s="242">
        <f>O41*Assumptions!$F$30*Assumptions!$I$6</f>
        <v>0</v>
      </c>
      <c r="P45" s="242">
        <f>P41*Assumptions!$F$30*Assumptions!$I$6</f>
        <v>0</v>
      </c>
      <c r="Q45" s="242">
        <f>Q41*Assumptions!$F$30*Assumptions!$I$6</f>
        <v>0</v>
      </c>
      <c r="R45" s="242">
        <f>R41*Assumptions!$F$30*Assumptions!$I$6</f>
        <v>0</v>
      </c>
      <c r="S45" s="242">
        <f>S41*Assumptions!$F$30*Assumptions!$I$6</f>
        <v>0</v>
      </c>
      <c r="T45" s="242">
        <f>T41*Assumptions!$F$30*Assumptions!$I$6</f>
        <v>0</v>
      </c>
      <c r="U45" s="242">
        <f>U41*Assumptions!$F$30*Assumptions!$I$6</f>
        <v>0</v>
      </c>
      <c r="V45" s="242">
        <f>V41*Assumptions!$F$30*Assumptions!$I$6</f>
        <v>0</v>
      </c>
      <c r="W45" s="242">
        <f>W41*Assumptions!$F$30*Assumptions!$I$6</f>
        <v>0</v>
      </c>
      <c r="X45" s="242">
        <f>X41*Assumptions!$F$30*Assumptions!$I$6</f>
        <v>0</v>
      </c>
      <c r="Y45" s="242">
        <f>Y41*Assumptions!$F$30*Assumptions!$I$6</f>
        <v>0</v>
      </c>
      <c r="Z45" s="242">
        <f>Z41*Assumptions!$F$30*Assumptions!$I$6</f>
        <v>0</v>
      </c>
      <c r="AA45" s="242">
        <f>AA41*Assumptions!$F$30*Assumptions!$I$6</f>
        <v>0</v>
      </c>
      <c r="AB45" s="242">
        <f>AB41*Assumptions!$F$30*Assumptions!$I$6</f>
        <v>0</v>
      </c>
      <c r="AC45" s="242">
        <f>AC41*Assumptions!$F$30*Assumptions!$I$6</f>
        <v>0</v>
      </c>
      <c r="AD45" s="242">
        <f>AD41*Assumptions!$F$30*Assumptions!$I$6</f>
        <v>0</v>
      </c>
      <c r="AE45" s="242">
        <f>AE41*Assumptions!$F$30*Assumptions!$I$6</f>
        <v>0</v>
      </c>
      <c r="AF45" s="242">
        <f>AF41*Assumptions!$F$30*Assumptions!$I$6</f>
        <v>0</v>
      </c>
      <c r="AG45" s="242">
        <f>AG41*Assumptions!$F$30*Assumptions!$I$6</f>
        <v>0</v>
      </c>
      <c r="AH45" s="242">
        <f>AH41*Assumptions!$F$30*Assumptions!$I$6</f>
        <v>0</v>
      </c>
      <c r="AI45" s="242">
        <f>AI41*Assumptions!$F$30*Assumptions!$I$6</f>
        <v>0</v>
      </c>
      <c r="AJ45" s="242">
        <f>AJ41*Assumptions!$F$30*Assumptions!$I$6</f>
        <v>0</v>
      </c>
      <c r="AK45" s="242">
        <f>AK41*Assumptions!$F$30*Assumptions!$I$6</f>
        <v>0</v>
      </c>
      <c r="AL45" s="242">
        <f>AL41*Assumptions!$F$30*Assumptions!$I$6</f>
        <v>0</v>
      </c>
      <c r="AM45" s="242">
        <f>AM41*Assumptions!$F$30*Assumptions!$I$6</f>
        <v>0</v>
      </c>
      <c r="AN45" s="242">
        <f>AN41*Assumptions!$F$30*Assumptions!$I$6</f>
        <v>0</v>
      </c>
      <c r="AO45" s="242">
        <f>AO41*Assumptions!$F$30*Assumptions!$I$6</f>
        <v>0</v>
      </c>
      <c r="AP45" s="242">
        <f>AP41*Assumptions!$F$30*Assumptions!$I$6</f>
        <v>0</v>
      </c>
      <c r="AQ45" s="242">
        <f>AQ41*Assumptions!$F$30*Assumptions!$I$6</f>
        <v>0</v>
      </c>
      <c r="AR45" s="242">
        <f>AR41*Assumptions!$F$30*Assumptions!$I$6</f>
        <v>0</v>
      </c>
      <c r="AS45" s="242">
        <f>AS41*Assumptions!$F$30*Assumptions!$I$6</f>
        <v>0</v>
      </c>
      <c r="AT45" s="242">
        <f>AT41*Assumptions!$F$30*Assumptions!$I$6</f>
        <v>0</v>
      </c>
      <c r="AU45" s="242">
        <f>AU41*Assumptions!$F$30*Assumptions!$I$6</f>
        <v>0</v>
      </c>
      <c r="AV45" s="242">
        <f>AV41*Assumptions!$F$30*Assumptions!$I$6</f>
        <v>0</v>
      </c>
      <c r="AW45" s="242">
        <f>AW41*Assumptions!$F$30*Assumptions!$I$6</f>
        <v>0</v>
      </c>
      <c r="AX45" s="242">
        <f>AX41*Assumptions!$F$30*Assumptions!$I$6</f>
        <v>0</v>
      </c>
      <c r="AY45" s="242">
        <f>AY41*Assumptions!$F$30*Assumptions!$I$6</f>
        <v>0</v>
      </c>
      <c r="AZ45" s="242">
        <f>AZ41*Assumptions!$F$30*Assumptions!$I$6</f>
        <v>0</v>
      </c>
      <c r="BA45" s="242">
        <f>BA41*Assumptions!$F$30*Assumptions!$I$6</f>
        <v>0</v>
      </c>
      <c r="BB45" s="242">
        <f>BB41*Assumptions!$F$30*Assumptions!$I$6</f>
        <v>0</v>
      </c>
      <c r="BC45" s="242">
        <f>BC41*Assumptions!$F$30*Assumptions!$I$6</f>
        <v>0</v>
      </c>
      <c r="BD45" s="242">
        <f>BD41*Assumptions!$F$30*Assumptions!$I$6</f>
        <v>0</v>
      </c>
      <c r="BE45" s="242">
        <f>BE41*Assumptions!$F$30*Assumptions!$I$6</f>
        <v>0</v>
      </c>
      <c r="BF45" s="242">
        <f>BF41*Assumptions!$F$30*Assumptions!$I$6</f>
        <v>0</v>
      </c>
      <c r="BG45" s="242">
        <f>BG41*Assumptions!$F$30*Assumptions!$I$6</f>
        <v>0</v>
      </c>
      <c r="BH45" s="242">
        <f>BH41*Assumptions!$F$30*Assumptions!$I$6</f>
        <v>0</v>
      </c>
      <c r="BI45" s="242">
        <f>BI41*Assumptions!$F$30*Assumptions!$I$6</f>
        <v>0</v>
      </c>
      <c r="BJ45" s="242">
        <f>BJ41*Assumptions!$F$30*Assumptions!$I$6</f>
        <v>0</v>
      </c>
      <c r="BK45" s="242">
        <f>BK41*Assumptions!$F$30*Assumptions!$I$6</f>
        <v>0</v>
      </c>
      <c r="BL45" s="242">
        <f>BL41*Assumptions!$F$30*Assumptions!$I$6</f>
        <v>0</v>
      </c>
      <c r="BM45" s="242">
        <f>BM41*Assumptions!$F$30*Assumptions!$I$6</f>
        <v>0</v>
      </c>
      <c r="BN45" s="242">
        <f>BN41*Assumptions!$F$30*Assumptions!$I$6</f>
        <v>0</v>
      </c>
      <c r="BO45" s="242">
        <f>BO41*Assumptions!$F$30*Assumptions!$I$6</f>
        <v>0</v>
      </c>
      <c r="BP45" s="242">
        <f>BP41*Assumptions!$F$30*Assumptions!$I$6</f>
        <v>0</v>
      </c>
      <c r="BQ45" s="242">
        <f>BQ41*Assumptions!$F$30*Assumptions!$I$6</f>
        <v>0</v>
      </c>
      <c r="BR45" s="242">
        <f>BR41*Assumptions!$F$30*Assumptions!$I$6</f>
        <v>0</v>
      </c>
      <c r="BS45" s="242">
        <f>BS41*Assumptions!$F$30*Assumptions!$I$6</f>
        <v>0</v>
      </c>
      <c r="BT45" s="242">
        <f>BT41*Assumptions!$F$30*Assumptions!$I$6</f>
        <v>0</v>
      </c>
      <c r="BU45" s="242">
        <f>BU41*Assumptions!$F$30*Assumptions!$I$6</f>
        <v>0</v>
      </c>
      <c r="BV45" s="242">
        <f>BV41*Assumptions!$F$30*Assumptions!$I$6</f>
        <v>0</v>
      </c>
      <c r="BW45" s="242">
        <f>BW41*Assumptions!$F$30*Assumptions!$I$6</f>
        <v>0</v>
      </c>
      <c r="BX45" s="242">
        <f>BX41*Assumptions!$F$30*Assumptions!$I$6</f>
        <v>0</v>
      </c>
      <c r="BY45" s="242">
        <f>BY41*Assumptions!$F$30*Assumptions!$I$6</f>
        <v>0</v>
      </c>
      <c r="BZ45" s="242">
        <f>BZ41*Assumptions!$F$30*Assumptions!$I$6</f>
        <v>0</v>
      </c>
      <c r="CA45" s="242">
        <f>CA41*Assumptions!$F$30*Assumptions!$I$6</f>
        <v>0</v>
      </c>
      <c r="CB45" s="242">
        <f>CB41*Assumptions!$F$30*Assumptions!$I$6</f>
        <v>0</v>
      </c>
      <c r="CC45" s="242">
        <f>CC41*Assumptions!$F$30*Assumptions!$I$6</f>
        <v>0</v>
      </c>
      <c r="CD45" s="242">
        <f>CD41*Assumptions!$F$30*Assumptions!$I$6</f>
        <v>0</v>
      </c>
      <c r="CE45" s="242">
        <f>CE41*Assumptions!$F$30*Assumptions!$I$6</f>
        <v>0</v>
      </c>
      <c r="CF45" s="242">
        <f>CF41*Assumptions!$F$30*Assumptions!$I$6</f>
        <v>0</v>
      </c>
      <c r="CG45" s="242">
        <f>CG41*Assumptions!$F$30*Assumptions!$I$6</f>
        <v>0</v>
      </c>
      <c r="CH45" s="242">
        <f>CH41*Assumptions!$F$30*Assumptions!$I$6</f>
        <v>0</v>
      </c>
      <c r="CI45" s="242">
        <f>CI41*Assumptions!$F$30*Assumptions!$I$6</f>
        <v>0</v>
      </c>
      <c r="CJ45" s="242">
        <f>CJ41*Assumptions!$F$30*Assumptions!$I$6</f>
        <v>0</v>
      </c>
      <c r="CK45" s="242">
        <f>CK41*Assumptions!$F$30*Assumptions!$I$6</f>
        <v>0</v>
      </c>
      <c r="CL45" s="242">
        <f>CL41*Assumptions!$F$30*Assumptions!$I$6</f>
        <v>0</v>
      </c>
      <c r="CM45" s="242">
        <f>CM41*Assumptions!$F$30*Assumptions!$I$6</f>
        <v>0</v>
      </c>
      <c r="CN45" s="242">
        <f>CN41*Assumptions!$F$30*Assumptions!$I$6</f>
        <v>0</v>
      </c>
      <c r="CO45" s="242">
        <f>CO41*Assumptions!$F$30*Assumptions!$I$6</f>
        <v>0</v>
      </c>
      <c r="CP45" s="242">
        <f>CP41*Assumptions!$F$30*Assumptions!$I$6</f>
        <v>0</v>
      </c>
      <c r="CQ45" s="242">
        <f>CQ41*Assumptions!$F$30*Assumptions!$I$6</f>
        <v>0</v>
      </c>
      <c r="CR45" s="242">
        <f>CR41*Assumptions!$F$30*Assumptions!$I$6</f>
        <v>0</v>
      </c>
      <c r="CS45" s="242">
        <f>CS41*Assumptions!$F$30*Assumptions!$I$6</f>
        <v>0</v>
      </c>
      <c r="CT45" s="242">
        <f>CT41*Assumptions!$F$30*Assumptions!$I$6</f>
        <v>0</v>
      </c>
      <c r="CU45" s="242">
        <f>CU41*Assumptions!$F$30*Assumptions!$I$6</f>
        <v>0</v>
      </c>
      <c r="CV45" s="242">
        <f>CV41*Assumptions!$F$30*Assumptions!$I$6</f>
        <v>0</v>
      </c>
      <c r="CW45" s="242">
        <f>CW41*Assumptions!$F$30*Assumptions!$I$6</f>
        <v>0</v>
      </c>
      <c r="CX45" s="242">
        <f>CX41*Assumptions!$F$30*Assumptions!$I$6</f>
        <v>0</v>
      </c>
      <c r="CY45" s="242">
        <f>CY41*Assumptions!$F$30*Assumptions!$I$6</f>
        <v>0</v>
      </c>
      <c r="CZ45" s="242">
        <f>CZ41*Assumptions!$F$30*Assumptions!$I$6</f>
        <v>0</v>
      </c>
      <c r="DA45" s="242">
        <f>DA41*Assumptions!$F$30*Assumptions!$I$6</f>
        <v>0</v>
      </c>
      <c r="DB45" s="242">
        <f>DB41*Assumptions!$F$30*Assumptions!$I$6</f>
        <v>0</v>
      </c>
      <c r="DC45" s="242">
        <f>DC41*Assumptions!$F$30*Assumptions!$I$6</f>
        <v>0</v>
      </c>
      <c r="DD45" s="242">
        <f>DD41*Assumptions!$F$30*Assumptions!$I$6</f>
        <v>0</v>
      </c>
      <c r="DE45" s="242">
        <f>DE41*Assumptions!$F$30*Assumptions!$I$6</f>
        <v>0</v>
      </c>
      <c r="DF45" s="242">
        <f>DF41*Assumptions!$F$30*Assumptions!$I$6</f>
        <v>0</v>
      </c>
      <c r="DG45" s="242">
        <f>DG41*Assumptions!$F$30*Assumptions!$I$6</f>
        <v>0</v>
      </c>
      <c r="DH45" s="242">
        <f>DH41*Assumptions!$F$30*Assumptions!$I$6</f>
        <v>0</v>
      </c>
      <c r="DI45" s="242">
        <f>DI41*Assumptions!$F$30*Assumptions!$I$6</f>
        <v>0</v>
      </c>
      <c r="DJ45" s="242">
        <f>DJ41*Assumptions!$F$30*Assumptions!$I$6</f>
        <v>0</v>
      </c>
      <c r="DK45" s="242">
        <f>DK41*Assumptions!$F$30*Assumptions!$I$6</f>
        <v>0</v>
      </c>
      <c r="DL45" s="242">
        <f>DL41*Assumptions!$F$30*Assumptions!$I$6</f>
        <v>0</v>
      </c>
      <c r="DM45" s="242">
        <f>DM41*Assumptions!$F$30*Assumptions!$I$6</f>
        <v>0</v>
      </c>
      <c r="DN45" s="242">
        <f>DN41*Assumptions!$F$30*Assumptions!$I$6</f>
        <v>0</v>
      </c>
      <c r="DO45" s="242">
        <f>DO41*Assumptions!$F$30*Assumptions!$I$6</f>
        <v>0</v>
      </c>
      <c r="DP45" s="242">
        <f>DP41*Assumptions!$F$30*Assumptions!$I$6</f>
        <v>0</v>
      </c>
      <c r="DQ45" s="242">
        <f>DQ41*Assumptions!$F$30*Assumptions!$I$6</f>
        <v>0</v>
      </c>
      <c r="DR45" s="242">
        <f>DR41*Assumptions!$F$30*Assumptions!$I$6</f>
        <v>0</v>
      </c>
      <c r="DS45" s="242">
        <f>DS41*Assumptions!$F$30*Assumptions!$I$6</f>
        <v>0</v>
      </c>
      <c r="DT45" s="242">
        <f>DT41*Assumptions!$F$30*Assumptions!$I$6</f>
        <v>0</v>
      </c>
      <c r="DU45" s="242">
        <f>DU41*Assumptions!$F$30*Assumptions!$I$6</f>
        <v>0</v>
      </c>
      <c r="DV45" s="242">
        <f>DV41*Assumptions!$F$30*Assumptions!$I$6</f>
        <v>0</v>
      </c>
      <c r="DW45" s="242">
        <f>DW41*Assumptions!$F$30*Assumptions!$I$6</f>
        <v>0</v>
      </c>
      <c r="DX45" s="242">
        <f>DX41*Assumptions!$F$30*Assumptions!$I$6</f>
        <v>0</v>
      </c>
      <c r="DY45" s="242">
        <f>DY41*Assumptions!$F$30*Assumptions!$I$6</f>
        <v>0</v>
      </c>
      <c r="DZ45" s="242">
        <f>DZ41*Assumptions!$F$30*Assumptions!$I$6</f>
        <v>0</v>
      </c>
      <c r="EA45" s="242">
        <f>EA41*Assumptions!$F$30*Assumptions!$I$6</f>
        <v>0</v>
      </c>
      <c r="EB45" s="242">
        <f>EB41*Assumptions!$F$30*Assumptions!$I$6</f>
        <v>0</v>
      </c>
      <c r="EC45" s="242">
        <f>EC41*Assumptions!$F$30*Assumptions!$I$6</f>
        <v>0</v>
      </c>
      <c r="ED45" s="242">
        <f>ED41*Assumptions!$F$30*Assumptions!$I$6</f>
        <v>0</v>
      </c>
      <c r="EE45" s="242">
        <f>EE41*Assumptions!$F$30*Assumptions!$I$6</f>
        <v>0</v>
      </c>
      <c r="EF45" s="242">
        <f>EF41*Assumptions!$F$30*Assumptions!$I$6</f>
        <v>0</v>
      </c>
      <c r="EG45" s="242">
        <f>EG41*Assumptions!$F$30*Assumptions!$I$6</f>
        <v>0</v>
      </c>
      <c r="EH45" s="242">
        <f>EH41*Assumptions!$F$30*Assumptions!$I$6</f>
        <v>0</v>
      </c>
      <c r="EI45" s="242">
        <f>EI41*Assumptions!$F$30*Assumptions!$I$6</f>
        <v>0</v>
      </c>
      <c r="EJ45" s="242">
        <f>EJ41*Assumptions!$F$30*Assumptions!$I$6</f>
        <v>0</v>
      </c>
      <c r="EK45" s="242">
        <f>EK41*Assumptions!$F$30*Assumptions!$I$6</f>
        <v>0</v>
      </c>
      <c r="EL45" s="242">
        <f>EL41*Assumptions!$F$30*Assumptions!$I$6</f>
        <v>0</v>
      </c>
      <c r="EM45" s="242">
        <f>EM41*Assumptions!$F$30*Assumptions!$I$6</f>
        <v>0</v>
      </c>
      <c r="EN45" s="242">
        <f>EN41*Assumptions!$F$30*Assumptions!$I$6</f>
        <v>0</v>
      </c>
      <c r="EO45" s="242">
        <f>EO41*Assumptions!$F$30*Assumptions!$I$6</f>
        <v>0</v>
      </c>
      <c r="EP45" s="242">
        <f>EP41*Assumptions!$F$30*Assumptions!$I$6</f>
        <v>0</v>
      </c>
      <c r="EQ45" s="242">
        <f>EQ41*Assumptions!$F$30*Assumptions!$I$6</f>
        <v>0</v>
      </c>
      <c r="ER45" s="242">
        <f>ER41*Assumptions!$F$30*Assumptions!$I$6</f>
        <v>0</v>
      </c>
      <c r="ES45" s="242">
        <f>ES41*Assumptions!$F$30*Assumptions!$I$6</f>
        <v>0</v>
      </c>
      <c r="ET45" s="242">
        <f>ET41*Assumptions!$F$30*Assumptions!$I$6</f>
        <v>0</v>
      </c>
    </row>
    <row r="46" spans="2:150" x14ac:dyDescent="0.2">
      <c r="B46" t="s">
        <v>150</v>
      </c>
      <c r="D46" s="242">
        <f t="shared" si="510"/>
        <v>1232736.3170036292</v>
      </c>
      <c r="F46" s="242">
        <f>F42*Assumptions!$C$29</f>
        <v>0</v>
      </c>
      <c r="G46" s="242">
        <f>G42*Assumptions!$C$29</f>
        <v>0</v>
      </c>
      <c r="H46" s="242">
        <f>H42*Assumptions!$C$29</f>
        <v>0</v>
      </c>
      <c r="I46" s="242">
        <f>I42*Assumptions!$C$29</f>
        <v>0</v>
      </c>
      <c r="J46" s="242">
        <f>J42*Assumptions!$C$29</f>
        <v>0</v>
      </c>
      <c r="K46" s="242">
        <f>K42*Assumptions!$C$29</f>
        <v>0</v>
      </c>
      <c r="L46" s="242">
        <f>L42*Assumptions!$C$29</f>
        <v>0</v>
      </c>
      <c r="M46" s="242">
        <f>M42*Assumptions!$C$29</f>
        <v>0</v>
      </c>
      <c r="N46" s="242">
        <f>N42*Assumptions!$C$29</f>
        <v>0</v>
      </c>
      <c r="O46" s="242">
        <f>O42*Assumptions!$C$29</f>
        <v>0</v>
      </c>
      <c r="P46" s="242">
        <f>P42*Assumptions!$C$29</f>
        <v>0</v>
      </c>
      <c r="Q46" s="242">
        <f>Q42*Assumptions!$C$29</f>
        <v>0</v>
      </c>
      <c r="R46" s="242">
        <f>R42*Assumptions!$C$29</f>
        <v>0</v>
      </c>
      <c r="S46" s="242">
        <f>S42*Assumptions!$C$29</f>
        <v>0</v>
      </c>
      <c r="T46" s="242">
        <f>T42*Assumptions!$C$29</f>
        <v>0</v>
      </c>
      <c r="U46" s="242">
        <f>U42*Assumptions!$C$29</f>
        <v>0</v>
      </c>
      <c r="V46" s="242">
        <f>V42*Assumptions!$C$29</f>
        <v>0</v>
      </c>
      <c r="W46" s="242">
        <f>W42*Assumptions!$C$29</f>
        <v>0</v>
      </c>
      <c r="X46" s="242">
        <f>X42*Assumptions!$C$29</f>
        <v>0</v>
      </c>
      <c r="Y46" s="242">
        <f>Y42*Assumptions!$C$29</f>
        <v>0</v>
      </c>
      <c r="Z46" s="242">
        <f>Z42*Assumptions!$C$29</f>
        <v>0</v>
      </c>
      <c r="AA46" s="242">
        <f>AA42*Assumptions!$C$29</f>
        <v>0</v>
      </c>
      <c r="AB46" s="242">
        <f>AB42*Assumptions!$C$29</f>
        <v>0</v>
      </c>
      <c r="AC46" s="242">
        <f>AC42*Assumptions!$C$29</f>
        <v>0</v>
      </c>
      <c r="AD46" s="242">
        <f>AD42*Assumptions!$C$29</f>
        <v>0</v>
      </c>
      <c r="AE46" s="242">
        <f>AE42*Assumptions!$C$29</f>
        <v>0</v>
      </c>
      <c r="AF46" s="242">
        <f>AF42*Assumptions!$C$29</f>
        <v>0</v>
      </c>
      <c r="AG46" s="242">
        <f>AG42*Assumptions!$C$29</f>
        <v>0</v>
      </c>
      <c r="AH46" s="242">
        <f>AH42*Assumptions!$C$29</f>
        <v>0</v>
      </c>
      <c r="AI46" s="242">
        <f>AI42*Assumptions!$C$29</f>
        <v>0</v>
      </c>
      <c r="AJ46" s="242">
        <f>AJ42*Assumptions!$C$29</f>
        <v>0</v>
      </c>
      <c r="AK46" s="242">
        <f>AK42*Assumptions!$C$29</f>
        <v>0</v>
      </c>
      <c r="AL46" s="242">
        <f>AL42*Assumptions!$C$29</f>
        <v>0</v>
      </c>
      <c r="AM46" s="242">
        <f>AM42*Assumptions!$C$29</f>
        <v>0</v>
      </c>
      <c r="AN46" s="242">
        <f>AN42*Assumptions!$C$29</f>
        <v>0</v>
      </c>
      <c r="AO46" s="242">
        <f>AO42*Assumptions!$C$29</f>
        <v>9900</v>
      </c>
      <c r="AP46" s="242">
        <f>AP42*Assumptions!$C$29</f>
        <v>9900</v>
      </c>
      <c r="AQ46" s="242">
        <f>AQ42*Assumptions!$C$29</f>
        <v>9900</v>
      </c>
      <c r="AR46" s="242">
        <f>AR42*Assumptions!$C$29</f>
        <v>9900</v>
      </c>
      <c r="AS46" s="242">
        <f>AS42*Assumptions!$C$29</f>
        <v>9900</v>
      </c>
      <c r="AT46" s="242">
        <f>AT42*Assumptions!$C$29</f>
        <v>9900</v>
      </c>
      <c r="AU46" s="242">
        <f>AU42*Assumptions!$C$29</f>
        <v>9900</v>
      </c>
      <c r="AV46" s="242">
        <f>AV42*Assumptions!$C$29</f>
        <v>9900</v>
      </c>
      <c r="AW46" s="242">
        <f>AW42*Assumptions!$C$29</f>
        <v>9900</v>
      </c>
      <c r="AX46" s="242">
        <f>AX42*Assumptions!$C$29</f>
        <v>9900</v>
      </c>
      <c r="AY46" s="242">
        <f>AY42*Assumptions!$C$29</f>
        <v>9900</v>
      </c>
      <c r="AZ46" s="242">
        <f>AZ42*Assumptions!$C$29</f>
        <v>9900</v>
      </c>
      <c r="BA46" s="242">
        <f>BA42*Assumptions!$C$29</f>
        <v>10197</v>
      </c>
      <c r="BB46" s="242">
        <f>BB42*Assumptions!$C$29</f>
        <v>10197</v>
      </c>
      <c r="BC46" s="242">
        <f>BC42*Assumptions!$C$29</f>
        <v>10197</v>
      </c>
      <c r="BD46" s="242">
        <f>BD42*Assumptions!$C$29</f>
        <v>10197</v>
      </c>
      <c r="BE46" s="242">
        <f>BE42*Assumptions!$C$29</f>
        <v>10197</v>
      </c>
      <c r="BF46" s="242">
        <f>BF42*Assumptions!$C$29</f>
        <v>10197</v>
      </c>
      <c r="BG46" s="242">
        <f>BG42*Assumptions!$C$29</f>
        <v>10197</v>
      </c>
      <c r="BH46" s="242">
        <f>BH42*Assumptions!$C$29</f>
        <v>10197</v>
      </c>
      <c r="BI46" s="242">
        <f>BI42*Assumptions!$C$29</f>
        <v>10197</v>
      </c>
      <c r="BJ46" s="242">
        <f>BJ42*Assumptions!$C$29</f>
        <v>10197</v>
      </c>
      <c r="BK46" s="242">
        <f>BK42*Assumptions!$C$29</f>
        <v>10197</v>
      </c>
      <c r="BL46" s="242">
        <f>BL42*Assumptions!$C$29</f>
        <v>10197</v>
      </c>
      <c r="BM46" s="242">
        <f>BM42*Assumptions!$C$29</f>
        <v>10502.91</v>
      </c>
      <c r="BN46" s="242">
        <f>BN42*Assumptions!$C$29</f>
        <v>10502.91</v>
      </c>
      <c r="BO46" s="242">
        <f>BO42*Assumptions!$C$29</f>
        <v>10502.91</v>
      </c>
      <c r="BP46" s="242">
        <f>BP42*Assumptions!$C$29</f>
        <v>10502.91</v>
      </c>
      <c r="BQ46" s="242">
        <f>BQ42*Assumptions!$C$29</f>
        <v>10502.91</v>
      </c>
      <c r="BR46" s="242">
        <f>BR42*Assumptions!$C$29</f>
        <v>10502.91</v>
      </c>
      <c r="BS46" s="242">
        <f>BS42*Assumptions!$C$29</f>
        <v>10502.91</v>
      </c>
      <c r="BT46" s="242">
        <f>BT42*Assumptions!$C$29</f>
        <v>10502.91</v>
      </c>
      <c r="BU46" s="242">
        <f>BU42*Assumptions!$C$29</f>
        <v>10502.91</v>
      </c>
      <c r="BV46" s="242">
        <f>BV42*Assumptions!$C$29</f>
        <v>10502.91</v>
      </c>
      <c r="BW46" s="242">
        <f>BW42*Assumptions!$C$29</f>
        <v>10502.91</v>
      </c>
      <c r="BX46" s="242">
        <f>BX42*Assumptions!$C$29</f>
        <v>10502.91</v>
      </c>
      <c r="BY46" s="242">
        <f>BY42*Assumptions!$C$29</f>
        <v>10817.997300000001</v>
      </c>
      <c r="BZ46" s="242">
        <f>BZ42*Assumptions!$C$29</f>
        <v>10817.997300000001</v>
      </c>
      <c r="CA46" s="242">
        <f>CA42*Assumptions!$C$29</f>
        <v>10817.997300000001</v>
      </c>
      <c r="CB46" s="242">
        <f>CB42*Assumptions!$C$29</f>
        <v>10817.997300000001</v>
      </c>
      <c r="CC46" s="242">
        <f>CC42*Assumptions!$C$29</f>
        <v>10817.997300000001</v>
      </c>
      <c r="CD46" s="242">
        <f>CD42*Assumptions!$C$29</f>
        <v>10817.997300000001</v>
      </c>
      <c r="CE46" s="242">
        <f>CE42*Assumptions!$C$29</f>
        <v>10817.997300000001</v>
      </c>
      <c r="CF46" s="242">
        <f>CF42*Assumptions!$C$29</f>
        <v>10817.997300000001</v>
      </c>
      <c r="CG46" s="242">
        <f>CG42*Assumptions!$C$29</f>
        <v>10817.997300000001</v>
      </c>
      <c r="CH46" s="242">
        <f>CH42*Assumptions!$C$29</f>
        <v>10817.997300000001</v>
      </c>
      <c r="CI46" s="242">
        <f>CI42*Assumptions!$C$29</f>
        <v>10817.997300000001</v>
      </c>
      <c r="CJ46" s="242">
        <f>CJ42*Assumptions!$C$29</f>
        <v>10817.997300000001</v>
      </c>
      <c r="CK46" s="242">
        <f>CK42*Assumptions!$C$29</f>
        <v>11142.537218999998</v>
      </c>
      <c r="CL46" s="242">
        <f>CL42*Assumptions!$C$29</f>
        <v>11142.537218999998</v>
      </c>
      <c r="CM46" s="242">
        <f>CM42*Assumptions!$C$29</f>
        <v>11142.537218999998</v>
      </c>
      <c r="CN46" s="242">
        <f>CN42*Assumptions!$C$29</f>
        <v>11142.537218999998</v>
      </c>
      <c r="CO46" s="242">
        <f>CO42*Assumptions!$C$29</f>
        <v>11142.537218999998</v>
      </c>
      <c r="CP46" s="242">
        <f>CP42*Assumptions!$C$29</f>
        <v>11142.537218999998</v>
      </c>
      <c r="CQ46" s="242">
        <f>CQ42*Assumptions!$C$29</f>
        <v>11142.537218999998</v>
      </c>
      <c r="CR46" s="242">
        <f>CR42*Assumptions!$C$29</f>
        <v>11142.537218999998</v>
      </c>
      <c r="CS46" s="242">
        <f>CS42*Assumptions!$C$29</f>
        <v>11142.537218999998</v>
      </c>
      <c r="CT46" s="242">
        <f>CT42*Assumptions!$C$29</f>
        <v>11142.537218999998</v>
      </c>
      <c r="CU46" s="242">
        <f>CU42*Assumptions!$C$29</f>
        <v>11142.537218999998</v>
      </c>
      <c r="CV46" s="242">
        <f>CV42*Assumptions!$C$29</f>
        <v>11142.537218999998</v>
      </c>
      <c r="CW46" s="242">
        <f>CW42*Assumptions!$C$29</f>
        <v>11476.813335569997</v>
      </c>
      <c r="CX46" s="242">
        <f>CX42*Assumptions!$C$29</f>
        <v>11476.813335569997</v>
      </c>
      <c r="CY46" s="242">
        <f>CY42*Assumptions!$C$29</f>
        <v>11476.813335569997</v>
      </c>
      <c r="CZ46" s="242">
        <f>CZ42*Assumptions!$C$29</f>
        <v>11476.813335569997</v>
      </c>
      <c r="DA46" s="242">
        <f>DA42*Assumptions!$C$29</f>
        <v>11476.813335569997</v>
      </c>
      <c r="DB46" s="242">
        <f>DB42*Assumptions!$C$29</f>
        <v>11476.813335569997</v>
      </c>
      <c r="DC46" s="242">
        <f>DC42*Assumptions!$C$29</f>
        <v>11476.813335569997</v>
      </c>
      <c r="DD46" s="242">
        <f>DD42*Assumptions!$C$29</f>
        <v>11476.813335569997</v>
      </c>
      <c r="DE46" s="242">
        <f>DE42*Assumptions!$C$29</f>
        <v>11476.813335569997</v>
      </c>
      <c r="DF46" s="242">
        <f>DF42*Assumptions!$C$29</f>
        <v>11476.813335569997</v>
      </c>
      <c r="DG46" s="242">
        <f>DG42*Assumptions!$C$29</f>
        <v>11476.813335569997</v>
      </c>
      <c r="DH46" s="242">
        <f>DH42*Assumptions!$C$29</f>
        <v>11476.813335569997</v>
      </c>
      <c r="DI46" s="242">
        <f>DI42*Assumptions!$C$29</f>
        <v>11821.117735637099</v>
      </c>
      <c r="DJ46" s="242">
        <f>DJ42*Assumptions!$C$29</f>
        <v>11821.117735637099</v>
      </c>
      <c r="DK46" s="242">
        <f>DK42*Assumptions!$C$29</f>
        <v>11821.117735637099</v>
      </c>
      <c r="DL46" s="242">
        <f>DL42*Assumptions!$C$29</f>
        <v>11821.117735637099</v>
      </c>
      <c r="DM46" s="242">
        <f>DM42*Assumptions!$C$29</f>
        <v>11821.117735637099</v>
      </c>
      <c r="DN46" s="242">
        <f>DN42*Assumptions!$C$29</f>
        <v>11821.117735637099</v>
      </c>
      <c r="DO46" s="242">
        <f>DO42*Assumptions!$C$29</f>
        <v>11821.117735637099</v>
      </c>
      <c r="DP46" s="242">
        <f>DP42*Assumptions!$C$29</f>
        <v>11821.117735637099</v>
      </c>
      <c r="DQ46" s="242">
        <f>DQ42*Assumptions!$C$29</f>
        <v>11821.117735637099</v>
      </c>
      <c r="DR46" s="242">
        <f>DR42*Assumptions!$C$29</f>
        <v>11821.117735637099</v>
      </c>
      <c r="DS46" s="242">
        <f>DS42*Assumptions!$C$29</f>
        <v>11821.117735637099</v>
      </c>
      <c r="DT46" s="242">
        <f>DT42*Assumptions!$C$29</f>
        <v>11821.117735637099</v>
      </c>
      <c r="DU46" s="242">
        <f>DU42*Assumptions!$C$29</f>
        <v>12175.751267706213</v>
      </c>
      <c r="DV46" s="242">
        <f>DV42*Assumptions!$C$29</f>
        <v>12175.751267706213</v>
      </c>
      <c r="DW46" s="242">
        <f>DW42*Assumptions!$C$29</f>
        <v>12175.751267706213</v>
      </c>
      <c r="DX46" s="242">
        <f>DX42*Assumptions!$C$29</f>
        <v>12175.751267706213</v>
      </c>
      <c r="DY46" s="242">
        <f>DY42*Assumptions!$C$29</f>
        <v>12175.751267706213</v>
      </c>
      <c r="DZ46" s="242">
        <f>DZ42*Assumptions!$C$29</f>
        <v>12175.751267706213</v>
      </c>
      <c r="EA46" s="242">
        <f>EA42*Assumptions!$C$29</f>
        <v>12175.751267706213</v>
      </c>
      <c r="EB46" s="242">
        <f>EB42*Assumptions!$C$29</f>
        <v>12175.751267706213</v>
      </c>
      <c r="EC46" s="242">
        <f>EC42*Assumptions!$C$29</f>
        <v>12175.751267706213</v>
      </c>
      <c r="ED46" s="242">
        <f>ED42*Assumptions!$C$29</f>
        <v>12175.751267706213</v>
      </c>
      <c r="EE46" s="242">
        <f>EE42*Assumptions!$C$29</f>
        <v>12175.751267706213</v>
      </c>
      <c r="EF46" s="242">
        <f>EF42*Assumptions!$C$29</f>
        <v>12175.751267706213</v>
      </c>
      <c r="EG46" s="242">
        <f>EG42*Assumptions!$C$29</f>
        <v>12541.023805737397</v>
      </c>
      <c r="EH46" s="242">
        <f>EH42*Assumptions!$C$29</f>
        <v>12541.023805737397</v>
      </c>
      <c r="EI46" s="242">
        <f>EI42*Assumptions!$C$29</f>
        <v>12541.023805737397</v>
      </c>
      <c r="EJ46" s="242">
        <f>EJ42*Assumptions!$C$29</f>
        <v>12541.023805737397</v>
      </c>
      <c r="EK46" s="242">
        <f>EK42*Assumptions!$C$29</f>
        <v>12541.023805737397</v>
      </c>
      <c r="EL46" s="242">
        <f>EL42*Assumptions!$C$29</f>
        <v>12541.023805737397</v>
      </c>
      <c r="EM46" s="242">
        <f>EM42*Assumptions!$C$29</f>
        <v>12541.023805737397</v>
      </c>
      <c r="EN46" s="242">
        <f>EN42*Assumptions!$C$29</f>
        <v>12541.023805737397</v>
      </c>
      <c r="EO46" s="242">
        <f>EO42*Assumptions!$C$29</f>
        <v>12541.023805737397</v>
      </c>
      <c r="EP46" s="242">
        <f>EP42*Assumptions!$C$29</f>
        <v>12541.023805737397</v>
      </c>
      <c r="EQ46" s="242">
        <f>EQ42*Assumptions!$C$29</f>
        <v>12541.023805737397</v>
      </c>
      <c r="ER46" s="242">
        <f>ER42*Assumptions!$C$29</f>
        <v>12541.023805737397</v>
      </c>
      <c r="ES46" s="242">
        <f>ES42*Assumptions!$C$29</f>
        <v>12917.25451990952</v>
      </c>
      <c r="ET46" s="242">
        <f>ET42*Assumptions!$C$29</f>
        <v>12917.25451990952</v>
      </c>
    </row>
    <row r="47" spans="2:150" x14ac:dyDescent="0.2">
      <c r="B47" t="s">
        <v>151</v>
      </c>
      <c r="D47" s="242">
        <f t="shared" si="510"/>
        <v>-7269318.0095885973</v>
      </c>
      <c r="F47" s="242">
        <f>-SUM(F44:F46)*(1-F31)</f>
        <v>-159388.00000000003</v>
      </c>
      <c r="G47" s="242">
        <f t="shared" ref="G47:BR47" si="511">-SUM(G44:G46)*(1-G31)</f>
        <v>-159388.00000000003</v>
      </c>
      <c r="H47" s="242">
        <f t="shared" si="511"/>
        <v>-159388.00000000003</v>
      </c>
      <c r="I47" s="242">
        <f t="shared" si="511"/>
        <v>-159388.00000000003</v>
      </c>
      <c r="J47" s="242">
        <f t="shared" si="511"/>
        <v>-159388.00000000003</v>
      </c>
      <c r="K47" s="242">
        <f t="shared" si="511"/>
        <v>-159388.00000000003</v>
      </c>
      <c r="L47" s="242">
        <f t="shared" si="511"/>
        <v>-159388.00000000003</v>
      </c>
      <c r="M47" s="242">
        <f t="shared" si="511"/>
        <v>-159388.00000000003</v>
      </c>
      <c r="N47" s="242">
        <f t="shared" si="511"/>
        <v>-159388.00000000003</v>
      </c>
      <c r="O47" s="242">
        <f t="shared" si="511"/>
        <v>-159388.00000000003</v>
      </c>
      <c r="P47" s="242">
        <f t="shared" si="511"/>
        <v>-159388.00000000003</v>
      </c>
      <c r="Q47" s="242">
        <f t="shared" si="511"/>
        <v>-159388.00000000003</v>
      </c>
      <c r="R47" s="242">
        <f t="shared" si="511"/>
        <v>-164169.64000000001</v>
      </c>
      <c r="S47" s="242">
        <f t="shared" si="511"/>
        <v>-164169.64000000001</v>
      </c>
      <c r="T47" s="242">
        <f t="shared" si="511"/>
        <v>-164169.64000000001</v>
      </c>
      <c r="U47" s="242">
        <f t="shared" si="511"/>
        <v>-164169.64000000001</v>
      </c>
      <c r="V47" s="242">
        <f t="shared" si="511"/>
        <v>-164169.64000000001</v>
      </c>
      <c r="W47" s="242">
        <f t="shared" si="511"/>
        <v>-164169.64000000001</v>
      </c>
      <c r="X47" s="242">
        <f t="shared" si="511"/>
        <v>-164169.64000000001</v>
      </c>
      <c r="Y47" s="242">
        <f t="shared" si="511"/>
        <v>-164169.64000000001</v>
      </c>
      <c r="Z47" s="242">
        <f t="shared" si="511"/>
        <v>-164169.64000000001</v>
      </c>
      <c r="AA47" s="242">
        <f t="shared" si="511"/>
        <v>-164169.64000000001</v>
      </c>
      <c r="AB47" s="242">
        <f t="shared" si="511"/>
        <v>-164169.64000000001</v>
      </c>
      <c r="AC47" s="242">
        <f t="shared" si="511"/>
        <v>-164169.64000000001</v>
      </c>
      <c r="AD47" s="242">
        <f t="shared" si="511"/>
        <v>-169094.7292</v>
      </c>
      <c r="AE47" s="242">
        <f t="shared" si="511"/>
        <v>-169094.7292</v>
      </c>
      <c r="AF47" s="242">
        <f t="shared" si="511"/>
        <v>-169094.7292</v>
      </c>
      <c r="AG47" s="242">
        <f t="shared" si="511"/>
        <v>-169094.7292</v>
      </c>
      <c r="AH47" s="242">
        <f t="shared" si="511"/>
        <v>-169094.7292</v>
      </c>
      <c r="AI47" s="242">
        <f t="shared" si="511"/>
        <v>-169094.7292</v>
      </c>
      <c r="AJ47" s="242">
        <f t="shared" si="511"/>
        <v>-169094.7292</v>
      </c>
      <c r="AK47" s="242">
        <f t="shared" si="511"/>
        <v>-169094.7292</v>
      </c>
      <c r="AL47" s="242">
        <f t="shared" si="511"/>
        <v>-169094.7292</v>
      </c>
      <c r="AM47" s="242">
        <f t="shared" si="511"/>
        <v>-169094.7292</v>
      </c>
      <c r="AN47" s="242">
        <f t="shared" si="511"/>
        <v>-169094.7292</v>
      </c>
      <c r="AO47" s="242">
        <f t="shared" si="511"/>
        <v>-116346.57398</v>
      </c>
      <c r="AP47" s="242">
        <f t="shared" si="511"/>
        <v>-101237.16409180002</v>
      </c>
      <c r="AQ47" s="242">
        <f t="shared" si="511"/>
        <v>-82830.406984200017</v>
      </c>
      <c r="AR47" s="242">
        <f t="shared" si="511"/>
        <v>-64423.649876600022</v>
      </c>
      <c r="AS47" s="242">
        <f t="shared" si="511"/>
        <v>-46016.892769000027</v>
      </c>
      <c r="AT47" s="242">
        <f t="shared" si="511"/>
        <v>-27610.135661400029</v>
      </c>
      <c r="AU47" s="242">
        <f t="shared" si="511"/>
        <v>-9203.3785538000302</v>
      </c>
      <c r="AV47" s="242">
        <f t="shared" si="511"/>
        <v>-9203.3785538000084</v>
      </c>
      <c r="AW47" s="242">
        <f t="shared" si="511"/>
        <v>-9203.3785538000084</v>
      </c>
      <c r="AX47" s="242">
        <f t="shared" si="511"/>
        <v>-9203.3785538000084</v>
      </c>
      <c r="AY47" s="242">
        <f t="shared" si="511"/>
        <v>-9203.3785538000084</v>
      </c>
      <c r="AZ47" s="242">
        <f t="shared" si="511"/>
        <v>-9203.3785538000084</v>
      </c>
      <c r="BA47" s="242">
        <f t="shared" si="511"/>
        <v>-9218.2285538000087</v>
      </c>
      <c r="BB47" s="242">
        <f t="shared" si="511"/>
        <v>-9479.4799104140093</v>
      </c>
      <c r="BC47" s="242">
        <f t="shared" si="511"/>
        <v>-9479.4799104140093</v>
      </c>
      <c r="BD47" s="242">
        <f t="shared" si="511"/>
        <v>-9479.4799104140093</v>
      </c>
      <c r="BE47" s="242">
        <f t="shared" si="511"/>
        <v>-9479.4799104140093</v>
      </c>
      <c r="BF47" s="242">
        <f t="shared" si="511"/>
        <v>-9479.4799104140093</v>
      </c>
      <c r="BG47" s="242">
        <f t="shared" si="511"/>
        <v>-9479.4799104140093</v>
      </c>
      <c r="BH47" s="242">
        <f t="shared" si="511"/>
        <v>-9479.4799104140093</v>
      </c>
      <c r="BI47" s="242">
        <f t="shared" si="511"/>
        <v>-9479.4799104140093</v>
      </c>
      <c r="BJ47" s="242">
        <f t="shared" si="511"/>
        <v>-9479.4799104140093</v>
      </c>
      <c r="BK47" s="242">
        <f t="shared" si="511"/>
        <v>-9479.4799104140093</v>
      </c>
      <c r="BL47" s="242">
        <f t="shared" si="511"/>
        <v>-9479.4799104140093</v>
      </c>
      <c r="BM47" s="242">
        <f t="shared" si="511"/>
        <v>-9494.7754104140095</v>
      </c>
      <c r="BN47" s="242">
        <f t="shared" si="511"/>
        <v>-9763.8643077264296</v>
      </c>
      <c r="BO47" s="242">
        <f t="shared" si="511"/>
        <v>-9763.8643077264296</v>
      </c>
      <c r="BP47" s="242">
        <f t="shared" si="511"/>
        <v>-9763.8643077264296</v>
      </c>
      <c r="BQ47" s="242">
        <f t="shared" si="511"/>
        <v>-9763.8643077264296</v>
      </c>
      <c r="BR47" s="242">
        <f t="shared" si="511"/>
        <v>-9763.8643077264296</v>
      </c>
      <c r="BS47" s="242">
        <f t="shared" ref="BS47:BZ47" si="512">-SUM(BS44:BS46)*(1-BS31)</f>
        <v>-9763.8643077264296</v>
      </c>
      <c r="BT47" s="242">
        <f t="shared" si="512"/>
        <v>-9763.8643077264296</v>
      </c>
      <c r="BU47" s="242">
        <f t="shared" si="512"/>
        <v>-9763.8643077264296</v>
      </c>
      <c r="BV47" s="242">
        <f t="shared" si="512"/>
        <v>-9763.8643077264296</v>
      </c>
      <c r="BW47" s="242">
        <f t="shared" si="512"/>
        <v>-9763.8643077264296</v>
      </c>
      <c r="BX47" s="242">
        <f t="shared" si="512"/>
        <v>-9763.8643077264296</v>
      </c>
      <c r="BY47" s="242">
        <f t="shared" si="512"/>
        <v>-9779.6186727264285</v>
      </c>
      <c r="BZ47" s="242">
        <f t="shared" si="512"/>
        <v>-10056.78023695822</v>
      </c>
      <c r="CA47" s="242">
        <f t="shared" ref="CA47:EL47" si="513">-SUM(CA44:CA46)*(1-CA31)</f>
        <v>-10056.78023695822</v>
      </c>
      <c r="CB47" s="242">
        <f t="shared" si="513"/>
        <v>-10056.78023695822</v>
      </c>
      <c r="CC47" s="242">
        <f t="shared" si="513"/>
        <v>-10056.78023695822</v>
      </c>
      <c r="CD47" s="242">
        <f t="shared" si="513"/>
        <v>-10056.78023695822</v>
      </c>
      <c r="CE47" s="242">
        <f t="shared" si="513"/>
        <v>-10056.78023695822</v>
      </c>
      <c r="CF47" s="242">
        <f t="shared" si="513"/>
        <v>-10056.78023695822</v>
      </c>
      <c r="CG47" s="242">
        <f t="shared" si="513"/>
        <v>-10056.78023695822</v>
      </c>
      <c r="CH47" s="242">
        <f t="shared" si="513"/>
        <v>-10056.78023695822</v>
      </c>
      <c r="CI47" s="242">
        <f t="shared" si="513"/>
        <v>-10056.78023695822</v>
      </c>
      <c r="CJ47" s="242">
        <f t="shared" si="513"/>
        <v>-10056.78023695822</v>
      </c>
      <c r="CK47" s="242">
        <f t="shared" si="513"/>
        <v>-10073.007232908221</v>
      </c>
      <c r="CL47" s="242">
        <f t="shared" si="513"/>
        <v>-10358.483644066968</v>
      </c>
      <c r="CM47" s="242">
        <f t="shared" si="513"/>
        <v>-10358.483644066968</v>
      </c>
      <c r="CN47" s="242">
        <f t="shared" si="513"/>
        <v>-10358.483644066968</v>
      </c>
      <c r="CO47" s="242">
        <f t="shared" si="513"/>
        <v>-10358.483644066968</v>
      </c>
      <c r="CP47" s="242">
        <f t="shared" si="513"/>
        <v>-10358.483644066968</v>
      </c>
      <c r="CQ47" s="242">
        <f t="shared" si="513"/>
        <v>-10358.483644066968</v>
      </c>
      <c r="CR47" s="242">
        <f t="shared" si="513"/>
        <v>-10358.483644066968</v>
      </c>
      <c r="CS47" s="242">
        <f t="shared" si="513"/>
        <v>-10358.483644066968</v>
      </c>
      <c r="CT47" s="242">
        <f t="shared" si="513"/>
        <v>-10358.483644066968</v>
      </c>
      <c r="CU47" s="242">
        <f t="shared" si="513"/>
        <v>-10358.483644066968</v>
      </c>
      <c r="CV47" s="242">
        <f t="shared" si="513"/>
        <v>-10358.483644066968</v>
      </c>
      <c r="CW47" s="242">
        <f t="shared" si="513"/>
        <v>-10375.19744989547</v>
      </c>
      <c r="CX47" s="242">
        <f t="shared" si="513"/>
        <v>-10669.238153388975</v>
      </c>
      <c r="CY47" s="242">
        <f t="shared" si="513"/>
        <v>-10669.238153388975</v>
      </c>
      <c r="CZ47" s="242">
        <f t="shared" si="513"/>
        <v>-10669.238153388975</v>
      </c>
      <c r="DA47" s="242">
        <f t="shared" si="513"/>
        <v>-10669.238153388975</v>
      </c>
      <c r="DB47" s="242">
        <f t="shared" si="513"/>
        <v>-10669.238153388975</v>
      </c>
      <c r="DC47" s="242">
        <f t="shared" si="513"/>
        <v>-10669.238153388975</v>
      </c>
      <c r="DD47" s="242">
        <f t="shared" si="513"/>
        <v>-10669.238153388975</v>
      </c>
      <c r="DE47" s="242">
        <f t="shared" si="513"/>
        <v>-10669.238153388975</v>
      </c>
      <c r="DF47" s="242">
        <f t="shared" si="513"/>
        <v>-10669.238153388975</v>
      </c>
      <c r="DG47" s="242">
        <f t="shared" si="513"/>
        <v>-10669.238153388975</v>
      </c>
      <c r="DH47" s="242">
        <f t="shared" si="513"/>
        <v>-10669.238153388975</v>
      </c>
      <c r="DI47" s="242">
        <f t="shared" si="513"/>
        <v>-10686.453373392331</v>
      </c>
      <c r="DJ47" s="242">
        <f t="shared" si="513"/>
        <v>-10989.315297990646</v>
      </c>
      <c r="DK47" s="242">
        <f t="shared" si="513"/>
        <v>-10989.315297990646</v>
      </c>
      <c r="DL47" s="242">
        <f t="shared" si="513"/>
        <v>-10989.315297990646</v>
      </c>
      <c r="DM47" s="242">
        <f t="shared" si="513"/>
        <v>-10989.315297990646</v>
      </c>
      <c r="DN47" s="242">
        <f t="shared" si="513"/>
        <v>-10989.315297990646</v>
      </c>
      <c r="DO47" s="242">
        <f t="shared" si="513"/>
        <v>-10989.315297990646</v>
      </c>
      <c r="DP47" s="242">
        <f t="shared" si="513"/>
        <v>-10989.315297990646</v>
      </c>
      <c r="DQ47" s="242">
        <f t="shared" si="513"/>
        <v>-10989.315297990646</v>
      </c>
      <c r="DR47" s="242">
        <f t="shared" si="513"/>
        <v>-10989.315297990646</v>
      </c>
      <c r="DS47" s="242">
        <f t="shared" si="513"/>
        <v>-10989.315297990646</v>
      </c>
      <c r="DT47" s="242">
        <f t="shared" si="513"/>
        <v>-10989.315297990646</v>
      </c>
      <c r="DU47" s="242">
        <f t="shared" si="513"/>
        <v>-11007.046974594103</v>
      </c>
      <c r="DV47" s="242">
        <f t="shared" si="513"/>
        <v>-11318.994756930366</v>
      </c>
      <c r="DW47" s="242">
        <f t="shared" si="513"/>
        <v>-11318.994756930366</v>
      </c>
      <c r="DX47" s="242">
        <f t="shared" si="513"/>
        <v>-11318.994756930366</v>
      </c>
      <c r="DY47" s="242">
        <f t="shared" si="513"/>
        <v>-11318.994756930366</v>
      </c>
      <c r="DZ47" s="242">
        <f t="shared" si="513"/>
        <v>-11318.994756930366</v>
      </c>
      <c r="EA47" s="242">
        <f t="shared" si="513"/>
        <v>-11318.994756930366</v>
      </c>
      <c r="EB47" s="242">
        <f t="shared" si="513"/>
        <v>-11318.994756930366</v>
      </c>
      <c r="EC47" s="242">
        <f t="shared" si="513"/>
        <v>-11318.994756930366</v>
      </c>
      <c r="ED47" s="242">
        <f t="shared" si="513"/>
        <v>-11318.994756930366</v>
      </c>
      <c r="EE47" s="242">
        <f t="shared" si="513"/>
        <v>-11318.994756930366</v>
      </c>
      <c r="EF47" s="242">
        <f t="shared" si="513"/>
        <v>-11318.994756930366</v>
      </c>
      <c r="EG47" s="242">
        <f t="shared" si="513"/>
        <v>-11337.258383831926</v>
      </c>
      <c r="EH47" s="242">
        <f t="shared" si="513"/>
        <v>-11658.564599638277</v>
      </c>
      <c r="EI47" s="242">
        <f t="shared" si="513"/>
        <v>-11658.564599638277</v>
      </c>
      <c r="EJ47" s="242">
        <f t="shared" si="513"/>
        <v>-11658.564599638277</v>
      </c>
      <c r="EK47" s="242">
        <f t="shared" si="513"/>
        <v>-11658.564599638277</v>
      </c>
      <c r="EL47" s="242">
        <f t="shared" si="513"/>
        <v>-11658.564599638277</v>
      </c>
      <c r="EM47" s="242">
        <f t="shared" ref="EM47:ET47" si="514">-SUM(EM44:EM46)*(1-EM31)</f>
        <v>-11658.564599638277</v>
      </c>
      <c r="EN47" s="242">
        <f t="shared" si="514"/>
        <v>-11658.564599638277</v>
      </c>
      <c r="EO47" s="242">
        <f t="shared" si="514"/>
        <v>-11658.564599638277</v>
      </c>
      <c r="EP47" s="242">
        <f t="shared" si="514"/>
        <v>-11658.564599638277</v>
      </c>
      <c r="EQ47" s="242">
        <f t="shared" si="514"/>
        <v>-11658.564599638277</v>
      </c>
      <c r="ER47" s="242">
        <f t="shared" si="514"/>
        <v>-11658.564599638277</v>
      </c>
      <c r="ES47" s="242">
        <f t="shared" si="514"/>
        <v>-11677.376135346885</v>
      </c>
      <c r="ET47" s="242">
        <f t="shared" si="514"/>
        <v>-12008.321537627424</v>
      </c>
    </row>
    <row r="48" spans="2:150" x14ac:dyDescent="0.2">
      <c r="B48" t="s">
        <v>152</v>
      </c>
      <c r="D48" s="242">
        <f t="shared" si="510"/>
        <v>-69644.329478266664</v>
      </c>
      <c r="F48" s="242">
        <f>IF(F6&lt;=Assumptions!$F$39,SUM(F44:F47)*-Assumptions!$L$36/12,0)</f>
        <v>0</v>
      </c>
      <c r="G48" s="242">
        <f>IF(G6&lt;=Assumptions!$F$39,SUM(G44:G47)*-Assumptions!$L$36/12,0)</f>
        <v>0</v>
      </c>
      <c r="H48" s="242">
        <f>IF(H6&lt;=Assumptions!$F$39,SUM(H44:H47)*-Assumptions!$L$36/12,0)</f>
        <v>0</v>
      </c>
      <c r="I48" s="242">
        <f>IF(I6&lt;=Assumptions!$F$39,SUM(I44:I47)*-Assumptions!$L$36/12,0)</f>
        <v>0</v>
      </c>
      <c r="J48" s="242">
        <f>IF(J6&lt;=Assumptions!$F$39,SUM(J44:J47)*-Assumptions!$L$36/12,0)</f>
        <v>0</v>
      </c>
      <c r="K48" s="242">
        <f>IF(K6&lt;=Assumptions!$F$39,SUM(K44:K47)*-Assumptions!$L$36/12,0)</f>
        <v>0</v>
      </c>
      <c r="L48" s="242">
        <f>IF(L6&lt;=Assumptions!$F$39,SUM(L44:L47)*-Assumptions!$L$36/12,0)</f>
        <v>0</v>
      </c>
      <c r="M48" s="242">
        <f>IF(M6&lt;=Assumptions!$F$39,SUM(M44:M47)*-Assumptions!$L$36/12,0)</f>
        <v>0</v>
      </c>
      <c r="N48" s="242">
        <f>IF(N6&lt;=Assumptions!$F$39,SUM(N44:N47)*-Assumptions!$L$36/12,0)</f>
        <v>0</v>
      </c>
      <c r="O48" s="242">
        <f>IF(O6&lt;=Assumptions!$F$39,SUM(O44:O47)*-Assumptions!$L$36/12,0)</f>
        <v>0</v>
      </c>
      <c r="P48" s="242">
        <f>IF(P6&lt;=Assumptions!$F$39,SUM(P44:P47)*-Assumptions!$L$36/12,0)</f>
        <v>0</v>
      </c>
      <c r="Q48" s="242">
        <f>IF(Q6&lt;=Assumptions!$F$39,SUM(Q44:Q47)*-Assumptions!$L$36/12,0)</f>
        <v>0</v>
      </c>
      <c r="R48" s="242">
        <f>IF(R6&lt;=Assumptions!$F$39,SUM(R44:R47)*-Assumptions!$L$36/12,0)</f>
        <v>0</v>
      </c>
      <c r="S48" s="242">
        <f>IF(S6&lt;=Assumptions!$F$39,SUM(S44:S47)*-Assumptions!$L$36/12,0)</f>
        <v>0</v>
      </c>
      <c r="T48" s="242">
        <f>IF(T6&lt;=Assumptions!$F$39,SUM(T44:T47)*-Assumptions!$L$36/12,0)</f>
        <v>0</v>
      </c>
      <c r="U48" s="242">
        <f>IF(U6&lt;=Assumptions!$F$39,SUM(U44:U47)*-Assumptions!$L$36/12,0)</f>
        <v>0</v>
      </c>
      <c r="V48" s="242">
        <f>IF(V6&lt;=Assumptions!$F$39,SUM(V44:V47)*-Assumptions!$L$36/12,0)</f>
        <v>0</v>
      </c>
      <c r="W48" s="242">
        <f>IF(W6&lt;=Assumptions!$F$39,SUM(W44:W47)*-Assumptions!$L$36/12,0)</f>
        <v>0</v>
      </c>
      <c r="X48" s="242">
        <f>IF(X6&lt;=Assumptions!$F$39,SUM(X44:X47)*-Assumptions!$L$36/12,0)</f>
        <v>0</v>
      </c>
      <c r="Y48" s="242">
        <f>IF(Y6&lt;=Assumptions!$F$39,SUM(Y44:Y47)*-Assumptions!$L$36/12,0)</f>
        <v>0</v>
      </c>
      <c r="Z48" s="242">
        <f>IF(Z6&lt;=Assumptions!$F$39,SUM(Z44:Z47)*-Assumptions!$L$36/12,0)</f>
        <v>0</v>
      </c>
      <c r="AA48" s="242">
        <f>IF(AA6&lt;=Assumptions!$F$39,SUM(AA44:AA47)*-Assumptions!$L$36/12,0)</f>
        <v>0</v>
      </c>
      <c r="AB48" s="242">
        <f>IF(AB6&lt;=Assumptions!$F$39,SUM(AB44:AB47)*-Assumptions!$L$36/12,0)</f>
        <v>0</v>
      </c>
      <c r="AC48" s="242">
        <f>IF(AC6&lt;=Assumptions!$F$39,SUM(AC44:AC47)*-Assumptions!$L$36/12,0)</f>
        <v>0</v>
      </c>
      <c r="AD48" s="242">
        <f>IF(AD6&lt;=Assumptions!$F$39,SUM(AD44:AD47)*-Assumptions!$L$36/12,0)</f>
        <v>0</v>
      </c>
      <c r="AE48" s="242">
        <f>IF(AE6&lt;=Assumptions!$F$39,SUM(AE44:AE47)*-Assumptions!$L$36/12,0)</f>
        <v>0</v>
      </c>
      <c r="AF48" s="242">
        <f>IF(AF6&lt;=Assumptions!$F$39,SUM(AF44:AF47)*-Assumptions!$L$36/12,0)</f>
        <v>0</v>
      </c>
      <c r="AG48" s="242">
        <f>IF(AG6&lt;=Assumptions!$F$39,SUM(AG44:AG47)*-Assumptions!$L$36/12,0)</f>
        <v>0</v>
      </c>
      <c r="AH48" s="242">
        <f>IF(AH6&lt;=Assumptions!$F$39,SUM(AH44:AH47)*-Assumptions!$L$36/12,0)</f>
        <v>0</v>
      </c>
      <c r="AI48" s="242">
        <f>IF(AI6&lt;=Assumptions!$F$39,SUM(AI44:AI47)*-Assumptions!$L$36/12,0)</f>
        <v>0</v>
      </c>
      <c r="AJ48" s="242">
        <f>IF(AJ6&lt;=Assumptions!$F$39,SUM(AJ44:AJ47)*-Assumptions!$L$36/12,0)</f>
        <v>0</v>
      </c>
      <c r="AK48" s="242">
        <f>IF(AK6&lt;=Assumptions!$F$39,SUM(AK44:AK47)*-Assumptions!$L$36/12,0)</f>
        <v>0</v>
      </c>
      <c r="AL48" s="242">
        <f>IF(AL6&lt;=Assumptions!$F$39,SUM(AL44:AL47)*-Assumptions!$L$36/12,0)</f>
        <v>0</v>
      </c>
      <c r="AM48" s="242">
        <f>IF(AM6&lt;=Assumptions!$F$39,SUM(AM44:AM47)*-Assumptions!$L$36/12,0)</f>
        <v>0</v>
      </c>
      <c r="AN48" s="242">
        <f>IF(AN6&lt;=Assumptions!$F$39,SUM(AN44:AN47)*-Assumptions!$L$36/12,0)</f>
        <v>0</v>
      </c>
      <c r="AO48" s="242">
        <f>IF(AO6&lt;=Assumptions!$F$39,SUM(AO44:AO47)*-Assumptions!$L$36/12,0)</f>
        <v>-5220.6796016666667</v>
      </c>
      <c r="AP48" s="242">
        <f>IF(AP6&lt;=Assumptions!$F$39,SUM(AP44:AP47)*-Assumptions!$L$36/12,0)</f>
        <v>-6902.5339153499999</v>
      </c>
      <c r="AQ48" s="242">
        <f>IF(AQ6&lt;=Assumptions!$F$39,SUM(AQ44:AQ47)*-Assumptions!$L$36/12,0)</f>
        <v>-8436.4303409833337</v>
      </c>
      <c r="AR48" s="242">
        <f>IF(AR6&lt;=Assumptions!$F$39,SUM(AR44:AR47)*-Assumptions!$L$36/12,0)</f>
        <v>-9970.3267666166666</v>
      </c>
      <c r="AS48" s="242">
        <f>IF(AS6&lt;=Assumptions!$F$39,SUM(AS44:AS47)*-Assumptions!$L$36/12,0)</f>
        <v>-11504.22319225</v>
      </c>
      <c r="AT48" s="242">
        <f>IF(AT6&lt;=Assumptions!$F$39,SUM(AT44:AT47)*-Assumptions!$L$36/12,0)</f>
        <v>-13038.119617883332</v>
      </c>
      <c r="AU48" s="242">
        <f>IF(AU6&lt;=Assumptions!$F$39,SUM(AU44:AU47)*-Assumptions!$L$36/12,0)</f>
        <v>-14572.016043516667</v>
      </c>
      <c r="AV48" s="242">
        <f>IF(AV6&lt;=Assumptions!$F$39,SUM(AV44:AV47)*-Assumptions!$L$36/12,0)</f>
        <v>0</v>
      </c>
      <c r="AW48" s="242">
        <f>IF(AW6&lt;=Assumptions!$F$39,SUM(AW44:AW47)*-Assumptions!$L$36/12,0)</f>
        <v>0</v>
      </c>
      <c r="AX48" s="242">
        <f>IF(AX6&lt;=Assumptions!$F$39,SUM(AX44:AX47)*-Assumptions!$L$36/12,0)</f>
        <v>0</v>
      </c>
      <c r="AY48" s="242">
        <f>IF(AY6&lt;=Assumptions!$F$39,SUM(AY44:AY47)*-Assumptions!$L$36/12,0)</f>
        <v>0</v>
      </c>
      <c r="AZ48" s="242">
        <f>IF(AZ6&lt;=Assumptions!$F$39,SUM(AZ44:AZ47)*-Assumptions!$L$36/12,0)</f>
        <v>0</v>
      </c>
      <c r="BA48" s="242">
        <f>IF(BA6&lt;=Assumptions!$F$39,SUM(BA44:BA47)*-Assumptions!$L$36/12,0)</f>
        <v>0</v>
      </c>
      <c r="BB48" s="242">
        <f>IF(BB6&lt;=Assumptions!$F$39,SUM(BB44:BB47)*-Assumptions!$L$36/12,0)</f>
        <v>0</v>
      </c>
      <c r="BC48" s="242">
        <f>IF(BC6&lt;=Assumptions!$F$39,SUM(BC44:BC47)*-Assumptions!$L$36/12,0)</f>
        <v>0</v>
      </c>
      <c r="BD48" s="242">
        <f>IF(BD6&lt;=Assumptions!$F$39,SUM(BD44:BD47)*-Assumptions!$L$36/12,0)</f>
        <v>0</v>
      </c>
      <c r="BE48" s="242">
        <f>IF(BE6&lt;=Assumptions!$F$39,SUM(BE44:BE47)*-Assumptions!$L$36/12,0)</f>
        <v>0</v>
      </c>
      <c r="BF48" s="242">
        <f>IF(BF6&lt;=Assumptions!$F$39,SUM(BF44:BF47)*-Assumptions!$L$36/12,0)</f>
        <v>0</v>
      </c>
      <c r="BG48" s="242">
        <f>IF(BG6&lt;=Assumptions!$F$39,SUM(BG44:BG47)*-Assumptions!$L$36/12,0)</f>
        <v>0</v>
      </c>
      <c r="BH48" s="242">
        <f>IF(BH6&lt;=Assumptions!$F$39,SUM(BH44:BH47)*-Assumptions!$L$36/12,0)</f>
        <v>0</v>
      </c>
      <c r="BI48" s="242">
        <f>IF(BI6&lt;=Assumptions!$F$39,SUM(BI44:BI47)*-Assumptions!$L$36/12,0)</f>
        <v>0</v>
      </c>
      <c r="BJ48" s="242">
        <f>IF(BJ6&lt;=Assumptions!$F$39,SUM(BJ44:BJ47)*-Assumptions!$L$36/12,0)</f>
        <v>0</v>
      </c>
      <c r="BK48" s="242">
        <f>IF(BK6&lt;=Assumptions!$F$39,SUM(BK44:BK47)*-Assumptions!$L$36/12,0)</f>
        <v>0</v>
      </c>
      <c r="BL48" s="242">
        <f>IF(BL6&lt;=Assumptions!$F$39,SUM(BL44:BL47)*-Assumptions!$L$36/12,0)</f>
        <v>0</v>
      </c>
      <c r="BM48" s="242">
        <f>IF(BM6&lt;=Assumptions!$F$39,SUM(BM44:BM47)*-Assumptions!$L$36/12,0)</f>
        <v>0</v>
      </c>
      <c r="BN48" s="242">
        <f>IF(BN6&lt;=Assumptions!$F$39,SUM(BN44:BN47)*-Assumptions!$L$36/12,0)</f>
        <v>0</v>
      </c>
      <c r="BO48" s="242">
        <f>IF(BO6&lt;=Assumptions!$F$39,SUM(BO44:BO47)*-Assumptions!$L$36/12,0)</f>
        <v>0</v>
      </c>
      <c r="BP48" s="242">
        <f>IF(BP6&lt;=Assumptions!$F$39,SUM(BP44:BP47)*-Assumptions!$L$36/12,0)</f>
        <v>0</v>
      </c>
      <c r="BQ48" s="242">
        <f>IF(BQ6&lt;=Assumptions!$F$39,SUM(BQ44:BQ47)*-Assumptions!$L$36/12,0)</f>
        <v>0</v>
      </c>
      <c r="BR48" s="242">
        <f>IF(BR6&lt;=Assumptions!$F$39,SUM(BR44:BR47)*-Assumptions!$L$36/12,0)</f>
        <v>0</v>
      </c>
      <c r="BS48" s="242">
        <f>IF(BS6&lt;=Assumptions!$F$39,SUM(BS44:BS47)*-Assumptions!$L$36/12,0)</f>
        <v>0</v>
      </c>
      <c r="BT48" s="242">
        <f>IF(BT6&lt;=Assumptions!$F$39,SUM(BT44:BT47)*-Assumptions!$L$36/12,0)</f>
        <v>0</v>
      </c>
      <c r="BU48" s="242">
        <f>IF(BU6&lt;=Assumptions!$F$39,SUM(BU44:BU47)*-Assumptions!$L$36/12,0)</f>
        <v>0</v>
      </c>
      <c r="BV48" s="242">
        <f>IF(BV6&lt;=Assumptions!$F$39,SUM(BV44:BV47)*-Assumptions!$L$36/12,0)</f>
        <v>0</v>
      </c>
      <c r="BW48" s="242">
        <f>IF(BW6&lt;=Assumptions!$F$39,SUM(BW44:BW47)*-Assumptions!$L$36/12,0)</f>
        <v>0</v>
      </c>
      <c r="BX48" s="242">
        <f>IF(BX6&lt;=Assumptions!$F$39,SUM(BX44:BX47)*-Assumptions!$L$36/12,0)</f>
        <v>0</v>
      </c>
      <c r="BY48" s="242">
        <f>IF(BY6&lt;=Assumptions!$F$39,SUM(BY44:BY47)*-Assumptions!$L$36/12,0)</f>
        <v>0</v>
      </c>
      <c r="BZ48" s="242">
        <f>IF(BZ6&lt;=Assumptions!$F$39,SUM(BZ44:BZ47)*-Assumptions!$L$36/12,0)</f>
        <v>0</v>
      </c>
      <c r="CA48" s="242">
        <f>IF(CA6&lt;=Assumptions!$F$39,SUM(CA44:CA47)*-Assumptions!$L$36/12,0)</f>
        <v>0</v>
      </c>
      <c r="CB48" s="242">
        <f>IF(CB6&lt;=Assumptions!$F$39,SUM(CB44:CB47)*-Assumptions!$L$36/12,0)</f>
        <v>0</v>
      </c>
      <c r="CC48" s="242">
        <f>IF(CC6&lt;=Assumptions!$F$39,SUM(CC44:CC47)*-Assumptions!$L$36/12,0)</f>
        <v>0</v>
      </c>
      <c r="CD48" s="242">
        <f>IF(CD6&lt;=Assumptions!$F$39,SUM(CD44:CD47)*-Assumptions!$L$36/12,0)</f>
        <v>0</v>
      </c>
      <c r="CE48" s="242">
        <f>IF(CE6&lt;=Assumptions!$F$39,SUM(CE44:CE47)*-Assumptions!$L$36/12,0)</f>
        <v>0</v>
      </c>
      <c r="CF48" s="242">
        <f>IF(CF6&lt;=Assumptions!$F$39,SUM(CF44:CF47)*-Assumptions!$L$36/12,0)</f>
        <v>0</v>
      </c>
      <c r="CG48" s="242">
        <f>IF(CG6&lt;=Assumptions!$F$39,SUM(CG44:CG47)*-Assumptions!$L$36/12,0)</f>
        <v>0</v>
      </c>
      <c r="CH48" s="242">
        <f>IF(CH6&lt;=Assumptions!$F$39,SUM(CH44:CH47)*-Assumptions!$L$36/12,0)</f>
        <v>0</v>
      </c>
      <c r="CI48" s="242">
        <f>IF(CI6&lt;=Assumptions!$F$39,SUM(CI44:CI47)*-Assumptions!$L$36/12,0)</f>
        <v>0</v>
      </c>
      <c r="CJ48" s="242">
        <f>IF(CJ6&lt;=Assumptions!$F$39,SUM(CJ44:CJ47)*-Assumptions!$L$36/12,0)</f>
        <v>0</v>
      </c>
      <c r="CK48" s="242">
        <f>IF(CK6&lt;=Assumptions!$F$39,SUM(CK44:CK47)*-Assumptions!$L$36/12,0)</f>
        <v>0</v>
      </c>
      <c r="CL48" s="242">
        <f>IF(CL6&lt;=Assumptions!$F$39,SUM(CL44:CL47)*-Assumptions!$L$36/12,0)</f>
        <v>0</v>
      </c>
      <c r="CM48" s="242">
        <f>IF(CM6&lt;=Assumptions!$F$39,SUM(CM44:CM47)*-Assumptions!$L$36/12,0)</f>
        <v>0</v>
      </c>
      <c r="CN48" s="242">
        <f>IF(CN6&lt;=Assumptions!$F$39,SUM(CN44:CN47)*-Assumptions!$L$36/12,0)</f>
        <v>0</v>
      </c>
      <c r="CO48" s="242">
        <f>IF(CO6&lt;=Assumptions!$F$39,SUM(CO44:CO47)*-Assumptions!$L$36/12,0)</f>
        <v>0</v>
      </c>
      <c r="CP48" s="242">
        <f>IF(CP6&lt;=Assumptions!$F$39,SUM(CP44:CP47)*-Assumptions!$L$36/12,0)</f>
        <v>0</v>
      </c>
      <c r="CQ48" s="242">
        <f>IF(CQ6&lt;=Assumptions!$F$39,SUM(CQ44:CQ47)*-Assumptions!$L$36/12,0)</f>
        <v>0</v>
      </c>
      <c r="CR48" s="242">
        <f>IF(CR6&lt;=Assumptions!$F$39,SUM(CR44:CR47)*-Assumptions!$L$36/12,0)</f>
        <v>0</v>
      </c>
      <c r="CS48" s="242">
        <f>IF(CS6&lt;=Assumptions!$F$39,SUM(CS44:CS47)*-Assumptions!$L$36/12,0)</f>
        <v>0</v>
      </c>
      <c r="CT48" s="242">
        <f>IF(CT6&lt;=Assumptions!$F$39,SUM(CT44:CT47)*-Assumptions!$L$36/12,0)</f>
        <v>0</v>
      </c>
      <c r="CU48" s="242">
        <f>IF(CU6&lt;=Assumptions!$F$39,SUM(CU44:CU47)*-Assumptions!$L$36/12,0)</f>
        <v>0</v>
      </c>
      <c r="CV48" s="242">
        <f>IF(CV6&lt;=Assumptions!$F$39,SUM(CV44:CV47)*-Assumptions!$L$36/12,0)</f>
        <v>0</v>
      </c>
      <c r="CW48" s="242">
        <f>IF(CW6&lt;=Assumptions!$F$39,SUM(CW44:CW47)*-Assumptions!$L$36/12,0)</f>
        <v>0</v>
      </c>
      <c r="CX48" s="242">
        <f>IF(CX6&lt;=Assumptions!$F$39,SUM(CX44:CX47)*-Assumptions!$L$36/12,0)</f>
        <v>0</v>
      </c>
      <c r="CY48" s="242">
        <f>IF(CY6&lt;=Assumptions!$F$39,SUM(CY44:CY47)*-Assumptions!$L$36/12,0)</f>
        <v>0</v>
      </c>
      <c r="CZ48" s="242">
        <f>IF(CZ6&lt;=Assumptions!$F$39,SUM(CZ44:CZ47)*-Assumptions!$L$36/12,0)</f>
        <v>0</v>
      </c>
      <c r="DA48" s="242">
        <f>IF(DA6&lt;=Assumptions!$F$39,SUM(DA44:DA47)*-Assumptions!$L$36/12,0)</f>
        <v>0</v>
      </c>
      <c r="DB48" s="242">
        <f>IF(DB6&lt;=Assumptions!$F$39,SUM(DB44:DB47)*-Assumptions!$L$36/12,0)</f>
        <v>0</v>
      </c>
      <c r="DC48" s="242">
        <f>IF(DC6&lt;=Assumptions!$F$39,SUM(DC44:DC47)*-Assumptions!$L$36/12,0)</f>
        <v>0</v>
      </c>
      <c r="DD48" s="242">
        <f>IF(DD6&lt;=Assumptions!$F$39,SUM(DD44:DD47)*-Assumptions!$L$36/12,0)</f>
        <v>0</v>
      </c>
      <c r="DE48" s="242">
        <f>IF(DE6&lt;=Assumptions!$F$39,SUM(DE44:DE47)*-Assumptions!$L$36/12,0)</f>
        <v>0</v>
      </c>
      <c r="DF48" s="242">
        <f>IF(DF6&lt;=Assumptions!$F$39,SUM(DF44:DF47)*-Assumptions!$L$36/12,0)</f>
        <v>0</v>
      </c>
      <c r="DG48" s="242">
        <f>IF(DG6&lt;=Assumptions!$F$39,SUM(DG44:DG47)*-Assumptions!$L$36/12,0)</f>
        <v>0</v>
      </c>
      <c r="DH48" s="242">
        <f>IF(DH6&lt;=Assumptions!$F$39,SUM(DH44:DH47)*-Assumptions!$L$36/12,0)</f>
        <v>0</v>
      </c>
      <c r="DI48" s="242">
        <f>IF(DI6&lt;=Assumptions!$F$39,SUM(DI44:DI47)*-Assumptions!$L$36/12,0)</f>
        <v>0</v>
      </c>
      <c r="DJ48" s="242">
        <f>IF(DJ6&lt;=Assumptions!$F$39,SUM(DJ44:DJ47)*-Assumptions!$L$36/12,0)</f>
        <v>0</v>
      </c>
      <c r="DK48" s="242">
        <f>IF(DK6&lt;=Assumptions!$F$39,SUM(DK44:DK47)*-Assumptions!$L$36/12,0)</f>
        <v>0</v>
      </c>
      <c r="DL48" s="242">
        <f>IF(DL6&lt;=Assumptions!$F$39,SUM(DL44:DL47)*-Assumptions!$L$36/12,0)</f>
        <v>0</v>
      </c>
      <c r="DM48" s="242">
        <f>IF(DM6&lt;=Assumptions!$F$39,SUM(DM44:DM47)*-Assumptions!$L$36/12,0)</f>
        <v>0</v>
      </c>
      <c r="DN48" s="242">
        <f>IF(DN6&lt;=Assumptions!$F$39,SUM(DN44:DN47)*-Assumptions!$L$36/12,0)</f>
        <v>0</v>
      </c>
      <c r="DO48" s="242">
        <f>IF(DO6&lt;=Assumptions!$F$39,SUM(DO44:DO47)*-Assumptions!$L$36/12,0)</f>
        <v>0</v>
      </c>
      <c r="DP48" s="242">
        <f>IF(DP6&lt;=Assumptions!$F$39,SUM(DP44:DP47)*-Assumptions!$L$36/12,0)</f>
        <v>0</v>
      </c>
      <c r="DQ48" s="242">
        <f>IF(DQ6&lt;=Assumptions!$F$39,SUM(DQ44:DQ47)*-Assumptions!$L$36/12,0)</f>
        <v>0</v>
      </c>
      <c r="DR48" s="242">
        <f>IF(DR6&lt;=Assumptions!$F$39,SUM(DR44:DR47)*-Assumptions!$L$36/12,0)</f>
        <v>0</v>
      </c>
      <c r="DS48" s="242">
        <f>IF(DS6&lt;=Assumptions!$F$39,SUM(DS44:DS47)*-Assumptions!$L$36/12,0)</f>
        <v>0</v>
      </c>
      <c r="DT48" s="242">
        <f>IF(DT6&lt;=Assumptions!$F$39,SUM(DT44:DT47)*-Assumptions!$L$36/12,0)</f>
        <v>0</v>
      </c>
      <c r="DU48" s="242">
        <f>IF(DU6&lt;=Assumptions!$F$39,SUM(DU44:DU47)*-Assumptions!$L$36/12,0)</f>
        <v>0</v>
      </c>
      <c r="DV48" s="242">
        <f>IF(DV6&lt;=Assumptions!$F$39,SUM(DV44:DV47)*-Assumptions!$L$36/12,0)</f>
        <v>0</v>
      </c>
      <c r="DW48" s="242">
        <f>IF(DW6&lt;=Assumptions!$F$39,SUM(DW44:DW47)*-Assumptions!$L$36/12,0)</f>
        <v>0</v>
      </c>
      <c r="DX48" s="242">
        <f>IF(DX6&lt;=Assumptions!$F$39,SUM(DX44:DX47)*-Assumptions!$L$36/12,0)</f>
        <v>0</v>
      </c>
      <c r="DY48" s="242">
        <f>IF(DY6&lt;=Assumptions!$F$39,SUM(DY44:DY47)*-Assumptions!$L$36/12,0)</f>
        <v>0</v>
      </c>
      <c r="DZ48" s="242">
        <f>IF(DZ6&lt;=Assumptions!$F$39,SUM(DZ44:DZ47)*-Assumptions!$L$36/12,0)</f>
        <v>0</v>
      </c>
      <c r="EA48" s="242">
        <f>IF(EA6&lt;=Assumptions!$F$39,SUM(EA44:EA47)*-Assumptions!$L$36/12,0)</f>
        <v>0</v>
      </c>
      <c r="EB48" s="242">
        <f>IF(EB6&lt;=Assumptions!$F$39,SUM(EB44:EB47)*-Assumptions!$L$36/12,0)</f>
        <v>0</v>
      </c>
      <c r="EC48" s="242">
        <f>IF(EC6&lt;=Assumptions!$F$39,SUM(EC44:EC47)*-Assumptions!$L$36/12,0)</f>
        <v>0</v>
      </c>
      <c r="ED48" s="242">
        <f>IF(ED6&lt;=Assumptions!$F$39,SUM(ED44:ED47)*-Assumptions!$L$36/12,0)</f>
        <v>0</v>
      </c>
      <c r="EE48" s="242">
        <f>IF(EE6&lt;=Assumptions!$F$39,SUM(EE44:EE47)*-Assumptions!$L$36/12,0)</f>
        <v>0</v>
      </c>
      <c r="EF48" s="242">
        <f>IF(EF6&lt;=Assumptions!$F$39,SUM(EF44:EF47)*-Assumptions!$L$36/12,0)</f>
        <v>0</v>
      </c>
      <c r="EG48" s="242">
        <f>IF(EG6&lt;=Assumptions!$F$39,SUM(EG44:EG47)*-Assumptions!$L$36/12,0)</f>
        <v>0</v>
      </c>
      <c r="EH48" s="242">
        <f>IF(EH6&lt;=Assumptions!$F$39,SUM(EH44:EH47)*-Assumptions!$L$36/12,0)</f>
        <v>0</v>
      </c>
      <c r="EI48" s="242">
        <f>IF(EI6&lt;=Assumptions!$F$39,SUM(EI44:EI47)*-Assumptions!$L$36/12,0)</f>
        <v>0</v>
      </c>
      <c r="EJ48" s="242">
        <f>IF(EJ6&lt;=Assumptions!$F$39,SUM(EJ44:EJ47)*-Assumptions!$L$36/12,0)</f>
        <v>0</v>
      </c>
      <c r="EK48" s="242">
        <f>IF(EK6&lt;=Assumptions!$F$39,SUM(EK44:EK47)*-Assumptions!$L$36/12,0)</f>
        <v>0</v>
      </c>
      <c r="EL48" s="242">
        <f>IF(EL6&lt;=Assumptions!$F$39,SUM(EL44:EL47)*-Assumptions!$L$36/12,0)</f>
        <v>0</v>
      </c>
      <c r="EM48" s="242">
        <f>IF(EM6&lt;=Assumptions!$F$39,SUM(EM44:EM47)*-Assumptions!$L$36/12,0)</f>
        <v>0</v>
      </c>
      <c r="EN48" s="242">
        <f>IF(EN6&lt;=Assumptions!$F$39,SUM(EN44:EN47)*-Assumptions!$L$36/12,0)</f>
        <v>0</v>
      </c>
      <c r="EO48" s="242">
        <f>IF(EO6&lt;=Assumptions!$F$39,SUM(EO44:EO47)*-Assumptions!$L$36/12,0)</f>
        <v>0</v>
      </c>
      <c r="EP48" s="242">
        <f>IF(EP6&lt;=Assumptions!$F$39,SUM(EP44:EP47)*-Assumptions!$L$36/12,0)</f>
        <v>0</v>
      </c>
      <c r="EQ48" s="242">
        <f>IF(EQ6&lt;=Assumptions!$F$39,SUM(EQ44:EQ47)*-Assumptions!$L$36/12,0)</f>
        <v>0</v>
      </c>
      <c r="ER48" s="242">
        <f>IF(ER6&lt;=Assumptions!$F$39,SUM(ER44:ER47)*-Assumptions!$L$36/12,0)</f>
        <v>0</v>
      </c>
      <c r="ES48" s="242">
        <f>IF(ES6&lt;=Assumptions!$F$39,SUM(ES44:ES47)*-Assumptions!$L$36/12,0)</f>
        <v>0</v>
      </c>
      <c r="ET48" s="242">
        <f>IF(ET6&lt;=Assumptions!$F$39,SUM(ET44:ET47)*-Assumptions!$L$36/12,0)</f>
        <v>0</v>
      </c>
    </row>
    <row r="49" spans="2:150" s="83" customFormat="1" x14ac:dyDescent="0.2">
      <c r="B49" s="99" t="s">
        <v>153</v>
      </c>
      <c r="C49" s="99"/>
      <c r="D49" s="246">
        <f t="shared" si="510"/>
        <v>21265493.647224933</v>
      </c>
      <c r="E49" s="99"/>
      <c r="F49" s="246">
        <f t="shared" ref="F49" si="515">SUM(F44:F48)</f>
        <v>0</v>
      </c>
      <c r="G49" s="246">
        <f t="shared" ref="G49" si="516">SUM(G44:G48)</f>
        <v>0</v>
      </c>
      <c r="H49" s="246">
        <f t="shared" ref="H49" si="517">SUM(H44:H48)</f>
        <v>0</v>
      </c>
      <c r="I49" s="246">
        <f t="shared" ref="I49" si="518">SUM(I44:I48)</f>
        <v>0</v>
      </c>
      <c r="J49" s="246">
        <f t="shared" ref="J49" si="519">SUM(J44:J48)</f>
        <v>0</v>
      </c>
      <c r="K49" s="246">
        <f t="shared" ref="K49" si="520">SUM(K44:K48)</f>
        <v>0</v>
      </c>
      <c r="L49" s="246">
        <f t="shared" ref="L49" si="521">SUM(L44:L48)</f>
        <v>0</v>
      </c>
      <c r="M49" s="246">
        <f t="shared" ref="M49" si="522">SUM(M44:M48)</f>
        <v>0</v>
      </c>
      <c r="N49" s="246">
        <f t="shared" ref="N49" si="523">SUM(N44:N48)</f>
        <v>0</v>
      </c>
      <c r="O49" s="246">
        <f t="shared" ref="O49" si="524">SUM(O44:O48)</f>
        <v>0</v>
      </c>
      <c r="P49" s="246">
        <f t="shared" ref="P49" si="525">SUM(P44:P48)</f>
        <v>0</v>
      </c>
      <c r="Q49" s="246">
        <f t="shared" ref="Q49" si="526">SUM(Q44:Q48)</f>
        <v>0</v>
      </c>
      <c r="R49" s="246">
        <f t="shared" ref="R49" si="527">SUM(R44:R48)</f>
        <v>0</v>
      </c>
      <c r="S49" s="246">
        <f t="shared" ref="S49" si="528">SUM(S44:S48)</f>
        <v>0</v>
      </c>
      <c r="T49" s="246">
        <f t="shared" ref="T49" si="529">SUM(T44:T48)</f>
        <v>0</v>
      </c>
      <c r="U49" s="246">
        <f t="shared" ref="U49" si="530">SUM(U44:U48)</f>
        <v>0</v>
      </c>
      <c r="V49" s="246">
        <f t="shared" ref="V49" si="531">SUM(V44:V48)</f>
        <v>0</v>
      </c>
      <c r="W49" s="246">
        <f t="shared" ref="W49" si="532">SUM(W44:W48)</f>
        <v>0</v>
      </c>
      <c r="X49" s="246">
        <f t="shared" ref="X49" si="533">SUM(X44:X48)</f>
        <v>0</v>
      </c>
      <c r="Y49" s="246">
        <f t="shared" ref="Y49" si="534">SUM(Y44:Y48)</f>
        <v>0</v>
      </c>
      <c r="Z49" s="246">
        <f t="shared" ref="Z49" si="535">SUM(Z44:Z48)</f>
        <v>0</v>
      </c>
      <c r="AA49" s="246">
        <f t="shared" ref="AA49" si="536">SUM(AA44:AA48)</f>
        <v>0</v>
      </c>
      <c r="AB49" s="246">
        <f t="shared" ref="AB49" si="537">SUM(AB44:AB48)</f>
        <v>0</v>
      </c>
      <c r="AC49" s="246">
        <f t="shared" ref="AC49" si="538">SUM(AC44:AC48)</f>
        <v>0</v>
      </c>
      <c r="AD49" s="246">
        <f t="shared" ref="AD49" si="539">SUM(AD44:AD48)</f>
        <v>0</v>
      </c>
      <c r="AE49" s="246">
        <f t="shared" ref="AE49" si="540">SUM(AE44:AE48)</f>
        <v>0</v>
      </c>
      <c r="AF49" s="246">
        <f t="shared" ref="AF49" si="541">SUM(AF44:AF48)</f>
        <v>0</v>
      </c>
      <c r="AG49" s="246">
        <f t="shared" ref="AG49" si="542">SUM(AG44:AG48)</f>
        <v>0</v>
      </c>
      <c r="AH49" s="246">
        <f t="shared" ref="AH49" si="543">SUM(AH44:AH48)</f>
        <v>0</v>
      </c>
      <c r="AI49" s="246">
        <f t="shared" ref="AI49" si="544">SUM(AI44:AI48)</f>
        <v>0</v>
      </c>
      <c r="AJ49" s="246">
        <f t="shared" ref="AJ49" si="545">SUM(AJ44:AJ48)</f>
        <v>0</v>
      </c>
      <c r="AK49" s="246">
        <f t="shared" ref="AK49" si="546">SUM(AK44:AK48)</f>
        <v>0</v>
      </c>
      <c r="AL49" s="246">
        <f t="shared" ref="AL49" si="547">SUM(AL44:AL48)</f>
        <v>0</v>
      </c>
      <c r="AM49" s="246">
        <f t="shared" ref="AM49" si="548">SUM(AM44:AM48)</f>
        <v>0</v>
      </c>
      <c r="AN49" s="246">
        <f t="shared" ref="AN49" si="549">SUM(AN44:AN48)</f>
        <v>0</v>
      </c>
      <c r="AO49" s="246">
        <f>SUM(AO44:AO48)</f>
        <v>57427.475618333337</v>
      </c>
      <c r="AP49" s="246">
        <f t="shared" ref="AP49" si="550">SUM(AP44:AP48)</f>
        <v>75927.873068850007</v>
      </c>
      <c r="AQ49" s="246">
        <f t="shared" ref="AQ49" si="551">SUM(AQ44:AQ48)</f>
        <v>92800.733750816667</v>
      </c>
      <c r="AR49" s="246">
        <f t="shared" ref="AR49" si="552">SUM(AR44:AR48)</f>
        <v>109673.59443278334</v>
      </c>
      <c r="AS49" s="246">
        <f t="shared" ref="AS49" si="553">SUM(AS44:AS48)</f>
        <v>126546.45511474999</v>
      </c>
      <c r="AT49" s="246">
        <f t="shared" ref="AT49" si="554">SUM(AT44:AT48)</f>
        <v>143419.31579671666</v>
      </c>
      <c r="AU49" s="246">
        <f t="shared" ref="AU49" si="555">SUM(AU44:AU48)</f>
        <v>160292.17647868334</v>
      </c>
      <c r="AV49" s="246">
        <f t="shared" ref="AV49" si="556">SUM(AV44:AV48)</f>
        <v>174864.1925222</v>
      </c>
      <c r="AW49" s="246">
        <f t="shared" ref="AW49" si="557">SUM(AW44:AW48)</f>
        <v>174864.1925222</v>
      </c>
      <c r="AX49" s="246">
        <f t="shared" ref="AX49" si="558">SUM(AX44:AX48)</f>
        <v>174864.1925222</v>
      </c>
      <c r="AY49" s="246">
        <f t="shared" ref="AY49" si="559">SUM(AY44:AY48)</f>
        <v>174864.1925222</v>
      </c>
      <c r="AZ49" s="246">
        <f t="shared" ref="AZ49" si="560">SUM(AZ44:AZ48)</f>
        <v>174864.1925222</v>
      </c>
      <c r="BA49" s="246">
        <f t="shared" ref="BA49" si="561">SUM(BA44:BA48)</f>
        <v>175146.34252220002</v>
      </c>
      <c r="BB49" s="246">
        <f t="shared" ref="BB49" si="562">SUM(BB44:BB48)</f>
        <v>180110.11829786602</v>
      </c>
      <c r="BC49" s="246">
        <f t="shared" ref="BC49" si="563">SUM(BC44:BC48)</f>
        <v>180110.11829786602</v>
      </c>
      <c r="BD49" s="246">
        <f t="shared" ref="BD49" si="564">SUM(BD44:BD48)</f>
        <v>180110.11829786602</v>
      </c>
      <c r="BE49" s="246">
        <f t="shared" ref="BE49" si="565">SUM(BE44:BE48)</f>
        <v>180110.11829786602</v>
      </c>
      <c r="BF49" s="246">
        <f t="shared" ref="BF49" si="566">SUM(BF44:BF48)</f>
        <v>180110.11829786602</v>
      </c>
      <c r="BG49" s="246">
        <f t="shared" ref="BG49" si="567">SUM(BG44:BG48)</f>
        <v>180110.11829786602</v>
      </c>
      <c r="BH49" s="246">
        <f t="shared" ref="BH49" si="568">SUM(BH44:BH48)</f>
        <v>180110.11829786602</v>
      </c>
      <c r="BI49" s="246">
        <f t="shared" ref="BI49" si="569">SUM(BI44:BI48)</f>
        <v>180110.11829786602</v>
      </c>
      <c r="BJ49" s="246">
        <f t="shared" ref="BJ49" si="570">SUM(BJ44:BJ48)</f>
        <v>180110.11829786602</v>
      </c>
      <c r="BK49" s="246">
        <f t="shared" ref="BK49" si="571">SUM(BK44:BK48)</f>
        <v>180110.11829786602</v>
      </c>
      <c r="BL49" s="246">
        <f t="shared" ref="BL49" si="572">SUM(BL44:BL48)</f>
        <v>180110.11829786602</v>
      </c>
      <c r="BM49" s="246">
        <f t="shared" ref="BM49" si="573">SUM(BM44:BM48)</f>
        <v>180400.73279786602</v>
      </c>
      <c r="BN49" s="246">
        <f t="shared" ref="BN49" si="574">SUM(BN44:BN48)</f>
        <v>185513.42184680197</v>
      </c>
      <c r="BO49" s="246">
        <f t="shared" ref="BO49" si="575">SUM(BO44:BO48)</f>
        <v>185513.42184680197</v>
      </c>
      <c r="BP49" s="246">
        <f t="shared" ref="BP49" si="576">SUM(BP44:BP48)</f>
        <v>185513.42184680197</v>
      </c>
      <c r="BQ49" s="246">
        <f t="shared" ref="BQ49" si="577">SUM(BQ44:BQ48)</f>
        <v>185513.42184680197</v>
      </c>
      <c r="BR49" s="246">
        <f t="shared" ref="BR49" si="578">SUM(BR44:BR48)</f>
        <v>185513.42184680197</v>
      </c>
      <c r="BS49" s="246">
        <f t="shared" ref="BS49" si="579">SUM(BS44:BS48)</f>
        <v>185513.42184680197</v>
      </c>
      <c r="BT49" s="246">
        <f t="shared" ref="BT49" si="580">SUM(BT44:BT48)</f>
        <v>185513.42184680197</v>
      </c>
      <c r="BU49" s="246">
        <f t="shared" ref="BU49" si="581">SUM(BU44:BU48)</f>
        <v>185513.42184680197</v>
      </c>
      <c r="BV49" s="246">
        <f t="shared" ref="BV49" si="582">SUM(BV44:BV48)</f>
        <v>185513.42184680197</v>
      </c>
      <c r="BW49" s="246">
        <f t="shared" ref="BW49" si="583">SUM(BW44:BW48)</f>
        <v>185513.42184680197</v>
      </c>
      <c r="BX49" s="246">
        <f t="shared" ref="BX49" si="584">SUM(BX44:BX48)</f>
        <v>185513.42184680197</v>
      </c>
      <c r="BY49" s="246">
        <f t="shared" ref="BY49" si="585">SUM(BY44:BY48)</f>
        <v>185812.75478180195</v>
      </c>
      <c r="BZ49" s="246">
        <f t="shared" ref="BZ49:EK49" si="586">SUM(BZ44:BZ48)</f>
        <v>191078.824502206</v>
      </c>
      <c r="CA49" s="246">
        <f t="shared" si="586"/>
        <v>191078.824502206</v>
      </c>
      <c r="CB49" s="246">
        <f t="shared" si="586"/>
        <v>191078.824502206</v>
      </c>
      <c r="CC49" s="246">
        <f t="shared" si="586"/>
        <v>191078.824502206</v>
      </c>
      <c r="CD49" s="246">
        <f t="shared" si="586"/>
        <v>191078.824502206</v>
      </c>
      <c r="CE49" s="246">
        <f t="shared" si="586"/>
        <v>191078.824502206</v>
      </c>
      <c r="CF49" s="246">
        <f t="shared" si="586"/>
        <v>191078.824502206</v>
      </c>
      <c r="CG49" s="246">
        <f t="shared" si="586"/>
        <v>191078.824502206</v>
      </c>
      <c r="CH49" s="246">
        <f t="shared" si="586"/>
        <v>191078.824502206</v>
      </c>
      <c r="CI49" s="246">
        <f t="shared" si="586"/>
        <v>191078.824502206</v>
      </c>
      <c r="CJ49" s="246">
        <f t="shared" si="586"/>
        <v>191078.824502206</v>
      </c>
      <c r="CK49" s="246">
        <f t="shared" si="586"/>
        <v>191387.13742525602</v>
      </c>
      <c r="CL49" s="246">
        <f t="shared" si="586"/>
        <v>196811.18923727222</v>
      </c>
      <c r="CM49" s="246">
        <f t="shared" si="586"/>
        <v>196811.18923727222</v>
      </c>
      <c r="CN49" s="246">
        <f t="shared" si="586"/>
        <v>196811.18923727222</v>
      </c>
      <c r="CO49" s="246">
        <f t="shared" si="586"/>
        <v>196811.18923727222</v>
      </c>
      <c r="CP49" s="246">
        <f t="shared" si="586"/>
        <v>196811.18923727222</v>
      </c>
      <c r="CQ49" s="246">
        <f t="shared" si="586"/>
        <v>196811.18923727222</v>
      </c>
      <c r="CR49" s="246">
        <f t="shared" si="586"/>
        <v>196811.18923727222</v>
      </c>
      <c r="CS49" s="246">
        <f t="shared" si="586"/>
        <v>196811.18923727222</v>
      </c>
      <c r="CT49" s="246">
        <f t="shared" si="586"/>
        <v>196811.18923727222</v>
      </c>
      <c r="CU49" s="246">
        <f t="shared" si="586"/>
        <v>196811.18923727222</v>
      </c>
      <c r="CV49" s="246">
        <f t="shared" si="586"/>
        <v>196811.18923727222</v>
      </c>
      <c r="CW49" s="246">
        <f t="shared" si="586"/>
        <v>197128.75154801374</v>
      </c>
      <c r="CX49" s="246">
        <f t="shared" si="586"/>
        <v>202715.52491439032</v>
      </c>
      <c r="CY49" s="246">
        <f t="shared" si="586"/>
        <v>202715.52491439032</v>
      </c>
      <c r="CZ49" s="246">
        <f t="shared" si="586"/>
        <v>202715.52491439032</v>
      </c>
      <c r="DA49" s="246">
        <f t="shared" si="586"/>
        <v>202715.52491439032</v>
      </c>
      <c r="DB49" s="246">
        <f t="shared" si="586"/>
        <v>202715.52491439032</v>
      </c>
      <c r="DC49" s="246">
        <f t="shared" si="586"/>
        <v>202715.52491439032</v>
      </c>
      <c r="DD49" s="246">
        <f t="shared" si="586"/>
        <v>202715.52491439032</v>
      </c>
      <c r="DE49" s="246">
        <f t="shared" si="586"/>
        <v>202715.52491439032</v>
      </c>
      <c r="DF49" s="246">
        <f t="shared" si="586"/>
        <v>202715.52491439032</v>
      </c>
      <c r="DG49" s="246">
        <f t="shared" si="586"/>
        <v>202715.52491439032</v>
      </c>
      <c r="DH49" s="246">
        <f t="shared" si="586"/>
        <v>202715.52491439032</v>
      </c>
      <c r="DI49" s="246">
        <f t="shared" si="586"/>
        <v>203042.6140944541</v>
      </c>
      <c r="DJ49" s="246">
        <f t="shared" si="586"/>
        <v>208796.99066182206</v>
      </c>
      <c r="DK49" s="246">
        <f t="shared" si="586"/>
        <v>208796.99066182206</v>
      </c>
      <c r="DL49" s="246">
        <f t="shared" si="586"/>
        <v>208796.99066182206</v>
      </c>
      <c r="DM49" s="246">
        <f t="shared" si="586"/>
        <v>208796.99066182206</v>
      </c>
      <c r="DN49" s="246">
        <f t="shared" si="586"/>
        <v>208796.99066182206</v>
      </c>
      <c r="DO49" s="246">
        <f t="shared" si="586"/>
        <v>208796.99066182206</v>
      </c>
      <c r="DP49" s="246">
        <f t="shared" si="586"/>
        <v>208796.99066182206</v>
      </c>
      <c r="DQ49" s="246">
        <f t="shared" si="586"/>
        <v>208796.99066182206</v>
      </c>
      <c r="DR49" s="246">
        <f t="shared" si="586"/>
        <v>208796.99066182206</v>
      </c>
      <c r="DS49" s="246">
        <f t="shared" si="586"/>
        <v>208796.99066182206</v>
      </c>
      <c r="DT49" s="246">
        <f t="shared" si="586"/>
        <v>208796.99066182206</v>
      </c>
      <c r="DU49" s="246">
        <f t="shared" si="586"/>
        <v>209133.89251728775</v>
      </c>
      <c r="DV49" s="246">
        <f t="shared" si="586"/>
        <v>215060.90038167677</v>
      </c>
      <c r="DW49" s="246">
        <f t="shared" si="586"/>
        <v>215060.90038167677</v>
      </c>
      <c r="DX49" s="246">
        <f t="shared" si="586"/>
        <v>215060.90038167677</v>
      </c>
      <c r="DY49" s="246">
        <f t="shared" si="586"/>
        <v>215060.90038167677</v>
      </c>
      <c r="DZ49" s="246">
        <f t="shared" si="586"/>
        <v>215060.90038167677</v>
      </c>
      <c r="EA49" s="246">
        <f t="shared" si="586"/>
        <v>215060.90038167677</v>
      </c>
      <c r="EB49" s="246">
        <f t="shared" si="586"/>
        <v>215060.90038167677</v>
      </c>
      <c r="EC49" s="246">
        <f t="shared" si="586"/>
        <v>215060.90038167677</v>
      </c>
      <c r="ED49" s="246">
        <f t="shared" si="586"/>
        <v>215060.90038167677</v>
      </c>
      <c r="EE49" s="246">
        <f t="shared" si="586"/>
        <v>215060.90038167677</v>
      </c>
      <c r="EF49" s="246">
        <f t="shared" si="586"/>
        <v>215060.90038167677</v>
      </c>
      <c r="EG49" s="246">
        <f t="shared" si="586"/>
        <v>215407.90929280641</v>
      </c>
      <c r="EH49" s="246">
        <f t="shared" si="586"/>
        <v>221512.72739312708</v>
      </c>
      <c r="EI49" s="246">
        <f t="shared" si="586"/>
        <v>221512.72739312708</v>
      </c>
      <c r="EJ49" s="246">
        <f t="shared" si="586"/>
        <v>221512.72739312708</v>
      </c>
      <c r="EK49" s="246">
        <f t="shared" si="586"/>
        <v>221512.72739312708</v>
      </c>
      <c r="EL49" s="246">
        <f t="shared" ref="EL49:ET49" si="587">SUM(EL44:EL48)</f>
        <v>221512.72739312708</v>
      </c>
      <c r="EM49" s="246">
        <f t="shared" si="587"/>
        <v>221512.72739312708</v>
      </c>
      <c r="EN49" s="246">
        <f t="shared" si="587"/>
        <v>221512.72739312708</v>
      </c>
      <c r="EO49" s="246">
        <f t="shared" si="587"/>
        <v>221512.72739312708</v>
      </c>
      <c r="EP49" s="246">
        <f t="shared" si="587"/>
        <v>221512.72739312708</v>
      </c>
      <c r="EQ49" s="246">
        <f t="shared" si="587"/>
        <v>221512.72739312708</v>
      </c>
      <c r="ER49" s="246">
        <f t="shared" si="587"/>
        <v>221512.72739312708</v>
      </c>
      <c r="ES49" s="246">
        <f t="shared" si="587"/>
        <v>221870.14657159059</v>
      </c>
      <c r="ET49" s="246">
        <f t="shared" si="587"/>
        <v>228158.10921492084</v>
      </c>
    </row>
    <row r="50" spans="2:150" x14ac:dyDescent="0.2">
      <c r="B50" t="s">
        <v>69</v>
      </c>
      <c r="D50" s="242">
        <f t="shared" si="510"/>
        <v>-547882.80755716772</v>
      </c>
      <c r="F50" s="242">
        <f>-IF(F$6&gt;=Assumptions!$F$38,Assumptions!$L22/12*(1+Assumptions!$K$32)^ROUNDDOWN(YEARFRAC(F$6,Assumptions!$F$38),0),0)</f>
        <v>0</v>
      </c>
      <c r="G50" s="242">
        <f>-IF(G$6&gt;=Assumptions!$F$38,Assumptions!$L22/12*(1+Assumptions!$K$32)^ROUNDDOWN(YEARFRAC(G$6,Assumptions!$F$38),0),0)</f>
        <v>0</v>
      </c>
      <c r="H50" s="242">
        <f>-IF(H$6&gt;=Assumptions!$F$38,Assumptions!$L22/12*(1+Assumptions!$K$32)^ROUNDDOWN(YEARFRAC(H$6,Assumptions!$F$38),0),0)</f>
        <v>0</v>
      </c>
      <c r="I50" s="242">
        <f>-IF(I$6&gt;=Assumptions!$F$38,Assumptions!$L22/12*(1+Assumptions!$K$32)^ROUNDDOWN(YEARFRAC(I$6,Assumptions!$F$38),0),0)</f>
        <v>0</v>
      </c>
      <c r="J50" s="242">
        <f>-IF(J$6&gt;=Assumptions!$F$38,Assumptions!$L22/12*(1+Assumptions!$K$32)^ROUNDDOWN(YEARFRAC(J$6,Assumptions!$F$38),0),0)</f>
        <v>0</v>
      </c>
      <c r="K50" s="242">
        <f>-IF(K$6&gt;=Assumptions!$F$38,Assumptions!$L22/12*(1+Assumptions!$K$32)^ROUNDDOWN(YEARFRAC(K$6,Assumptions!$F$38),0),0)</f>
        <v>0</v>
      </c>
      <c r="L50" s="242">
        <f>-IF(L$6&gt;=Assumptions!$F$38,Assumptions!$L22/12*(1+Assumptions!$K$32)^ROUNDDOWN(YEARFRAC(L$6,Assumptions!$F$38),0),0)</f>
        <v>0</v>
      </c>
      <c r="M50" s="242">
        <f>-IF(M$6&gt;=Assumptions!$F$38,Assumptions!$L22/12*(1+Assumptions!$K$32)^ROUNDDOWN(YEARFRAC(M$6,Assumptions!$F$38),0),0)</f>
        <v>0</v>
      </c>
      <c r="N50" s="242">
        <f>-IF(N$6&gt;=Assumptions!$F$38,Assumptions!$L22/12*(1+Assumptions!$K$32)^ROUNDDOWN(YEARFRAC(N$6,Assumptions!$F$38),0),0)</f>
        <v>0</v>
      </c>
      <c r="O50" s="242">
        <f>-IF(O$6&gt;=Assumptions!$F$38,Assumptions!$L22/12*(1+Assumptions!$K$32)^ROUNDDOWN(YEARFRAC(O$6,Assumptions!$F$38),0),0)</f>
        <v>0</v>
      </c>
      <c r="P50" s="242">
        <f>-IF(P$6&gt;=Assumptions!$F$38,Assumptions!$L22/12*(1+Assumptions!$K$32)^ROUNDDOWN(YEARFRAC(P$6,Assumptions!$F$38),0),0)</f>
        <v>0</v>
      </c>
      <c r="Q50" s="242">
        <f>-IF(Q$6&gt;=Assumptions!$F$38,Assumptions!$L22/12*(1+Assumptions!$K$32)^ROUNDDOWN(YEARFRAC(Q$6,Assumptions!$F$38),0),0)</f>
        <v>0</v>
      </c>
      <c r="R50" s="242">
        <f>-IF(R$6&gt;=Assumptions!$F$38,Assumptions!$L22/12*(1+Assumptions!$K$32)^ROUNDDOWN(YEARFRAC(R$6,Assumptions!$F$38),0),0)</f>
        <v>0</v>
      </c>
      <c r="S50" s="242">
        <f>-IF(S$6&gt;=Assumptions!$F$38,Assumptions!$L22/12*(1+Assumptions!$K$32)^ROUNDDOWN(YEARFRAC(S$6,Assumptions!$F$38),0),0)</f>
        <v>0</v>
      </c>
      <c r="T50" s="242">
        <f>-IF(T$6&gt;=Assumptions!$F$38,Assumptions!$L22/12*(1+Assumptions!$K$32)^ROUNDDOWN(YEARFRAC(T$6,Assumptions!$F$38),0),0)</f>
        <v>0</v>
      </c>
      <c r="U50" s="242">
        <f>-IF(U$6&gt;=Assumptions!$F$38,Assumptions!$L22/12*(1+Assumptions!$K$32)^ROUNDDOWN(YEARFRAC(U$6,Assumptions!$F$38),0),0)</f>
        <v>0</v>
      </c>
      <c r="V50" s="242">
        <f>-IF(V$6&gt;=Assumptions!$F$38,Assumptions!$L22/12*(1+Assumptions!$K$32)^ROUNDDOWN(YEARFRAC(V$6,Assumptions!$F$38),0),0)</f>
        <v>0</v>
      </c>
      <c r="W50" s="242">
        <f>-IF(W$6&gt;=Assumptions!$F$38,Assumptions!$L22/12*(1+Assumptions!$K$32)^ROUNDDOWN(YEARFRAC(W$6,Assumptions!$F$38),0),0)</f>
        <v>0</v>
      </c>
      <c r="X50" s="242">
        <f>-IF(X$6&gt;=Assumptions!$F$38,Assumptions!$L22/12*(1+Assumptions!$K$32)^ROUNDDOWN(YEARFRAC(X$6,Assumptions!$F$38),0),0)</f>
        <v>0</v>
      </c>
      <c r="Y50" s="242">
        <f>-IF(Y$6&gt;=Assumptions!$F$38,Assumptions!$L22/12*(1+Assumptions!$K$32)^ROUNDDOWN(YEARFRAC(Y$6,Assumptions!$F$38),0),0)</f>
        <v>0</v>
      </c>
      <c r="Z50" s="242">
        <f>-IF(Z$6&gt;=Assumptions!$F$38,Assumptions!$L22/12*(1+Assumptions!$K$32)^ROUNDDOWN(YEARFRAC(Z$6,Assumptions!$F$38),0),0)</f>
        <v>0</v>
      </c>
      <c r="AA50" s="242">
        <f>-IF(AA$6&gt;=Assumptions!$F$38,Assumptions!$L22/12*(1+Assumptions!$K$32)^ROUNDDOWN(YEARFRAC(AA$6,Assumptions!$F$38),0),0)</f>
        <v>0</v>
      </c>
      <c r="AB50" s="242">
        <f>-IF(AB$6&gt;=Assumptions!$F$38,Assumptions!$L22/12*(1+Assumptions!$K$32)^ROUNDDOWN(YEARFRAC(AB$6,Assumptions!$F$38),0),0)</f>
        <v>0</v>
      </c>
      <c r="AC50" s="242">
        <f>-IF(AC$6&gt;=Assumptions!$F$38,Assumptions!$L22/12*(1+Assumptions!$K$32)^ROUNDDOWN(YEARFRAC(AC$6,Assumptions!$F$38),0),0)</f>
        <v>0</v>
      </c>
      <c r="AD50" s="242">
        <f>-IF(AD$6&gt;=Assumptions!$F$38,Assumptions!$L22/12*(1+Assumptions!$K$32)^ROUNDDOWN(YEARFRAC(AD$6,Assumptions!$F$38),0),0)</f>
        <v>0</v>
      </c>
      <c r="AE50" s="242">
        <f>-IF(AE$6&gt;=Assumptions!$F$38,Assumptions!$L22/12*(1+Assumptions!$K$32)^ROUNDDOWN(YEARFRAC(AE$6,Assumptions!$F$38),0),0)</f>
        <v>0</v>
      </c>
      <c r="AF50" s="242">
        <f>-IF(AF$6&gt;=Assumptions!$F$38,Assumptions!$L22/12*(1+Assumptions!$K$32)^ROUNDDOWN(YEARFRAC(AF$6,Assumptions!$F$38),0),0)</f>
        <v>0</v>
      </c>
      <c r="AG50" s="242">
        <f>-IF(AG$6&gt;=Assumptions!$F$38,Assumptions!$L22/12*(1+Assumptions!$K$32)^ROUNDDOWN(YEARFRAC(AG$6,Assumptions!$F$38),0),0)</f>
        <v>0</v>
      </c>
      <c r="AH50" s="242">
        <f>-IF(AH$6&gt;=Assumptions!$F$38,Assumptions!$L22/12*(1+Assumptions!$K$32)^ROUNDDOWN(YEARFRAC(AH$6,Assumptions!$F$38),0),0)</f>
        <v>0</v>
      </c>
      <c r="AI50" s="242">
        <f>-IF(AI$6&gt;=Assumptions!$F$38,Assumptions!$L22/12*(1+Assumptions!$K$32)^ROUNDDOWN(YEARFRAC(AI$6,Assumptions!$F$38),0),0)</f>
        <v>0</v>
      </c>
      <c r="AJ50" s="242">
        <f>-IF(AJ$6&gt;=Assumptions!$F$38,Assumptions!$L22/12*(1+Assumptions!$K$32)^ROUNDDOWN(YEARFRAC(AJ$6,Assumptions!$F$38),0),0)</f>
        <v>0</v>
      </c>
      <c r="AK50" s="242">
        <f>-IF(AK$6&gt;=Assumptions!$F$38,Assumptions!$L22/12*(1+Assumptions!$K$32)^ROUNDDOWN(YEARFRAC(AK$6,Assumptions!$F$38),0),0)</f>
        <v>0</v>
      </c>
      <c r="AL50" s="242">
        <f>-IF(AL$6&gt;=Assumptions!$F$38,Assumptions!$L22/12*(1+Assumptions!$K$32)^ROUNDDOWN(YEARFRAC(AL$6,Assumptions!$F$38),0),0)</f>
        <v>0</v>
      </c>
      <c r="AM50" s="242">
        <f>-IF(AM$6&gt;=Assumptions!$F$38,Assumptions!$L22/12*(1+Assumptions!$K$32)^ROUNDDOWN(YEARFRAC(AM$6,Assumptions!$F$38),0),0)</f>
        <v>0</v>
      </c>
      <c r="AN50" s="242">
        <f>-IF(AN$6&gt;=Assumptions!$F$38,Assumptions!$L22/12*(1+Assumptions!$K$32)^ROUNDDOWN(YEARFRAC(AN$6,Assumptions!$F$38),0),0)</f>
        <v>0</v>
      </c>
      <c r="AO50" s="242">
        <f>-IF(AO$6&gt;=Assumptions!$F$38,Assumptions!$L22/12*(1+Assumptions!$K$32)^ROUNDDOWN(YEARFRAC(AO$6,Assumptions!$F$38),0),0)</f>
        <v>-4400</v>
      </c>
      <c r="AP50" s="242">
        <f>-IF(AP$6&gt;=Assumptions!$F$38,Assumptions!$L22/12*(1+Assumptions!$K$32)^ROUNDDOWN(YEARFRAC(AP$6,Assumptions!$F$38),0),0)</f>
        <v>-4400</v>
      </c>
      <c r="AQ50" s="242">
        <f>-IF(AQ$6&gt;=Assumptions!$F$38,Assumptions!$L22/12*(1+Assumptions!$K$32)^ROUNDDOWN(YEARFRAC(AQ$6,Assumptions!$F$38),0),0)</f>
        <v>-4400</v>
      </c>
      <c r="AR50" s="242">
        <f>-IF(AR$6&gt;=Assumptions!$F$38,Assumptions!$L22/12*(1+Assumptions!$K$32)^ROUNDDOWN(YEARFRAC(AR$6,Assumptions!$F$38),0),0)</f>
        <v>-4400</v>
      </c>
      <c r="AS50" s="242">
        <f>-IF(AS$6&gt;=Assumptions!$F$38,Assumptions!$L22/12*(1+Assumptions!$K$32)^ROUNDDOWN(YEARFRAC(AS$6,Assumptions!$F$38),0),0)</f>
        <v>-4400</v>
      </c>
      <c r="AT50" s="242">
        <f>-IF(AT$6&gt;=Assumptions!$F$38,Assumptions!$L22/12*(1+Assumptions!$K$32)^ROUNDDOWN(YEARFRAC(AT$6,Assumptions!$F$38),0),0)</f>
        <v>-4400</v>
      </c>
      <c r="AU50" s="242">
        <f>-IF(AU$6&gt;=Assumptions!$F$38,Assumptions!$L22/12*(1+Assumptions!$K$32)^ROUNDDOWN(YEARFRAC(AU$6,Assumptions!$F$38),0),0)</f>
        <v>-4400</v>
      </c>
      <c r="AV50" s="242">
        <f>-IF(AV$6&gt;=Assumptions!$F$38,Assumptions!$L22/12*(1+Assumptions!$K$32)^ROUNDDOWN(YEARFRAC(AV$6,Assumptions!$F$38),0),0)</f>
        <v>-4400</v>
      </c>
      <c r="AW50" s="242">
        <f>-IF(AW$6&gt;=Assumptions!$F$38,Assumptions!$L22/12*(1+Assumptions!$K$32)^ROUNDDOWN(YEARFRAC(AW$6,Assumptions!$F$38),0),0)</f>
        <v>-4400</v>
      </c>
      <c r="AX50" s="242">
        <f>-IF(AX$6&gt;=Assumptions!$F$38,Assumptions!$L22/12*(1+Assumptions!$K$32)^ROUNDDOWN(YEARFRAC(AX$6,Assumptions!$F$38),0),0)</f>
        <v>-4400</v>
      </c>
      <c r="AY50" s="242">
        <f>-IF(AY$6&gt;=Assumptions!$F$38,Assumptions!$L22/12*(1+Assumptions!$K$32)^ROUNDDOWN(YEARFRAC(AY$6,Assumptions!$F$38),0),0)</f>
        <v>-4400</v>
      </c>
      <c r="AZ50" s="242">
        <f>-IF(AZ$6&gt;=Assumptions!$F$38,Assumptions!$L22/12*(1+Assumptions!$K$32)^ROUNDDOWN(YEARFRAC(AZ$6,Assumptions!$F$38),0),0)</f>
        <v>-4400</v>
      </c>
      <c r="BA50" s="242">
        <f>-IF(BA$6&gt;=Assumptions!$F$38,Assumptions!$L22/12*(1+Assumptions!$K$32)^ROUNDDOWN(YEARFRAC(BA$6,Assumptions!$F$38),0),0)</f>
        <v>-4532</v>
      </c>
      <c r="BB50" s="242">
        <f>-IF(BB$6&gt;=Assumptions!$F$38,Assumptions!$L22/12*(1+Assumptions!$K$32)^ROUNDDOWN(YEARFRAC(BB$6,Assumptions!$F$38),0),0)</f>
        <v>-4532</v>
      </c>
      <c r="BC50" s="242">
        <f>-IF(BC$6&gt;=Assumptions!$F$38,Assumptions!$L22/12*(1+Assumptions!$K$32)^ROUNDDOWN(YEARFRAC(BC$6,Assumptions!$F$38),0),0)</f>
        <v>-4532</v>
      </c>
      <c r="BD50" s="242">
        <f>-IF(BD$6&gt;=Assumptions!$F$38,Assumptions!$L22/12*(1+Assumptions!$K$32)^ROUNDDOWN(YEARFRAC(BD$6,Assumptions!$F$38),0),0)</f>
        <v>-4532</v>
      </c>
      <c r="BE50" s="242">
        <f>-IF(BE$6&gt;=Assumptions!$F$38,Assumptions!$L22/12*(1+Assumptions!$K$32)^ROUNDDOWN(YEARFRAC(BE$6,Assumptions!$F$38),0),0)</f>
        <v>-4532</v>
      </c>
      <c r="BF50" s="242">
        <f>-IF(BF$6&gt;=Assumptions!$F$38,Assumptions!$L22/12*(1+Assumptions!$K$32)^ROUNDDOWN(YEARFRAC(BF$6,Assumptions!$F$38),0),0)</f>
        <v>-4532</v>
      </c>
      <c r="BG50" s="242">
        <f>-IF(BG$6&gt;=Assumptions!$F$38,Assumptions!$L22/12*(1+Assumptions!$K$32)^ROUNDDOWN(YEARFRAC(BG$6,Assumptions!$F$38),0),0)</f>
        <v>-4532</v>
      </c>
      <c r="BH50" s="242">
        <f>-IF(BH$6&gt;=Assumptions!$F$38,Assumptions!$L22/12*(1+Assumptions!$K$32)^ROUNDDOWN(YEARFRAC(BH$6,Assumptions!$F$38),0),0)</f>
        <v>-4532</v>
      </c>
      <c r="BI50" s="242">
        <f>-IF(BI$6&gt;=Assumptions!$F$38,Assumptions!$L22/12*(1+Assumptions!$K$32)^ROUNDDOWN(YEARFRAC(BI$6,Assumptions!$F$38),0),0)</f>
        <v>-4532</v>
      </c>
      <c r="BJ50" s="242">
        <f>-IF(BJ$6&gt;=Assumptions!$F$38,Assumptions!$L22/12*(1+Assumptions!$K$32)^ROUNDDOWN(YEARFRAC(BJ$6,Assumptions!$F$38),0),0)</f>
        <v>-4532</v>
      </c>
      <c r="BK50" s="242">
        <f>-IF(BK$6&gt;=Assumptions!$F$38,Assumptions!$L22/12*(1+Assumptions!$K$32)^ROUNDDOWN(YEARFRAC(BK$6,Assumptions!$F$38),0),0)</f>
        <v>-4532</v>
      </c>
      <c r="BL50" s="242">
        <f>-IF(BL$6&gt;=Assumptions!$F$38,Assumptions!$L22/12*(1+Assumptions!$K$32)^ROUNDDOWN(YEARFRAC(BL$6,Assumptions!$F$38),0),0)</f>
        <v>-4532</v>
      </c>
      <c r="BM50" s="242">
        <f>-IF(BM$6&gt;=Assumptions!$F$38,Assumptions!$L22/12*(1+Assumptions!$K$32)^ROUNDDOWN(YEARFRAC(BM$6,Assumptions!$F$38),0),0)</f>
        <v>-4667.96</v>
      </c>
      <c r="BN50" s="242">
        <f>-IF(BN$6&gt;=Assumptions!$F$38,Assumptions!$L22/12*(1+Assumptions!$K$32)^ROUNDDOWN(YEARFRAC(BN$6,Assumptions!$F$38),0),0)</f>
        <v>-4667.96</v>
      </c>
      <c r="BO50" s="242">
        <f>-IF(BO$6&gt;=Assumptions!$F$38,Assumptions!$L22/12*(1+Assumptions!$K$32)^ROUNDDOWN(YEARFRAC(BO$6,Assumptions!$F$38),0),0)</f>
        <v>-4667.96</v>
      </c>
      <c r="BP50" s="242">
        <f>-IF(BP$6&gt;=Assumptions!$F$38,Assumptions!$L22/12*(1+Assumptions!$K$32)^ROUNDDOWN(YEARFRAC(BP$6,Assumptions!$F$38),0),0)</f>
        <v>-4667.96</v>
      </c>
      <c r="BQ50" s="242">
        <f>-IF(BQ$6&gt;=Assumptions!$F$38,Assumptions!$L22/12*(1+Assumptions!$K$32)^ROUNDDOWN(YEARFRAC(BQ$6,Assumptions!$F$38),0),0)</f>
        <v>-4667.96</v>
      </c>
      <c r="BR50" s="242">
        <f>-IF(BR$6&gt;=Assumptions!$F$38,Assumptions!$L22/12*(1+Assumptions!$K$32)^ROUNDDOWN(YEARFRAC(BR$6,Assumptions!$F$38),0),0)</f>
        <v>-4667.96</v>
      </c>
      <c r="BS50" s="242">
        <f>-IF(BS$6&gt;=Assumptions!$F$38,Assumptions!$L22/12*(1+Assumptions!$K$32)^ROUNDDOWN(YEARFRAC(BS$6,Assumptions!$F$38),0),0)</f>
        <v>-4667.96</v>
      </c>
      <c r="BT50" s="242">
        <f>-IF(BT$6&gt;=Assumptions!$F$38,Assumptions!$L22/12*(1+Assumptions!$K$32)^ROUNDDOWN(YEARFRAC(BT$6,Assumptions!$F$38),0),0)</f>
        <v>-4667.96</v>
      </c>
      <c r="BU50" s="242">
        <f>-IF(BU$6&gt;=Assumptions!$F$38,Assumptions!$L22/12*(1+Assumptions!$K$32)^ROUNDDOWN(YEARFRAC(BU$6,Assumptions!$F$38),0),0)</f>
        <v>-4667.96</v>
      </c>
      <c r="BV50" s="242">
        <f>-IF(BV$6&gt;=Assumptions!$F$38,Assumptions!$L22/12*(1+Assumptions!$K$32)^ROUNDDOWN(YEARFRAC(BV$6,Assumptions!$F$38),0),0)</f>
        <v>-4667.96</v>
      </c>
      <c r="BW50" s="242">
        <f>-IF(BW$6&gt;=Assumptions!$F$38,Assumptions!$L22/12*(1+Assumptions!$K$32)^ROUNDDOWN(YEARFRAC(BW$6,Assumptions!$F$38),0),0)</f>
        <v>-4667.96</v>
      </c>
      <c r="BX50" s="242">
        <f>-IF(BX$6&gt;=Assumptions!$F$38,Assumptions!$L22/12*(1+Assumptions!$K$32)^ROUNDDOWN(YEARFRAC(BX$6,Assumptions!$F$38),0),0)</f>
        <v>-4667.96</v>
      </c>
      <c r="BY50" s="242">
        <f>-IF(BY$6&gt;=Assumptions!$F$38,Assumptions!$L22/12*(1+Assumptions!$K$32)^ROUNDDOWN(YEARFRAC(BY$6,Assumptions!$F$38),0),0)</f>
        <v>-4807.9988000000003</v>
      </c>
      <c r="BZ50" s="242">
        <f>-IF(BZ$6&gt;=Assumptions!$F$38,Assumptions!$L22/12*(1+Assumptions!$K$32)^ROUNDDOWN(YEARFRAC(BZ$6,Assumptions!$F$38),0),0)</f>
        <v>-4807.9988000000003</v>
      </c>
      <c r="CA50" s="242">
        <f>-IF(CA$6&gt;=Assumptions!$F$38,Assumptions!$L22/12*(1+Assumptions!$K$32)^ROUNDDOWN(YEARFRAC(CA$6,Assumptions!$F$38),0),0)</f>
        <v>-4807.9988000000003</v>
      </c>
      <c r="CB50" s="242">
        <f>-IF(CB$6&gt;=Assumptions!$F$38,Assumptions!$L22/12*(1+Assumptions!$K$32)^ROUNDDOWN(YEARFRAC(CB$6,Assumptions!$F$38),0),0)</f>
        <v>-4807.9988000000003</v>
      </c>
      <c r="CC50" s="242">
        <f>-IF(CC$6&gt;=Assumptions!$F$38,Assumptions!$L22/12*(1+Assumptions!$K$32)^ROUNDDOWN(YEARFRAC(CC$6,Assumptions!$F$38),0),0)</f>
        <v>-4807.9988000000003</v>
      </c>
      <c r="CD50" s="242">
        <f>-IF(CD$6&gt;=Assumptions!$F$38,Assumptions!$L22/12*(1+Assumptions!$K$32)^ROUNDDOWN(YEARFRAC(CD$6,Assumptions!$F$38),0),0)</f>
        <v>-4807.9988000000003</v>
      </c>
      <c r="CE50" s="242">
        <f>-IF(CE$6&gt;=Assumptions!$F$38,Assumptions!$L22/12*(1+Assumptions!$K$32)^ROUNDDOWN(YEARFRAC(CE$6,Assumptions!$F$38),0),0)</f>
        <v>-4807.9988000000003</v>
      </c>
      <c r="CF50" s="242">
        <f>-IF(CF$6&gt;=Assumptions!$F$38,Assumptions!$L22/12*(1+Assumptions!$K$32)^ROUNDDOWN(YEARFRAC(CF$6,Assumptions!$F$38),0),0)</f>
        <v>-4807.9988000000003</v>
      </c>
      <c r="CG50" s="242">
        <f>-IF(CG$6&gt;=Assumptions!$F$38,Assumptions!$L22/12*(1+Assumptions!$K$32)^ROUNDDOWN(YEARFRAC(CG$6,Assumptions!$F$38),0),0)</f>
        <v>-4807.9988000000003</v>
      </c>
      <c r="CH50" s="242">
        <f>-IF(CH$6&gt;=Assumptions!$F$38,Assumptions!$L22/12*(1+Assumptions!$K$32)^ROUNDDOWN(YEARFRAC(CH$6,Assumptions!$F$38),0),0)</f>
        <v>-4807.9988000000003</v>
      </c>
      <c r="CI50" s="242">
        <f>-IF(CI$6&gt;=Assumptions!$F$38,Assumptions!$L22/12*(1+Assumptions!$K$32)^ROUNDDOWN(YEARFRAC(CI$6,Assumptions!$F$38),0),0)</f>
        <v>-4807.9988000000003</v>
      </c>
      <c r="CJ50" s="242">
        <f>-IF(CJ$6&gt;=Assumptions!$F$38,Assumptions!$L22/12*(1+Assumptions!$K$32)^ROUNDDOWN(YEARFRAC(CJ$6,Assumptions!$F$38),0),0)</f>
        <v>-4807.9988000000003</v>
      </c>
      <c r="CK50" s="242">
        <f>-IF(CK$6&gt;=Assumptions!$F$38,Assumptions!$L22/12*(1+Assumptions!$K$32)^ROUNDDOWN(YEARFRAC(CK$6,Assumptions!$F$38),0),0)</f>
        <v>-4952.2387639999997</v>
      </c>
      <c r="CL50" s="242">
        <f>-IF(CL$6&gt;=Assumptions!$F$38,Assumptions!$L22/12*(1+Assumptions!$K$32)^ROUNDDOWN(YEARFRAC(CL$6,Assumptions!$F$38),0),0)</f>
        <v>-4952.2387639999997</v>
      </c>
      <c r="CM50" s="242">
        <f>-IF(CM$6&gt;=Assumptions!$F$38,Assumptions!$L22/12*(1+Assumptions!$K$32)^ROUNDDOWN(YEARFRAC(CM$6,Assumptions!$F$38),0),0)</f>
        <v>-4952.2387639999997</v>
      </c>
      <c r="CN50" s="242">
        <f>-IF(CN$6&gt;=Assumptions!$F$38,Assumptions!$L22/12*(1+Assumptions!$K$32)^ROUNDDOWN(YEARFRAC(CN$6,Assumptions!$F$38),0),0)</f>
        <v>-4952.2387639999997</v>
      </c>
      <c r="CO50" s="242">
        <f>-IF(CO$6&gt;=Assumptions!$F$38,Assumptions!$L22/12*(1+Assumptions!$K$32)^ROUNDDOWN(YEARFRAC(CO$6,Assumptions!$F$38),0),0)</f>
        <v>-4952.2387639999997</v>
      </c>
      <c r="CP50" s="242">
        <f>-IF(CP$6&gt;=Assumptions!$F$38,Assumptions!$L22/12*(1+Assumptions!$K$32)^ROUNDDOWN(YEARFRAC(CP$6,Assumptions!$F$38),0),0)</f>
        <v>-4952.2387639999997</v>
      </c>
      <c r="CQ50" s="242">
        <f>-IF(CQ$6&gt;=Assumptions!$F$38,Assumptions!$L22/12*(1+Assumptions!$K$32)^ROUNDDOWN(YEARFRAC(CQ$6,Assumptions!$F$38),0),0)</f>
        <v>-4952.2387639999997</v>
      </c>
      <c r="CR50" s="242">
        <f>-IF(CR$6&gt;=Assumptions!$F$38,Assumptions!$L22/12*(1+Assumptions!$K$32)^ROUNDDOWN(YEARFRAC(CR$6,Assumptions!$F$38),0),0)</f>
        <v>-4952.2387639999997</v>
      </c>
      <c r="CS50" s="242">
        <f>-IF(CS$6&gt;=Assumptions!$F$38,Assumptions!$L22/12*(1+Assumptions!$K$32)^ROUNDDOWN(YEARFRAC(CS$6,Assumptions!$F$38),0),0)</f>
        <v>-4952.2387639999997</v>
      </c>
      <c r="CT50" s="242">
        <f>-IF(CT$6&gt;=Assumptions!$F$38,Assumptions!$L22/12*(1+Assumptions!$K$32)^ROUNDDOWN(YEARFRAC(CT$6,Assumptions!$F$38),0),0)</f>
        <v>-4952.2387639999997</v>
      </c>
      <c r="CU50" s="242">
        <f>-IF(CU$6&gt;=Assumptions!$F$38,Assumptions!$L22/12*(1+Assumptions!$K$32)^ROUNDDOWN(YEARFRAC(CU$6,Assumptions!$F$38),0),0)</f>
        <v>-4952.2387639999997</v>
      </c>
      <c r="CV50" s="242">
        <f>-IF(CV$6&gt;=Assumptions!$F$38,Assumptions!$L22/12*(1+Assumptions!$K$32)^ROUNDDOWN(YEARFRAC(CV$6,Assumptions!$F$38),0),0)</f>
        <v>-4952.2387639999997</v>
      </c>
      <c r="CW50" s="242">
        <f>-IF(CW$6&gt;=Assumptions!$F$38,Assumptions!$L22/12*(1+Assumptions!$K$32)^ROUNDDOWN(YEARFRAC(CW$6,Assumptions!$F$38),0),0)</f>
        <v>-5100.8059269199994</v>
      </c>
      <c r="CX50" s="242">
        <f>-IF(CX$6&gt;=Assumptions!$F$38,Assumptions!$L22/12*(1+Assumptions!$K$32)^ROUNDDOWN(YEARFRAC(CX$6,Assumptions!$F$38),0),0)</f>
        <v>-5100.8059269199994</v>
      </c>
      <c r="CY50" s="242">
        <f>-IF(CY$6&gt;=Assumptions!$F$38,Assumptions!$L22/12*(1+Assumptions!$K$32)^ROUNDDOWN(YEARFRAC(CY$6,Assumptions!$F$38),0),0)</f>
        <v>-5100.8059269199994</v>
      </c>
      <c r="CZ50" s="242">
        <f>-IF(CZ$6&gt;=Assumptions!$F$38,Assumptions!$L22/12*(1+Assumptions!$K$32)^ROUNDDOWN(YEARFRAC(CZ$6,Assumptions!$F$38),0),0)</f>
        <v>-5100.8059269199994</v>
      </c>
      <c r="DA50" s="242">
        <f>-IF(DA$6&gt;=Assumptions!$F$38,Assumptions!$L22/12*(1+Assumptions!$K$32)^ROUNDDOWN(YEARFRAC(DA$6,Assumptions!$F$38),0),0)</f>
        <v>-5100.8059269199994</v>
      </c>
      <c r="DB50" s="242">
        <f>-IF(DB$6&gt;=Assumptions!$F$38,Assumptions!$L22/12*(1+Assumptions!$K$32)^ROUNDDOWN(YEARFRAC(DB$6,Assumptions!$F$38),0),0)</f>
        <v>-5100.8059269199994</v>
      </c>
      <c r="DC50" s="242">
        <f>-IF(DC$6&gt;=Assumptions!$F$38,Assumptions!$L22/12*(1+Assumptions!$K$32)^ROUNDDOWN(YEARFRAC(DC$6,Assumptions!$F$38),0),0)</f>
        <v>-5100.8059269199994</v>
      </c>
      <c r="DD50" s="242">
        <f>-IF(DD$6&gt;=Assumptions!$F$38,Assumptions!$L22/12*(1+Assumptions!$K$32)^ROUNDDOWN(YEARFRAC(DD$6,Assumptions!$F$38),0),0)</f>
        <v>-5100.8059269199994</v>
      </c>
      <c r="DE50" s="242">
        <f>-IF(DE$6&gt;=Assumptions!$F$38,Assumptions!$L22/12*(1+Assumptions!$K$32)^ROUNDDOWN(YEARFRAC(DE$6,Assumptions!$F$38),0),0)</f>
        <v>-5100.8059269199994</v>
      </c>
      <c r="DF50" s="242">
        <f>-IF(DF$6&gt;=Assumptions!$F$38,Assumptions!$L22/12*(1+Assumptions!$K$32)^ROUNDDOWN(YEARFRAC(DF$6,Assumptions!$F$38),0),0)</f>
        <v>-5100.8059269199994</v>
      </c>
      <c r="DG50" s="242">
        <f>-IF(DG$6&gt;=Assumptions!$F$38,Assumptions!$L22/12*(1+Assumptions!$K$32)^ROUNDDOWN(YEARFRAC(DG$6,Assumptions!$F$38),0),0)</f>
        <v>-5100.8059269199994</v>
      </c>
      <c r="DH50" s="242">
        <f>-IF(DH$6&gt;=Assumptions!$F$38,Assumptions!$L22/12*(1+Assumptions!$K$32)^ROUNDDOWN(YEARFRAC(DH$6,Assumptions!$F$38),0),0)</f>
        <v>-5100.8059269199994</v>
      </c>
      <c r="DI50" s="242">
        <f>-IF(DI$6&gt;=Assumptions!$F$38,Assumptions!$L22/12*(1+Assumptions!$K$32)^ROUNDDOWN(YEARFRAC(DI$6,Assumptions!$F$38),0),0)</f>
        <v>-5253.8301047276</v>
      </c>
      <c r="DJ50" s="242">
        <f>-IF(DJ$6&gt;=Assumptions!$F$38,Assumptions!$L22/12*(1+Assumptions!$K$32)^ROUNDDOWN(YEARFRAC(DJ$6,Assumptions!$F$38),0),0)</f>
        <v>-5253.8301047276</v>
      </c>
      <c r="DK50" s="242">
        <f>-IF(DK$6&gt;=Assumptions!$F$38,Assumptions!$L22/12*(1+Assumptions!$K$32)^ROUNDDOWN(YEARFRAC(DK$6,Assumptions!$F$38),0),0)</f>
        <v>-5253.8301047276</v>
      </c>
      <c r="DL50" s="242">
        <f>-IF(DL$6&gt;=Assumptions!$F$38,Assumptions!$L22/12*(1+Assumptions!$K$32)^ROUNDDOWN(YEARFRAC(DL$6,Assumptions!$F$38),0),0)</f>
        <v>-5253.8301047276</v>
      </c>
      <c r="DM50" s="242">
        <f>-IF(DM$6&gt;=Assumptions!$F$38,Assumptions!$L22/12*(1+Assumptions!$K$32)^ROUNDDOWN(YEARFRAC(DM$6,Assumptions!$F$38),0),0)</f>
        <v>-5253.8301047276</v>
      </c>
      <c r="DN50" s="242">
        <f>-IF(DN$6&gt;=Assumptions!$F$38,Assumptions!$L22/12*(1+Assumptions!$K$32)^ROUNDDOWN(YEARFRAC(DN$6,Assumptions!$F$38),0),0)</f>
        <v>-5253.8301047276</v>
      </c>
      <c r="DO50" s="242">
        <f>-IF(DO$6&gt;=Assumptions!$F$38,Assumptions!$L22/12*(1+Assumptions!$K$32)^ROUNDDOWN(YEARFRAC(DO$6,Assumptions!$F$38),0),0)</f>
        <v>-5253.8301047276</v>
      </c>
      <c r="DP50" s="242">
        <f>-IF(DP$6&gt;=Assumptions!$F$38,Assumptions!$L22/12*(1+Assumptions!$K$32)^ROUNDDOWN(YEARFRAC(DP$6,Assumptions!$F$38),0),0)</f>
        <v>-5253.8301047276</v>
      </c>
      <c r="DQ50" s="242">
        <f>-IF(DQ$6&gt;=Assumptions!$F$38,Assumptions!$L22/12*(1+Assumptions!$K$32)^ROUNDDOWN(YEARFRAC(DQ$6,Assumptions!$F$38),0),0)</f>
        <v>-5253.8301047276</v>
      </c>
      <c r="DR50" s="242">
        <f>-IF(DR$6&gt;=Assumptions!$F$38,Assumptions!$L22/12*(1+Assumptions!$K$32)^ROUNDDOWN(YEARFRAC(DR$6,Assumptions!$F$38),0),0)</f>
        <v>-5253.8301047276</v>
      </c>
      <c r="DS50" s="242">
        <f>-IF(DS$6&gt;=Assumptions!$F$38,Assumptions!$L22/12*(1+Assumptions!$K$32)^ROUNDDOWN(YEARFRAC(DS$6,Assumptions!$F$38),0),0)</f>
        <v>-5253.8301047276</v>
      </c>
      <c r="DT50" s="242">
        <f>-IF(DT$6&gt;=Assumptions!$F$38,Assumptions!$L22/12*(1+Assumptions!$K$32)^ROUNDDOWN(YEARFRAC(DT$6,Assumptions!$F$38),0),0)</f>
        <v>-5253.8301047276</v>
      </c>
      <c r="DU50" s="242">
        <f>-IF(DU$6&gt;=Assumptions!$F$38,Assumptions!$L22/12*(1+Assumptions!$K$32)^ROUNDDOWN(YEARFRAC(DU$6,Assumptions!$F$38),0),0)</f>
        <v>-5411.4450078694281</v>
      </c>
      <c r="DV50" s="242">
        <f>-IF(DV$6&gt;=Assumptions!$F$38,Assumptions!$L22/12*(1+Assumptions!$K$32)^ROUNDDOWN(YEARFRAC(DV$6,Assumptions!$F$38),0),0)</f>
        <v>-5411.4450078694281</v>
      </c>
      <c r="DW50" s="242">
        <f>-IF(DW$6&gt;=Assumptions!$F$38,Assumptions!$L22/12*(1+Assumptions!$K$32)^ROUNDDOWN(YEARFRAC(DW$6,Assumptions!$F$38),0),0)</f>
        <v>-5411.4450078694281</v>
      </c>
      <c r="DX50" s="242">
        <f>-IF(DX$6&gt;=Assumptions!$F$38,Assumptions!$L22/12*(1+Assumptions!$K$32)^ROUNDDOWN(YEARFRAC(DX$6,Assumptions!$F$38),0),0)</f>
        <v>-5411.4450078694281</v>
      </c>
      <c r="DY50" s="242">
        <f>-IF(DY$6&gt;=Assumptions!$F$38,Assumptions!$L22/12*(1+Assumptions!$K$32)^ROUNDDOWN(YEARFRAC(DY$6,Assumptions!$F$38),0),0)</f>
        <v>-5411.4450078694281</v>
      </c>
      <c r="DZ50" s="242">
        <f>-IF(DZ$6&gt;=Assumptions!$F$38,Assumptions!$L22/12*(1+Assumptions!$K$32)^ROUNDDOWN(YEARFRAC(DZ$6,Assumptions!$F$38),0),0)</f>
        <v>-5411.4450078694281</v>
      </c>
      <c r="EA50" s="242">
        <f>-IF(EA$6&gt;=Assumptions!$F$38,Assumptions!$L22/12*(1+Assumptions!$K$32)^ROUNDDOWN(YEARFRAC(EA$6,Assumptions!$F$38),0),0)</f>
        <v>-5411.4450078694281</v>
      </c>
      <c r="EB50" s="242">
        <f>-IF(EB$6&gt;=Assumptions!$F$38,Assumptions!$L22/12*(1+Assumptions!$K$32)^ROUNDDOWN(YEARFRAC(EB$6,Assumptions!$F$38),0),0)</f>
        <v>-5411.4450078694281</v>
      </c>
      <c r="EC50" s="242">
        <f>-IF(EC$6&gt;=Assumptions!$F$38,Assumptions!$L22/12*(1+Assumptions!$K$32)^ROUNDDOWN(YEARFRAC(EC$6,Assumptions!$F$38),0),0)</f>
        <v>-5411.4450078694281</v>
      </c>
      <c r="ED50" s="242">
        <f>-IF(ED$6&gt;=Assumptions!$F$38,Assumptions!$L22/12*(1+Assumptions!$K$32)^ROUNDDOWN(YEARFRAC(ED$6,Assumptions!$F$38),0),0)</f>
        <v>-5411.4450078694281</v>
      </c>
      <c r="EE50" s="242">
        <f>-IF(EE$6&gt;=Assumptions!$F$38,Assumptions!$L22/12*(1+Assumptions!$K$32)^ROUNDDOWN(YEARFRAC(EE$6,Assumptions!$F$38),0),0)</f>
        <v>-5411.4450078694281</v>
      </c>
      <c r="EF50" s="242">
        <f>-IF(EF$6&gt;=Assumptions!$F$38,Assumptions!$L22/12*(1+Assumptions!$K$32)^ROUNDDOWN(YEARFRAC(EF$6,Assumptions!$F$38),0),0)</f>
        <v>-5411.4450078694281</v>
      </c>
      <c r="EG50" s="242">
        <f>-IF(EG$6&gt;=Assumptions!$F$38,Assumptions!$L22/12*(1+Assumptions!$K$32)^ROUNDDOWN(YEARFRAC(EG$6,Assumptions!$F$38),0),0)</f>
        <v>-5573.7883581055103</v>
      </c>
      <c r="EH50" s="242">
        <f>-IF(EH$6&gt;=Assumptions!$F$38,Assumptions!$L22/12*(1+Assumptions!$K$32)^ROUNDDOWN(YEARFRAC(EH$6,Assumptions!$F$38),0),0)</f>
        <v>-5573.7883581055103</v>
      </c>
      <c r="EI50" s="242">
        <f>-IF(EI$6&gt;=Assumptions!$F$38,Assumptions!$L22/12*(1+Assumptions!$K$32)^ROUNDDOWN(YEARFRAC(EI$6,Assumptions!$F$38),0),0)</f>
        <v>-5573.7883581055103</v>
      </c>
      <c r="EJ50" s="242">
        <f>-IF(EJ$6&gt;=Assumptions!$F$38,Assumptions!$L22/12*(1+Assumptions!$K$32)^ROUNDDOWN(YEARFRAC(EJ$6,Assumptions!$F$38),0),0)</f>
        <v>-5573.7883581055103</v>
      </c>
      <c r="EK50" s="242">
        <f>-IF(EK$6&gt;=Assumptions!$F$38,Assumptions!$L22/12*(1+Assumptions!$K$32)^ROUNDDOWN(YEARFRAC(EK$6,Assumptions!$F$38),0),0)</f>
        <v>-5573.7883581055103</v>
      </c>
      <c r="EL50" s="242">
        <f>-IF(EL$6&gt;=Assumptions!$F$38,Assumptions!$L22/12*(1+Assumptions!$K$32)^ROUNDDOWN(YEARFRAC(EL$6,Assumptions!$F$38),0),0)</f>
        <v>-5573.7883581055103</v>
      </c>
      <c r="EM50" s="242">
        <f>-IF(EM$6&gt;=Assumptions!$F$38,Assumptions!$L22/12*(1+Assumptions!$K$32)^ROUNDDOWN(YEARFRAC(EM$6,Assumptions!$F$38),0),0)</f>
        <v>-5573.7883581055103</v>
      </c>
      <c r="EN50" s="242">
        <f>-IF(EN$6&gt;=Assumptions!$F$38,Assumptions!$L22/12*(1+Assumptions!$K$32)^ROUNDDOWN(YEARFRAC(EN$6,Assumptions!$F$38),0),0)</f>
        <v>-5573.7883581055103</v>
      </c>
      <c r="EO50" s="242">
        <f>-IF(EO$6&gt;=Assumptions!$F$38,Assumptions!$L22/12*(1+Assumptions!$K$32)^ROUNDDOWN(YEARFRAC(EO$6,Assumptions!$F$38),0),0)</f>
        <v>-5573.7883581055103</v>
      </c>
      <c r="EP50" s="242">
        <f>-IF(EP$6&gt;=Assumptions!$F$38,Assumptions!$L22/12*(1+Assumptions!$K$32)^ROUNDDOWN(YEARFRAC(EP$6,Assumptions!$F$38),0),0)</f>
        <v>-5573.7883581055103</v>
      </c>
      <c r="EQ50" s="242">
        <f>-IF(EQ$6&gt;=Assumptions!$F$38,Assumptions!$L22/12*(1+Assumptions!$K$32)^ROUNDDOWN(YEARFRAC(EQ$6,Assumptions!$F$38),0),0)</f>
        <v>-5573.7883581055103</v>
      </c>
      <c r="ER50" s="242">
        <f>-IF(ER$6&gt;=Assumptions!$F$38,Assumptions!$L22/12*(1+Assumptions!$K$32)^ROUNDDOWN(YEARFRAC(ER$6,Assumptions!$F$38),0),0)</f>
        <v>-5573.7883581055103</v>
      </c>
      <c r="ES50" s="242">
        <f>-IF(ES$6&gt;=Assumptions!$F$38,Assumptions!$L22/12*(1+Assumptions!$K$32)^ROUNDDOWN(YEARFRAC(ES$6,Assumptions!$F$38),0),0)</f>
        <v>-5741.0020088486754</v>
      </c>
      <c r="ET50" s="242">
        <f>-IF(ET$6&gt;=Assumptions!$F$38,Assumptions!$L22/12*(1+Assumptions!$K$32)^ROUNDDOWN(YEARFRAC(ET$6,Assumptions!$F$38),0),0)</f>
        <v>-5741.0020088486754</v>
      </c>
    </row>
    <row r="51" spans="2:150" x14ac:dyDescent="0.2">
      <c r="B51" t="s">
        <v>70</v>
      </c>
      <c r="D51" s="242">
        <f t="shared" si="510"/>
        <v>-342426.75472322968</v>
      </c>
      <c r="F51" s="242">
        <f>-IF(F$6&gt;=Assumptions!$F$38,Assumptions!$L23/12*(1+Assumptions!$K$32)^ROUNDDOWN(YEARFRAC(F$6,Assumptions!$F$38),0),0)</f>
        <v>0</v>
      </c>
      <c r="G51" s="242">
        <f>-IF(G$6&gt;=Assumptions!$F$38,Assumptions!$L23/12*(1+Assumptions!$K$32)^ROUNDDOWN(YEARFRAC(G$6,Assumptions!$F$38),0),0)</f>
        <v>0</v>
      </c>
      <c r="H51" s="242">
        <f>-IF(H$6&gt;=Assumptions!$F$38,Assumptions!$L23/12*(1+Assumptions!$K$32)^ROUNDDOWN(YEARFRAC(H$6,Assumptions!$F$38),0),0)</f>
        <v>0</v>
      </c>
      <c r="I51" s="242">
        <f>-IF(I$6&gt;=Assumptions!$F$38,Assumptions!$L23/12*(1+Assumptions!$K$32)^ROUNDDOWN(YEARFRAC(I$6,Assumptions!$F$38),0),0)</f>
        <v>0</v>
      </c>
      <c r="J51" s="242">
        <f>-IF(J$6&gt;=Assumptions!$F$38,Assumptions!$L23/12*(1+Assumptions!$K$32)^ROUNDDOWN(YEARFRAC(J$6,Assumptions!$F$38),0),0)</f>
        <v>0</v>
      </c>
      <c r="K51" s="242">
        <f>-IF(K$6&gt;=Assumptions!$F$38,Assumptions!$L23/12*(1+Assumptions!$K$32)^ROUNDDOWN(YEARFRAC(K$6,Assumptions!$F$38),0),0)</f>
        <v>0</v>
      </c>
      <c r="L51" s="242">
        <f>-IF(L$6&gt;=Assumptions!$F$38,Assumptions!$L23/12*(1+Assumptions!$K$32)^ROUNDDOWN(YEARFRAC(L$6,Assumptions!$F$38),0),0)</f>
        <v>0</v>
      </c>
      <c r="M51" s="242">
        <f>-IF(M$6&gt;=Assumptions!$F$38,Assumptions!$L23/12*(1+Assumptions!$K$32)^ROUNDDOWN(YEARFRAC(M$6,Assumptions!$F$38),0),0)</f>
        <v>0</v>
      </c>
      <c r="N51" s="242">
        <f>-IF(N$6&gt;=Assumptions!$F$38,Assumptions!$L23/12*(1+Assumptions!$K$32)^ROUNDDOWN(YEARFRAC(N$6,Assumptions!$F$38),0),0)</f>
        <v>0</v>
      </c>
      <c r="O51" s="242">
        <f>-IF(O$6&gt;=Assumptions!$F$38,Assumptions!$L23/12*(1+Assumptions!$K$32)^ROUNDDOWN(YEARFRAC(O$6,Assumptions!$F$38),0),0)</f>
        <v>0</v>
      </c>
      <c r="P51" s="242">
        <f>-IF(P$6&gt;=Assumptions!$F$38,Assumptions!$L23/12*(1+Assumptions!$K$32)^ROUNDDOWN(YEARFRAC(P$6,Assumptions!$F$38),0),0)</f>
        <v>0</v>
      </c>
      <c r="Q51" s="242">
        <f>-IF(Q$6&gt;=Assumptions!$F$38,Assumptions!$L23/12*(1+Assumptions!$K$32)^ROUNDDOWN(YEARFRAC(Q$6,Assumptions!$F$38),0),0)</f>
        <v>0</v>
      </c>
      <c r="R51" s="242">
        <f>-IF(R$6&gt;=Assumptions!$F$38,Assumptions!$L23/12*(1+Assumptions!$K$32)^ROUNDDOWN(YEARFRAC(R$6,Assumptions!$F$38),0),0)</f>
        <v>0</v>
      </c>
      <c r="S51" s="242">
        <f>-IF(S$6&gt;=Assumptions!$F$38,Assumptions!$L23/12*(1+Assumptions!$K$32)^ROUNDDOWN(YEARFRAC(S$6,Assumptions!$F$38),0),0)</f>
        <v>0</v>
      </c>
      <c r="T51" s="242">
        <f>-IF(T$6&gt;=Assumptions!$F$38,Assumptions!$L23/12*(1+Assumptions!$K$32)^ROUNDDOWN(YEARFRAC(T$6,Assumptions!$F$38),0),0)</f>
        <v>0</v>
      </c>
      <c r="U51" s="242">
        <f>-IF(U$6&gt;=Assumptions!$F$38,Assumptions!$L23/12*(1+Assumptions!$K$32)^ROUNDDOWN(YEARFRAC(U$6,Assumptions!$F$38),0),0)</f>
        <v>0</v>
      </c>
      <c r="V51" s="242">
        <f>-IF(V$6&gt;=Assumptions!$F$38,Assumptions!$L23/12*(1+Assumptions!$K$32)^ROUNDDOWN(YEARFRAC(V$6,Assumptions!$F$38),0),0)</f>
        <v>0</v>
      </c>
      <c r="W51" s="242">
        <f>-IF(W$6&gt;=Assumptions!$F$38,Assumptions!$L23/12*(1+Assumptions!$K$32)^ROUNDDOWN(YEARFRAC(W$6,Assumptions!$F$38),0),0)</f>
        <v>0</v>
      </c>
      <c r="X51" s="242">
        <f>-IF(X$6&gt;=Assumptions!$F$38,Assumptions!$L23/12*(1+Assumptions!$K$32)^ROUNDDOWN(YEARFRAC(X$6,Assumptions!$F$38),0),0)</f>
        <v>0</v>
      </c>
      <c r="Y51" s="242">
        <f>-IF(Y$6&gt;=Assumptions!$F$38,Assumptions!$L23/12*(1+Assumptions!$K$32)^ROUNDDOWN(YEARFRAC(Y$6,Assumptions!$F$38),0),0)</f>
        <v>0</v>
      </c>
      <c r="Z51" s="242">
        <f>-IF(Z$6&gt;=Assumptions!$F$38,Assumptions!$L23/12*(1+Assumptions!$K$32)^ROUNDDOWN(YEARFRAC(Z$6,Assumptions!$F$38),0),0)</f>
        <v>0</v>
      </c>
      <c r="AA51" s="242">
        <f>-IF(AA$6&gt;=Assumptions!$F$38,Assumptions!$L23/12*(1+Assumptions!$K$32)^ROUNDDOWN(YEARFRAC(AA$6,Assumptions!$F$38),0),0)</f>
        <v>0</v>
      </c>
      <c r="AB51" s="242">
        <f>-IF(AB$6&gt;=Assumptions!$F$38,Assumptions!$L23/12*(1+Assumptions!$K$32)^ROUNDDOWN(YEARFRAC(AB$6,Assumptions!$F$38),0),0)</f>
        <v>0</v>
      </c>
      <c r="AC51" s="242">
        <f>-IF(AC$6&gt;=Assumptions!$F$38,Assumptions!$L23/12*(1+Assumptions!$K$32)^ROUNDDOWN(YEARFRAC(AC$6,Assumptions!$F$38),0),0)</f>
        <v>0</v>
      </c>
      <c r="AD51" s="242">
        <f>-IF(AD$6&gt;=Assumptions!$F$38,Assumptions!$L23/12*(1+Assumptions!$K$32)^ROUNDDOWN(YEARFRAC(AD$6,Assumptions!$F$38),0),0)</f>
        <v>0</v>
      </c>
      <c r="AE51" s="242">
        <f>-IF(AE$6&gt;=Assumptions!$F$38,Assumptions!$L23/12*(1+Assumptions!$K$32)^ROUNDDOWN(YEARFRAC(AE$6,Assumptions!$F$38),0),0)</f>
        <v>0</v>
      </c>
      <c r="AF51" s="242">
        <f>-IF(AF$6&gt;=Assumptions!$F$38,Assumptions!$L23/12*(1+Assumptions!$K$32)^ROUNDDOWN(YEARFRAC(AF$6,Assumptions!$F$38),0),0)</f>
        <v>0</v>
      </c>
      <c r="AG51" s="242">
        <f>-IF(AG$6&gt;=Assumptions!$F$38,Assumptions!$L23/12*(1+Assumptions!$K$32)^ROUNDDOWN(YEARFRAC(AG$6,Assumptions!$F$38),0),0)</f>
        <v>0</v>
      </c>
      <c r="AH51" s="242">
        <f>-IF(AH$6&gt;=Assumptions!$F$38,Assumptions!$L23/12*(1+Assumptions!$K$32)^ROUNDDOWN(YEARFRAC(AH$6,Assumptions!$F$38),0),0)</f>
        <v>0</v>
      </c>
      <c r="AI51" s="242">
        <f>-IF(AI$6&gt;=Assumptions!$F$38,Assumptions!$L23/12*(1+Assumptions!$K$32)^ROUNDDOWN(YEARFRAC(AI$6,Assumptions!$F$38),0),0)</f>
        <v>0</v>
      </c>
      <c r="AJ51" s="242">
        <f>-IF(AJ$6&gt;=Assumptions!$F$38,Assumptions!$L23/12*(1+Assumptions!$K$32)^ROUNDDOWN(YEARFRAC(AJ$6,Assumptions!$F$38),0),0)</f>
        <v>0</v>
      </c>
      <c r="AK51" s="242">
        <f>-IF(AK$6&gt;=Assumptions!$F$38,Assumptions!$L23/12*(1+Assumptions!$K$32)^ROUNDDOWN(YEARFRAC(AK$6,Assumptions!$F$38),0),0)</f>
        <v>0</v>
      </c>
      <c r="AL51" s="242">
        <f>-IF(AL$6&gt;=Assumptions!$F$38,Assumptions!$L23/12*(1+Assumptions!$K$32)^ROUNDDOWN(YEARFRAC(AL$6,Assumptions!$F$38),0),0)</f>
        <v>0</v>
      </c>
      <c r="AM51" s="242">
        <f>-IF(AM$6&gt;=Assumptions!$F$38,Assumptions!$L23/12*(1+Assumptions!$K$32)^ROUNDDOWN(YEARFRAC(AM$6,Assumptions!$F$38),0),0)</f>
        <v>0</v>
      </c>
      <c r="AN51" s="242">
        <f>-IF(AN$6&gt;=Assumptions!$F$38,Assumptions!$L23/12*(1+Assumptions!$K$32)^ROUNDDOWN(YEARFRAC(AN$6,Assumptions!$F$38),0),0)</f>
        <v>0</v>
      </c>
      <c r="AO51" s="242">
        <f>-IF(AO$6&gt;=Assumptions!$F$38,Assumptions!$L23/12*(1+Assumptions!$K$32)^ROUNDDOWN(YEARFRAC(AO$6,Assumptions!$F$38),0),0)</f>
        <v>-2750</v>
      </c>
      <c r="AP51" s="242">
        <f>-IF(AP$6&gt;=Assumptions!$F$38,Assumptions!$L23/12*(1+Assumptions!$K$32)^ROUNDDOWN(YEARFRAC(AP$6,Assumptions!$F$38),0),0)</f>
        <v>-2750</v>
      </c>
      <c r="AQ51" s="242">
        <f>-IF(AQ$6&gt;=Assumptions!$F$38,Assumptions!$L23/12*(1+Assumptions!$K$32)^ROUNDDOWN(YEARFRAC(AQ$6,Assumptions!$F$38),0),0)</f>
        <v>-2750</v>
      </c>
      <c r="AR51" s="242">
        <f>-IF(AR$6&gt;=Assumptions!$F$38,Assumptions!$L23/12*(1+Assumptions!$K$32)^ROUNDDOWN(YEARFRAC(AR$6,Assumptions!$F$38),0),0)</f>
        <v>-2750</v>
      </c>
      <c r="AS51" s="242">
        <f>-IF(AS$6&gt;=Assumptions!$F$38,Assumptions!$L23/12*(1+Assumptions!$K$32)^ROUNDDOWN(YEARFRAC(AS$6,Assumptions!$F$38),0),0)</f>
        <v>-2750</v>
      </c>
      <c r="AT51" s="242">
        <f>-IF(AT$6&gt;=Assumptions!$F$38,Assumptions!$L23/12*(1+Assumptions!$K$32)^ROUNDDOWN(YEARFRAC(AT$6,Assumptions!$F$38),0),0)</f>
        <v>-2750</v>
      </c>
      <c r="AU51" s="242">
        <f>-IF(AU$6&gt;=Assumptions!$F$38,Assumptions!$L23/12*(1+Assumptions!$K$32)^ROUNDDOWN(YEARFRAC(AU$6,Assumptions!$F$38),0),0)</f>
        <v>-2750</v>
      </c>
      <c r="AV51" s="242">
        <f>-IF(AV$6&gt;=Assumptions!$F$38,Assumptions!$L23/12*(1+Assumptions!$K$32)^ROUNDDOWN(YEARFRAC(AV$6,Assumptions!$F$38),0),0)</f>
        <v>-2750</v>
      </c>
      <c r="AW51" s="242">
        <f>-IF(AW$6&gt;=Assumptions!$F$38,Assumptions!$L23/12*(1+Assumptions!$K$32)^ROUNDDOWN(YEARFRAC(AW$6,Assumptions!$F$38),0),0)</f>
        <v>-2750</v>
      </c>
      <c r="AX51" s="242">
        <f>-IF(AX$6&gt;=Assumptions!$F$38,Assumptions!$L23/12*(1+Assumptions!$K$32)^ROUNDDOWN(YEARFRAC(AX$6,Assumptions!$F$38),0),0)</f>
        <v>-2750</v>
      </c>
      <c r="AY51" s="242">
        <f>-IF(AY$6&gt;=Assumptions!$F$38,Assumptions!$L23/12*(1+Assumptions!$K$32)^ROUNDDOWN(YEARFRAC(AY$6,Assumptions!$F$38),0),0)</f>
        <v>-2750</v>
      </c>
      <c r="AZ51" s="242">
        <f>-IF(AZ$6&gt;=Assumptions!$F$38,Assumptions!$L23/12*(1+Assumptions!$K$32)^ROUNDDOWN(YEARFRAC(AZ$6,Assumptions!$F$38),0),0)</f>
        <v>-2750</v>
      </c>
      <c r="BA51" s="242">
        <f>-IF(BA$6&gt;=Assumptions!$F$38,Assumptions!$L23/12*(1+Assumptions!$K$32)^ROUNDDOWN(YEARFRAC(BA$6,Assumptions!$F$38),0),0)</f>
        <v>-2832.5</v>
      </c>
      <c r="BB51" s="242">
        <f>-IF(BB$6&gt;=Assumptions!$F$38,Assumptions!$L23/12*(1+Assumptions!$K$32)^ROUNDDOWN(YEARFRAC(BB$6,Assumptions!$F$38),0),0)</f>
        <v>-2832.5</v>
      </c>
      <c r="BC51" s="242">
        <f>-IF(BC$6&gt;=Assumptions!$F$38,Assumptions!$L23/12*(1+Assumptions!$K$32)^ROUNDDOWN(YEARFRAC(BC$6,Assumptions!$F$38),0),0)</f>
        <v>-2832.5</v>
      </c>
      <c r="BD51" s="242">
        <f>-IF(BD$6&gt;=Assumptions!$F$38,Assumptions!$L23/12*(1+Assumptions!$K$32)^ROUNDDOWN(YEARFRAC(BD$6,Assumptions!$F$38),0),0)</f>
        <v>-2832.5</v>
      </c>
      <c r="BE51" s="242">
        <f>-IF(BE$6&gt;=Assumptions!$F$38,Assumptions!$L23/12*(1+Assumptions!$K$32)^ROUNDDOWN(YEARFRAC(BE$6,Assumptions!$F$38),0),0)</f>
        <v>-2832.5</v>
      </c>
      <c r="BF51" s="242">
        <f>-IF(BF$6&gt;=Assumptions!$F$38,Assumptions!$L23/12*(1+Assumptions!$K$32)^ROUNDDOWN(YEARFRAC(BF$6,Assumptions!$F$38),0),0)</f>
        <v>-2832.5</v>
      </c>
      <c r="BG51" s="242">
        <f>-IF(BG$6&gt;=Assumptions!$F$38,Assumptions!$L23/12*(1+Assumptions!$K$32)^ROUNDDOWN(YEARFRAC(BG$6,Assumptions!$F$38),0),0)</f>
        <v>-2832.5</v>
      </c>
      <c r="BH51" s="242">
        <f>-IF(BH$6&gt;=Assumptions!$F$38,Assumptions!$L23/12*(1+Assumptions!$K$32)^ROUNDDOWN(YEARFRAC(BH$6,Assumptions!$F$38),0),0)</f>
        <v>-2832.5</v>
      </c>
      <c r="BI51" s="242">
        <f>-IF(BI$6&gt;=Assumptions!$F$38,Assumptions!$L23/12*(1+Assumptions!$K$32)^ROUNDDOWN(YEARFRAC(BI$6,Assumptions!$F$38),0),0)</f>
        <v>-2832.5</v>
      </c>
      <c r="BJ51" s="242">
        <f>-IF(BJ$6&gt;=Assumptions!$F$38,Assumptions!$L23/12*(1+Assumptions!$K$32)^ROUNDDOWN(YEARFRAC(BJ$6,Assumptions!$F$38),0),0)</f>
        <v>-2832.5</v>
      </c>
      <c r="BK51" s="242">
        <f>-IF(BK$6&gt;=Assumptions!$F$38,Assumptions!$L23/12*(1+Assumptions!$K$32)^ROUNDDOWN(YEARFRAC(BK$6,Assumptions!$F$38),0),0)</f>
        <v>-2832.5</v>
      </c>
      <c r="BL51" s="242">
        <f>-IF(BL$6&gt;=Assumptions!$F$38,Assumptions!$L23/12*(1+Assumptions!$K$32)^ROUNDDOWN(YEARFRAC(BL$6,Assumptions!$F$38),0),0)</f>
        <v>-2832.5</v>
      </c>
      <c r="BM51" s="242">
        <f>-IF(BM$6&gt;=Assumptions!$F$38,Assumptions!$L23/12*(1+Assumptions!$K$32)^ROUNDDOWN(YEARFRAC(BM$6,Assumptions!$F$38),0),0)</f>
        <v>-2917.4749999999999</v>
      </c>
      <c r="BN51" s="242">
        <f>-IF(BN$6&gt;=Assumptions!$F$38,Assumptions!$L23/12*(1+Assumptions!$K$32)^ROUNDDOWN(YEARFRAC(BN$6,Assumptions!$F$38),0),0)</f>
        <v>-2917.4749999999999</v>
      </c>
      <c r="BO51" s="242">
        <f>-IF(BO$6&gt;=Assumptions!$F$38,Assumptions!$L23/12*(1+Assumptions!$K$32)^ROUNDDOWN(YEARFRAC(BO$6,Assumptions!$F$38),0),0)</f>
        <v>-2917.4749999999999</v>
      </c>
      <c r="BP51" s="242">
        <f>-IF(BP$6&gt;=Assumptions!$F$38,Assumptions!$L23/12*(1+Assumptions!$K$32)^ROUNDDOWN(YEARFRAC(BP$6,Assumptions!$F$38),0),0)</f>
        <v>-2917.4749999999999</v>
      </c>
      <c r="BQ51" s="242">
        <f>-IF(BQ$6&gt;=Assumptions!$F$38,Assumptions!$L23/12*(1+Assumptions!$K$32)^ROUNDDOWN(YEARFRAC(BQ$6,Assumptions!$F$38),0),0)</f>
        <v>-2917.4749999999999</v>
      </c>
      <c r="BR51" s="242">
        <f>-IF(BR$6&gt;=Assumptions!$F$38,Assumptions!$L23/12*(1+Assumptions!$K$32)^ROUNDDOWN(YEARFRAC(BR$6,Assumptions!$F$38),0),0)</f>
        <v>-2917.4749999999999</v>
      </c>
      <c r="BS51" s="242">
        <f>-IF(BS$6&gt;=Assumptions!$F$38,Assumptions!$L23/12*(1+Assumptions!$K$32)^ROUNDDOWN(YEARFRAC(BS$6,Assumptions!$F$38),0),0)</f>
        <v>-2917.4749999999999</v>
      </c>
      <c r="BT51" s="242">
        <f>-IF(BT$6&gt;=Assumptions!$F$38,Assumptions!$L23/12*(1+Assumptions!$K$32)^ROUNDDOWN(YEARFRAC(BT$6,Assumptions!$F$38),0),0)</f>
        <v>-2917.4749999999999</v>
      </c>
      <c r="BU51" s="242">
        <f>-IF(BU$6&gt;=Assumptions!$F$38,Assumptions!$L23/12*(1+Assumptions!$K$32)^ROUNDDOWN(YEARFRAC(BU$6,Assumptions!$F$38),0),0)</f>
        <v>-2917.4749999999999</v>
      </c>
      <c r="BV51" s="242">
        <f>-IF(BV$6&gt;=Assumptions!$F$38,Assumptions!$L23/12*(1+Assumptions!$K$32)^ROUNDDOWN(YEARFRAC(BV$6,Assumptions!$F$38),0),0)</f>
        <v>-2917.4749999999999</v>
      </c>
      <c r="BW51" s="242">
        <f>-IF(BW$6&gt;=Assumptions!$F$38,Assumptions!$L23/12*(1+Assumptions!$K$32)^ROUNDDOWN(YEARFRAC(BW$6,Assumptions!$F$38),0),0)</f>
        <v>-2917.4749999999999</v>
      </c>
      <c r="BX51" s="242">
        <f>-IF(BX$6&gt;=Assumptions!$F$38,Assumptions!$L23/12*(1+Assumptions!$K$32)^ROUNDDOWN(YEARFRAC(BX$6,Assumptions!$F$38),0),0)</f>
        <v>-2917.4749999999999</v>
      </c>
      <c r="BY51" s="242">
        <f>-IF(BY$6&gt;=Assumptions!$F$38,Assumptions!$L23/12*(1+Assumptions!$K$32)^ROUNDDOWN(YEARFRAC(BY$6,Assumptions!$F$38),0),0)</f>
        <v>-3004.9992499999998</v>
      </c>
      <c r="BZ51" s="242">
        <f>-IF(BZ$6&gt;=Assumptions!$F$38,Assumptions!$L23/12*(1+Assumptions!$K$32)^ROUNDDOWN(YEARFRAC(BZ$6,Assumptions!$F$38),0),0)</f>
        <v>-3004.9992499999998</v>
      </c>
      <c r="CA51" s="242">
        <f>-IF(CA$6&gt;=Assumptions!$F$38,Assumptions!$L23/12*(1+Assumptions!$K$32)^ROUNDDOWN(YEARFRAC(CA$6,Assumptions!$F$38),0),0)</f>
        <v>-3004.9992499999998</v>
      </c>
      <c r="CB51" s="242">
        <f>-IF(CB$6&gt;=Assumptions!$F$38,Assumptions!$L23/12*(1+Assumptions!$K$32)^ROUNDDOWN(YEARFRAC(CB$6,Assumptions!$F$38),0),0)</f>
        <v>-3004.9992499999998</v>
      </c>
      <c r="CC51" s="242">
        <f>-IF(CC$6&gt;=Assumptions!$F$38,Assumptions!$L23/12*(1+Assumptions!$K$32)^ROUNDDOWN(YEARFRAC(CC$6,Assumptions!$F$38),0),0)</f>
        <v>-3004.9992499999998</v>
      </c>
      <c r="CD51" s="242">
        <f>-IF(CD$6&gt;=Assumptions!$F$38,Assumptions!$L23/12*(1+Assumptions!$K$32)^ROUNDDOWN(YEARFRAC(CD$6,Assumptions!$F$38),0),0)</f>
        <v>-3004.9992499999998</v>
      </c>
      <c r="CE51" s="242">
        <f>-IF(CE$6&gt;=Assumptions!$F$38,Assumptions!$L23/12*(1+Assumptions!$K$32)^ROUNDDOWN(YEARFRAC(CE$6,Assumptions!$F$38),0),0)</f>
        <v>-3004.9992499999998</v>
      </c>
      <c r="CF51" s="242">
        <f>-IF(CF$6&gt;=Assumptions!$F$38,Assumptions!$L23/12*(1+Assumptions!$K$32)^ROUNDDOWN(YEARFRAC(CF$6,Assumptions!$F$38),0),0)</f>
        <v>-3004.9992499999998</v>
      </c>
      <c r="CG51" s="242">
        <f>-IF(CG$6&gt;=Assumptions!$F$38,Assumptions!$L23/12*(1+Assumptions!$K$32)^ROUNDDOWN(YEARFRAC(CG$6,Assumptions!$F$38),0),0)</f>
        <v>-3004.9992499999998</v>
      </c>
      <c r="CH51" s="242">
        <f>-IF(CH$6&gt;=Assumptions!$F$38,Assumptions!$L23/12*(1+Assumptions!$K$32)^ROUNDDOWN(YEARFRAC(CH$6,Assumptions!$F$38),0),0)</f>
        <v>-3004.9992499999998</v>
      </c>
      <c r="CI51" s="242">
        <f>-IF(CI$6&gt;=Assumptions!$F$38,Assumptions!$L23/12*(1+Assumptions!$K$32)^ROUNDDOWN(YEARFRAC(CI$6,Assumptions!$F$38),0),0)</f>
        <v>-3004.9992499999998</v>
      </c>
      <c r="CJ51" s="242">
        <f>-IF(CJ$6&gt;=Assumptions!$F$38,Assumptions!$L23/12*(1+Assumptions!$K$32)^ROUNDDOWN(YEARFRAC(CJ$6,Assumptions!$F$38),0),0)</f>
        <v>-3004.9992499999998</v>
      </c>
      <c r="CK51" s="242">
        <f>-IF(CK$6&gt;=Assumptions!$F$38,Assumptions!$L23/12*(1+Assumptions!$K$32)^ROUNDDOWN(YEARFRAC(CK$6,Assumptions!$F$38),0),0)</f>
        <v>-3095.1492274999996</v>
      </c>
      <c r="CL51" s="242">
        <f>-IF(CL$6&gt;=Assumptions!$F$38,Assumptions!$L23/12*(1+Assumptions!$K$32)^ROUNDDOWN(YEARFRAC(CL$6,Assumptions!$F$38),0),0)</f>
        <v>-3095.1492274999996</v>
      </c>
      <c r="CM51" s="242">
        <f>-IF(CM$6&gt;=Assumptions!$F$38,Assumptions!$L23/12*(1+Assumptions!$K$32)^ROUNDDOWN(YEARFRAC(CM$6,Assumptions!$F$38),0),0)</f>
        <v>-3095.1492274999996</v>
      </c>
      <c r="CN51" s="242">
        <f>-IF(CN$6&gt;=Assumptions!$F$38,Assumptions!$L23/12*(1+Assumptions!$K$32)^ROUNDDOWN(YEARFRAC(CN$6,Assumptions!$F$38),0),0)</f>
        <v>-3095.1492274999996</v>
      </c>
      <c r="CO51" s="242">
        <f>-IF(CO$6&gt;=Assumptions!$F$38,Assumptions!$L23/12*(1+Assumptions!$K$32)^ROUNDDOWN(YEARFRAC(CO$6,Assumptions!$F$38),0),0)</f>
        <v>-3095.1492274999996</v>
      </c>
      <c r="CP51" s="242">
        <f>-IF(CP$6&gt;=Assumptions!$F$38,Assumptions!$L23/12*(1+Assumptions!$K$32)^ROUNDDOWN(YEARFRAC(CP$6,Assumptions!$F$38),0),0)</f>
        <v>-3095.1492274999996</v>
      </c>
      <c r="CQ51" s="242">
        <f>-IF(CQ$6&gt;=Assumptions!$F$38,Assumptions!$L23/12*(1+Assumptions!$K$32)^ROUNDDOWN(YEARFRAC(CQ$6,Assumptions!$F$38),0),0)</f>
        <v>-3095.1492274999996</v>
      </c>
      <c r="CR51" s="242">
        <f>-IF(CR$6&gt;=Assumptions!$F$38,Assumptions!$L23/12*(1+Assumptions!$K$32)^ROUNDDOWN(YEARFRAC(CR$6,Assumptions!$F$38),0),0)</f>
        <v>-3095.1492274999996</v>
      </c>
      <c r="CS51" s="242">
        <f>-IF(CS$6&gt;=Assumptions!$F$38,Assumptions!$L23/12*(1+Assumptions!$K$32)^ROUNDDOWN(YEARFRAC(CS$6,Assumptions!$F$38),0),0)</f>
        <v>-3095.1492274999996</v>
      </c>
      <c r="CT51" s="242">
        <f>-IF(CT$6&gt;=Assumptions!$F$38,Assumptions!$L23/12*(1+Assumptions!$K$32)^ROUNDDOWN(YEARFRAC(CT$6,Assumptions!$F$38),0),0)</f>
        <v>-3095.1492274999996</v>
      </c>
      <c r="CU51" s="242">
        <f>-IF(CU$6&gt;=Assumptions!$F$38,Assumptions!$L23/12*(1+Assumptions!$K$32)^ROUNDDOWN(YEARFRAC(CU$6,Assumptions!$F$38),0),0)</f>
        <v>-3095.1492274999996</v>
      </c>
      <c r="CV51" s="242">
        <f>-IF(CV$6&gt;=Assumptions!$F$38,Assumptions!$L23/12*(1+Assumptions!$K$32)^ROUNDDOWN(YEARFRAC(CV$6,Assumptions!$F$38),0),0)</f>
        <v>-3095.1492274999996</v>
      </c>
      <c r="CW51" s="242">
        <f>-IF(CW$6&gt;=Assumptions!$F$38,Assumptions!$L23/12*(1+Assumptions!$K$32)^ROUNDDOWN(YEARFRAC(CW$6,Assumptions!$F$38),0),0)</f>
        <v>-3188.0037043249995</v>
      </c>
      <c r="CX51" s="242">
        <f>-IF(CX$6&gt;=Assumptions!$F$38,Assumptions!$L23/12*(1+Assumptions!$K$32)^ROUNDDOWN(YEARFRAC(CX$6,Assumptions!$F$38),0),0)</f>
        <v>-3188.0037043249995</v>
      </c>
      <c r="CY51" s="242">
        <f>-IF(CY$6&gt;=Assumptions!$F$38,Assumptions!$L23/12*(1+Assumptions!$K$32)^ROUNDDOWN(YEARFRAC(CY$6,Assumptions!$F$38),0),0)</f>
        <v>-3188.0037043249995</v>
      </c>
      <c r="CZ51" s="242">
        <f>-IF(CZ$6&gt;=Assumptions!$F$38,Assumptions!$L23/12*(1+Assumptions!$K$32)^ROUNDDOWN(YEARFRAC(CZ$6,Assumptions!$F$38),0),0)</f>
        <v>-3188.0037043249995</v>
      </c>
      <c r="DA51" s="242">
        <f>-IF(DA$6&gt;=Assumptions!$F$38,Assumptions!$L23/12*(1+Assumptions!$K$32)^ROUNDDOWN(YEARFRAC(DA$6,Assumptions!$F$38),0),0)</f>
        <v>-3188.0037043249995</v>
      </c>
      <c r="DB51" s="242">
        <f>-IF(DB$6&gt;=Assumptions!$F$38,Assumptions!$L23/12*(1+Assumptions!$K$32)^ROUNDDOWN(YEARFRAC(DB$6,Assumptions!$F$38),0),0)</f>
        <v>-3188.0037043249995</v>
      </c>
      <c r="DC51" s="242">
        <f>-IF(DC$6&gt;=Assumptions!$F$38,Assumptions!$L23/12*(1+Assumptions!$K$32)^ROUNDDOWN(YEARFRAC(DC$6,Assumptions!$F$38),0),0)</f>
        <v>-3188.0037043249995</v>
      </c>
      <c r="DD51" s="242">
        <f>-IF(DD$6&gt;=Assumptions!$F$38,Assumptions!$L23/12*(1+Assumptions!$K$32)^ROUNDDOWN(YEARFRAC(DD$6,Assumptions!$F$38),0),0)</f>
        <v>-3188.0037043249995</v>
      </c>
      <c r="DE51" s="242">
        <f>-IF(DE$6&gt;=Assumptions!$F$38,Assumptions!$L23/12*(1+Assumptions!$K$32)^ROUNDDOWN(YEARFRAC(DE$6,Assumptions!$F$38),0),0)</f>
        <v>-3188.0037043249995</v>
      </c>
      <c r="DF51" s="242">
        <f>-IF(DF$6&gt;=Assumptions!$F$38,Assumptions!$L23/12*(1+Assumptions!$K$32)^ROUNDDOWN(YEARFRAC(DF$6,Assumptions!$F$38),0),0)</f>
        <v>-3188.0037043249995</v>
      </c>
      <c r="DG51" s="242">
        <f>-IF(DG$6&gt;=Assumptions!$F$38,Assumptions!$L23/12*(1+Assumptions!$K$32)^ROUNDDOWN(YEARFRAC(DG$6,Assumptions!$F$38),0),0)</f>
        <v>-3188.0037043249995</v>
      </c>
      <c r="DH51" s="242">
        <f>-IF(DH$6&gt;=Assumptions!$F$38,Assumptions!$L23/12*(1+Assumptions!$K$32)^ROUNDDOWN(YEARFRAC(DH$6,Assumptions!$F$38),0),0)</f>
        <v>-3188.0037043249995</v>
      </c>
      <c r="DI51" s="242">
        <f>-IF(DI$6&gt;=Assumptions!$F$38,Assumptions!$L23/12*(1+Assumptions!$K$32)^ROUNDDOWN(YEARFRAC(DI$6,Assumptions!$F$38),0),0)</f>
        <v>-3283.64381545475</v>
      </c>
      <c r="DJ51" s="242">
        <f>-IF(DJ$6&gt;=Assumptions!$F$38,Assumptions!$L23/12*(1+Assumptions!$K$32)^ROUNDDOWN(YEARFRAC(DJ$6,Assumptions!$F$38),0),0)</f>
        <v>-3283.64381545475</v>
      </c>
      <c r="DK51" s="242">
        <f>-IF(DK$6&gt;=Assumptions!$F$38,Assumptions!$L23/12*(1+Assumptions!$K$32)^ROUNDDOWN(YEARFRAC(DK$6,Assumptions!$F$38),0),0)</f>
        <v>-3283.64381545475</v>
      </c>
      <c r="DL51" s="242">
        <f>-IF(DL$6&gt;=Assumptions!$F$38,Assumptions!$L23/12*(1+Assumptions!$K$32)^ROUNDDOWN(YEARFRAC(DL$6,Assumptions!$F$38),0),0)</f>
        <v>-3283.64381545475</v>
      </c>
      <c r="DM51" s="242">
        <f>-IF(DM$6&gt;=Assumptions!$F$38,Assumptions!$L23/12*(1+Assumptions!$K$32)^ROUNDDOWN(YEARFRAC(DM$6,Assumptions!$F$38),0),0)</f>
        <v>-3283.64381545475</v>
      </c>
      <c r="DN51" s="242">
        <f>-IF(DN$6&gt;=Assumptions!$F$38,Assumptions!$L23/12*(1+Assumptions!$K$32)^ROUNDDOWN(YEARFRAC(DN$6,Assumptions!$F$38),0),0)</f>
        <v>-3283.64381545475</v>
      </c>
      <c r="DO51" s="242">
        <f>-IF(DO$6&gt;=Assumptions!$F$38,Assumptions!$L23/12*(1+Assumptions!$K$32)^ROUNDDOWN(YEARFRAC(DO$6,Assumptions!$F$38),0),0)</f>
        <v>-3283.64381545475</v>
      </c>
      <c r="DP51" s="242">
        <f>-IF(DP$6&gt;=Assumptions!$F$38,Assumptions!$L23/12*(1+Assumptions!$K$32)^ROUNDDOWN(YEARFRAC(DP$6,Assumptions!$F$38),0),0)</f>
        <v>-3283.64381545475</v>
      </c>
      <c r="DQ51" s="242">
        <f>-IF(DQ$6&gt;=Assumptions!$F$38,Assumptions!$L23/12*(1+Assumptions!$K$32)^ROUNDDOWN(YEARFRAC(DQ$6,Assumptions!$F$38),0),0)</f>
        <v>-3283.64381545475</v>
      </c>
      <c r="DR51" s="242">
        <f>-IF(DR$6&gt;=Assumptions!$F$38,Assumptions!$L23/12*(1+Assumptions!$K$32)^ROUNDDOWN(YEARFRAC(DR$6,Assumptions!$F$38),0),0)</f>
        <v>-3283.64381545475</v>
      </c>
      <c r="DS51" s="242">
        <f>-IF(DS$6&gt;=Assumptions!$F$38,Assumptions!$L23/12*(1+Assumptions!$K$32)^ROUNDDOWN(YEARFRAC(DS$6,Assumptions!$F$38),0),0)</f>
        <v>-3283.64381545475</v>
      </c>
      <c r="DT51" s="242">
        <f>-IF(DT$6&gt;=Assumptions!$F$38,Assumptions!$L23/12*(1+Assumptions!$K$32)^ROUNDDOWN(YEARFRAC(DT$6,Assumptions!$F$38),0),0)</f>
        <v>-3283.64381545475</v>
      </c>
      <c r="DU51" s="242">
        <f>-IF(DU$6&gt;=Assumptions!$F$38,Assumptions!$L23/12*(1+Assumptions!$K$32)^ROUNDDOWN(YEARFRAC(DU$6,Assumptions!$F$38),0),0)</f>
        <v>-3382.1531299183926</v>
      </c>
      <c r="DV51" s="242">
        <f>-IF(DV$6&gt;=Assumptions!$F$38,Assumptions!$L23/12*(1+Assumptions!$K$32)^ROUNDDOWN(YEARFRAC(DV$6,Assumptions!$F$38),0),0)</f>
        <v>-3382.1531299183926</v>
      </c>
      <c r="DW51" s="242">
        <f>-IF(DW$6&gt;=Assumptions!$F$38,Assumptions!$L23/12*(1+Assumptions!$K$32)^ROUNDDOWN(YEARFRAC(DW$6,Assumptions!$F$38),0),0)</f>
        <v>-3382.1531299183926</v>
      </c>
      <c r="DX51" s="242">
        <f>-IF(DX$6&gt;=Assumptions!$F$38,Assumptions!$L23/12*(1+Assumptions!$K$32)^ROUNDDOWN(YEARFRAC(DX$6,Assumptions!$F$38),0),0)</f>
        <v>-3382.1531299183926</v>
      </c>
      <c r="DY51" s="242">
        <f>-IF(DY$6&gt;=Assumptions!$F$38,Assumptions!$L23/12*(1+Assumptions!$K$32)^ROUNDDOWN(YEARFRAC(DY$6,Assumptions!$F$38),0),0)</f>
        <v>-3382.1531299183926</v>
      </c>
      <c r="DZ51" s="242">
        <f>-IF(DZ$6&gt;=Assumptions!$F$38,Assumptions!$L23/12*(1+Assumptions!$K$32)^ROUNDDOWN(YEARFRAC(DZ$6,Assumptions!$F$38),0),0)</f>
        <v>-3382.1531299183926</v>
      </c>
      <c r="EA51" s="242">
        <f>-IF(EA$6&gt;=Assumptions!$F$38,Assumptions!$L23/12*(1+Assumptions!$K$32)^ROUNDDOWN(YEARFRAC(EA$6,Assumptions!$F$38),0),0)</f>
        <v>-3382.1531299183926</v>
      </c>
      <c r="EB51" s="242">
        <f>-IF(EB$6&gt;=Assumptions!$F$38,Assumptions!$L23/12*(1+Assumptions!$K$32)^ROUNDDOWN(YEARFRAC(EB$6,Assumptions!$F$38),0),0)</f>
        <v>-3382.1531299183926</v>
      </c>
      <c r="EC51" s="242">
        <f>-IF(EC$6&gt;=Assumptions!$F$38,Assumptions!$L23/12*(1+Assumptions!$K$32)^ROUNDDOWN(YEARFRAC(EC$6,Assumptions!$F$38),0),0)</f>
        <v>-3382.1531299183926</v>
      </c>
      <c r="ED51" s="242">
        <f>-IF(ED$6&gt;=Assumptions!$F$38,Assumptions!$L23/12*(1+Assumptions!$K$32)^ROUNDDOWN(YEARFRAC(ED$6,Assumptions!$F$38),0),0)</f>
        <v>-3382.1531299183926</v>
      </c>
      <c r="EE51" s="242">
        <f>-IF(EE$6&gt;=Assumptions!$F$38,Assumptions!$L23/12*(1+Assumptions!$K$32)^ROUNDDOWN(YEARFRAC(EE$6,Assumptions!$F$38),0),0)</f>
        <v>-3382.1531299183926</v>
      </c>
      <c r="EF51" s="242">
        <f>-IF(EF$6&gt;=Assumptions!$F$38,Assumptions!$L23/12*(1+Assumptions!$K$32)^ROUNDDOWN(YEARFRAC(EF$6,Assumptions!$F$38),0),0)</f>
        <v>-3382.1531299183926</v>
      </c>
      <c r="EG51" s="242">
        <f>-IF(EG$6&gt;=Assumptions!$F$38,Assumptions!$L23/12*(1+Assumptions!$K$32)^ROUNDDOWN(YEARFRAC(EG$6,Assumptions!$F$38),0),0)</f>
        <v>-3483.6177238159439</v>
      </c>
      <c r="EH51" s="242">
        <f>-IF(EH$6&gt;=Assumptions!$F$38,Assumptions!$L23/12*(1+Assumptions!$K$32)^ROUNDDOWN(YEARFRAC(EH$6,Assumptions!$F$38),0),0)</f>
        <v>-3483.6177238159439</v>
      </c>
      <c r="EI51" s="242">
        <f>-IF(EI$6&gt;=Assumptions!$F$38,Assumptions!$L23/12*(1+Assumptions!$K$32)^ROUNDDOWN(YEARFRAC(EI$6,Assumptions!$F$38),0),0)</f>
        <v>-3483.6177238159439</v>
      </c>
      <c r="EJ51" s="242">
        <f>-IF(EJ$6&gt;=Assumptions!$F$38,Assumptions!$L23/12*(1+Assumptions!$K$32)^ROUNDDOWN(YEARFRAC(EJ$6,Assumptions!$F$38),0),0)</f>
        <v>-3483.6177238159439</v>
      </c>
      <c r="EK51" s="242">
        <f>-IF(EK$6&gt;=Assumptions!$F$38,Assumptions!$L23/12*(1+Assumptions!$K$32)^ROUNDDOWN(YEARFRAC(EK$6,Assumptions!$F$38),0),0)</f>
        <v>-3483.6177238159439</v>
      </c>
      <c r="EL51" s="242">
        <f>-IF(EL$6&gt;=Assumptions!$F$38,Assumptions!$L23/12*(1+Assumptions!$K$32)^ROUNDDOWN(YEARFRAC(EL$6,Assumptions!$F$38),0),0)</f>
        <v>-3483.6177238159439</v>
      </c>
      <c r="EM51" s="242">
        <f>-IF(EM$6&gt;=Assumptions!$F$38,Assumptions!$L23/12*(1+Assumptions!$K$32)^ROUNDDOWN(YEARFRAC(EM$6,Assumptions!$F$38),0),0)</f>
        <v>-3483.6177238159439</v>
      </c>
      <c r="EN51" s="242">
        <f>-IF(EN$6&gt;=Assumptions!$F$38,Assumptions!$L23/12*(1+Assumptions!$K$32)^ROUNDDOWN(YEARFRAC(EN$6,Assumptions!$F$38),0),0)</f>
        <v>-3483.6177238159439</v>
      </c>
      <c r="EO51" s="242">
        <f>-IF(EO$6&gt;=Assumptions!$F$38,Assumptions!$L23/12*(1+Assumptions!$K$32)^ROUNDDOWN(YEARFRAC(EO$6,Assumptions!$F$38),0),0)</f>
        <v>-3483.6177238159439</v>
      </c>
      <c r="EP51" s="242">
        <f>-IF(EP$6&gt;=Assumptions!$F$38,Assumptions!$L23/12*(1+Assumptions!$K$32)^ROUNDDOWN(YEARFRAC(EP$6,Assumptions!$F$38),0),0)</f>
        <v>-3483.6177238159439</v>
      </c>
      <c r="EQ51" s="242">
        <f>-IF(EQ$6&gt;=Assumptions!$F$38,Assumptions!$L23/12*(1+Assumptions!$K$32)^ROUNDDOWN(YEARFRAC(EQ$6,Assumptions!$F$38),0),0)</f>
        <v>-3483.6177238159439</v>
      </c>
      <c r="ER51" s="242">
        <f>-IF(ER$6&gt;=Assumptions!$F$38,Assumptions!$L23/12*(1+Assumptions!$K$32)^ROUNDDOWN(YEARFRAC(ER$6,Assumptions!$F$38),0),0)</f>
        <v>-3483.6177238159439</v>
      </c>
      <c r="ES51" s="242">
        <f>-IF(ES$6&gt;=Assumptions!$F$38,Assumptions!$L23/12*(1+Assumptions!$K$32)^ROUNDDOWN(YEARFRAC(ES$6,Assumptions!$F$38),0),0)</f>
        <v>-3588.1262555304224</v>
      </c>
      <c r="ET51" s="242">
        <f>-IF(ET$6&gt;=Assumptions!$F$38,Assumptions!$L23/12*(1+Assumptions!$K$32)^ROUNDDOWN(YEARFRAC(ET$6,Assumptions!$F$38),0),0)</f>
        <v>-3588.1262555304224</v>
      </c>
    </row>
    <row r="52" spans="2:150" x14ac:dyDescent="0.2">
      <c r="B52" t="s">
        <v>71</v>
      </c>
      <c r="D52" s="242">
        <f t="shared" si="510"/>
        <v>-616368.15850181459</v>
      </c>
      <c r="F52" s="242">
        <f>-IF(F$6&gt;=Assumptions!$F$38,Assumptions!$L24/12*(1+Assumptions!$K$32)^ROUNDDOWN(YEARFRAC(F$6,Assumptions!$F$38),0),0)</f>
        <v>0</v>
      </c>
      <c r="G52" s="242">
        <f>-IF(G$6&gt;=Assumptions!$F$38,Assumptions!$L24/12*(1+Assumptions!$K$32)^ROUNDDOWN(YEARFRAC(G$6,Assumptions!$F$38),0),0)</f>
        <v>0</v>
      </c>
      <c r="H52" s="242">
        <f>-IF(H$6&gt;=Assumptions!$F$38,Assumptions!$L24/12*(1+Assumptions!$K$32)^ROUNDDOWN(YEARFRAC(H$6,Assumptions!$F$38),0),0)</f>
        <v>0</v>
      </c>
      <c r="I52" s="242">
        <f>-IF(I$6&gt;=Assumptions!$F$38,Assumptions!$L24/12*(1+Assumptions!$K$32)^ROUNDDOWN(YEARFRAC(I$6,Assumptions!$F$38),0),0)</f>
        <v>0</v>
      </c>
      <c r="J52" s="242">
        <f>-IF(J$6&gt;=Assumptions!$F$38,Assumptions!$L24/12*(1+Assumptions!$K$32)^ROUNDDOWN(YEARFRAC(J$6,Assumptions!$F$38),0),0)</f>
        <v>0</v>
      </c>
      <c r="K52" s="242">
        <f>-IF(K$6&gt;=Assumptions!$F$38,Assumptions!$L24/12*(1+Assumptions!$K$32)^ROUNDDOWN(YEARFRAC(K$6,Assumptions!$F$38),0),0)</f>
        <v>0</v>
      </c>
      <c r="L52" s="242">
        <f>-IF(L$6&gt;=Assumptions!$F$38,Assumptions!$L24/12*(1+Assumptions!$K$32)^ROUNDDOWN(YEARFRAC(L$6,Assumptions!$F$38),0),0)</f>
        <v>0</v>
      </c>
      <c r="M52" s="242">
        <f>-IF(M$6&gt;=Assumptions!$F$38,Assumptions!$L24/12*(1+Assumptions!$K$32)^ROUNDDOWN(YEARFRAC(M$6,Assumptions!$F$38),0),0)</f>
        <v>0</v>
      </c>
      <c r="N52" s="242">
        <f>-IF(N$6&gt;=Assumptions!$F$38,Assumptions!$L24/12*(1+Assumptions!$K$32)^ROUNDDOWN(YEARFRAC(N$6,Assumptions!$F$38),0),0)</f>
        <v>0</v>
      </c>
      <c r="O52" s="242">
        <f>-IF(O$6&gt;=Assumptions!$F$38,Assumptions!$L24/12*(1+Assumptions!$K$32)^ROUNDDOWN(YEARFRAC(O$6,Assumptions!$F$38),0),0)</f>
        <v>0</v>
      </c>
      <c r="P52" s="242">
        <f>-IF(P$6&gt;=Assumptions!$F$38,Assumptions!$L24/12*(1+Assumptions!$K$32)^ROUNDDOWN(YEARFRAC(P$6,Assumptions!$F$38),0),0)</f>
        <v>0</v>
      </c>
      <c r="Q52" s="242">
        <f>-IF(Q$6&gt;=Assumptions!$F$38,Assumptions!$L24/12*(1+Assumptions!$K$32)^ROUNDDOWN(YEARFRAC(Q$6,Assumptions!$F$38),0),0)</f>
        <v>0</v>
      </c>
      <c r="R52" s="242">
        <f>-IF(R$6&gt;=Assumptions!$F$38,Assumptions!$L24/12*(1+Assumptions!$K$32)^ROUNDDOWN(YEARFRAC(R$6,Assumptions!$F$38),0),0)</f>
        <v>0</v>
      </c>
      <c r="S52" s="242">
        <f>-IF(S$6&gt;=Assumptions!$F$38,Assumptions!$L24/12*(1+Assumptions!$K$32)^ROUNDDOWN(YEARFRAC(S$6,Assumptions!$F$38),0),0)</f>
        <v>0</v>
      </c>
      <c r="T52" s="242">
        <f>-IF(T$6&gt;=Assumptions!$F$38,Assumptions!$L24/12*(1+Assumptions!$K$32)^ROUNDDOWN(YEARFRAC(T$6,Assumptions!$F$38),0),0)</f>
        <v>0</v>
      </c>
      <c r="U52" s="242">
        <f>-IF(U$6&gt;=Assumptions!$F$38,Assumptions!$L24/12*(1+Assumptions!$K$32)^ROUNDDOWN(YEARFRAC(U$6,Assumptions!$F$38),0),0)</f>
        <v>0</v>
      </c>
      <c r="V52" s="242">
        <f>-IF(V$6&gt;=Assumptions!$F$38,Assumptions!$L24/12*(1+Assumptions!$K$32)^ROUNDDOWN(YEARFRAC(V$6,Assumptions!$F$38),0),0)</f>
        <v>0</v>
      </c>
      <c r="W52" s="242">
        <f>-IF(W$6&gt;=Assumptions!$F$38,Assumptions!$L24/12*(1+Assumptions!$K$32)^ROUNDDOWN(YEARFRAC(W$6,Assumptions!$F$38),0),0)</f>
        <v>0</v>
      </c>
      <c r="X52" s="242">
        <f>-IF(X$6&gt;=Assumptions!$F$38,Assumptions!$L24/12*(1+Assumptions!$K$32)^ROUNDDOWN(YEARFRAC(X$6,Assumptions!$F$38),0),0)</f>
        <v>0</v>
      </c>
      <c r="Y52" s="242">
        <f>-IF(Y$6&gt;=Assumptions!$F$38,Assumptions!$L24/12*(1+Assumptions!$K$32)^ROUNDDOWN(YEARFRAC(Y$6,Assumptions!$F$38),0),0)</f>
        <v>0</v>
      </c>
      <c r="Z52" s="242">
        <f>-IF(Z$6&gt;=Assumptions!$F$38,Assumptions!$L24/12*(1+Assumptions!$K$32)^ROUNDDOWN(YEARFRAC(Z$6,Assumptions!$F$38),0),0)</f>
        <v>0</v>
      </c>
      <c r="AA52" s="242">
        <f>-IF(AA$6&gt;=Assumptions!$F$38,Assumptions!$L24/12*(1+Assumptions!$K$32)^ROUNDDOWN(YEARFRAC(AA$6,Assumptions!$F$38),0),0)</f>
        <v>0</v>
      </c>
      <c r="AB52" s="242">
        <f>-IF(AB$6&gt;=Assumptions!$F$38,Assumptions!$L24/12*(1+Assumptions!$K$32)^ROUNDDOWN(YEARFRAC(AB$6,Assumptions!$F$38),0),0)</f>
        <v>0</v>
      </c>
      <c r="AC52" s="242">
        <f>-IF(AC$6&gt;=Assumptions!$F$38,Assumptions!$L24/12*(1+Assumptions!$K$32)^ROUNDDOWN(YEARFRAC(AC$6,Assumptions!$F$38),0),0)</f>
        <v>0</v>
      </c>
      <c r="AD52" s="242">
        <f>-IF(AD$6&gt;=Assumptions!$F$38,Assumptions!$L24/12*(1+Assumptions!$K$32)^ROUNDDOWN(YEARFRAC(AD$6,Assumptions!$F$38),0),0)</f>
        <v>0</v>
      </c>
      <c r="AE52" s="242">
        <f>-IF(AE$6&gt;=Assumptions!$F$38,Assumptions!$L24/12*(1+Assumptions!$K$32)^ROUNDDOWN(YEARFRAC(AE$6,Assumptions!$F$38),0),0)</f>
        <v>0</v>
      </c>
      <c r="AF52" s="242">
        <f>-IF(AF$6&gt;=Assumptions!$F$38,Assumptions!$L24/12*(1+Assumptions!$K$32)^ROUNDDOWN(YEARFRAC(AF$6,Assumptions!$F$38),0),0)</f>
        <v>0</v>
      </c>
      <c r="AG52" s="242">
        <f>-IF(AG$6&gt;=Assumptions!$F$38,Assumptions!$L24/12*(1+Assumptions!$K$32)^ROUNDDOWN(YEARFRAC(AG$6,Assumptions!$F$38),0),0)</f>
        <v>0</v>
      </c>
      <c r="AH52" s="242">
        <f>-IF(AH$6&gt;=Assumptions!$F$38,Assumptions!$L24/12*(1+Assumptions!$K$32)^ROUNDDOWN(YEARFRAC(AH$6,Assumptions!$F$38),0),0)</f>
        <v>0</v>
      </c>
      <c r="AI52" s="242">
        <f>-IF(AI$6&gt;=Assumptions!$F$38,Assumptions!$L24/12*(1+Assumptions!$K$32)^ROUNDDOWN(YEARFRAC(AI$6,Assumptions!$F$38),0),0)</f>
        <v>0</v>
      </c>
      <c r="AJ52" s="242">
        <f>-IF(AJ$6&gt;=Assumptions!$F$38,Assumptions!$L24/12*(1+Assumptions!$K$32)^ROUNDDOWN(YEARFRAC(AJ$6,Assumptions!$F$38),0),0)</f>
        <v>0</v>
      </c>
      <c r="AK52" s="242">
        <f>-IF(AK$6&gt;=Assumptions!$F$38,Assumptions!$L24/12*(1+Assumptions!$K$32)^ROUNDDOWN(YEARFRAC(AK$6,Assumptions!$F$38),0),0)</f>
        <v>0</v>
      </c>
      <c r="AL52" s="242">
        <f>-IF(AL$6&gt;=Assumptions!$F$38,Assumptions!$L24/12*(1+Assumptions!$K$32)^ROUNDDOWN(YEARFRAC(AL$6,Assumptions!$F$38),0),0)</f>
        <v>0</v>
      </c>
      <c r="AM52" s="242">
        <f>-IF(AM$6&gt;=Assumptions!$F$38,Assumptions!$L24/12*(1+Assumptions!$K$32)^ROUNDDOWN(YEARFRAC(AM$6,Assumptions!$F$38),0),0)</f>
        <v>0</v>
      </c>
      <c r="AN52" s="242">
        <f>-IF(AN$6&gt;=Assumptions!$F$38,Assumptions!$L24/12*(1+Assumptions!$K$32)^ROUNDDOWN(YEARFRAC(AN$6,Assumptions!$F$38),0),0)</f>
        <v>0</v>
      </c>
      <c r="AO52" s="242">
        <f>-IF(AO$6&gt;=Assumptions!$F$38,Assumptions!$L24/12*(1+Assumptions!$K$32)^ROUNDDOWN(YEARFRAC(AO$6,Assumptions!$F$38),0),0)</f>
        <v>-4950</v>
      </c>
      <c r="AP52" s="242">
        <f>-IF(AP$6&gt;=Assumptions!$F$38,Assumptions!$L24/12*(1+Assumptions!$K$32)^ROUNDDOWN(YEARFRAC(AP$6,Assumptions!$F$38),0),0)</f>
        <v>-4950</v>
      </c>
      <c r="AQ52" s="242">
        <f>-IF(AQ$6&gt;=Assumptions!$F$38,Assumptions!$L24/12*(1+Assumptions!$K$32)^ROUNDDOWN(YEARFRAC(AQ$6,Assumptions!$F$38),0),0)</f>
        <v>-4950</v>
      </c>
      <c r="AR52" s="242">
        <f>-IF(AR$6&gt;=Assumptions!$F$38,Assumptions!$L24/12*(1+Assumptions!$K$32)^ROUNDDOWN(YEARFRAC(AR$6,Assumptions!$F$38),0),0)</f>
        <v>-4950</v>
      </c>
      <c r="AS52" s="242">
        <f>-IF(AS$6&gt;=Assumptions!$F$38,Assumptions!$L24/12*(1+Assumptions!$K$32)^ROUNDDOWN(YEARFRAC(AS$6,Assumptions!$F$38),0),0)</f>
        <v>-4950</v>
      </c>
      <c r="AT52" s="242">
        <f>-IF(AT$6&gt;=Assumptions!$F$38,Assumptions!$L24/12*(1+Assumptions!$K$32)^ROUNDDOWN(YEARFRAC(AT$6,Assumptions!$F$38),0),0)</f>
        <v>-4950</v>
      </c>
      <c r="AU52" s="242">
        <f>-IF(AU$6&gt;=Assumptions!$F$38,Assumptions!$L24/12*(1+Assumptions!$K$32)^ROUNDDOWN(YEARFRAC(AU$6,Assumptions!$F$38),0),0)</f>
        <v>-4950</v>
      </c>
      <c r="AV52" s="242">
        <f>-IF(AV$6&gt;=Assumptions!$F$38,Assumptions!$L24/12*(1+Assumptions!$K$32)^ROUNDDOWN(YEARFRAC(AV$6,Assumptions!$F$38),0),0)</f>
        <v>-4950</v>
      </c>
      <c r="AW52" s="242">
        <f>-IF(AW$6&gt;=Assumptions!$F$38,Assumptions!$L24/12*(1+Assumptions!$K$32)^ROUNDDOWN(YEARFRAC(AW$6,Assumptions!$F$38),0),0)</f>
        <v>-4950</v>
      </c>
      <c r="AX52" s="242">
        <f>-IF(AX$6&gt;=Assumptions!$F$38,Assumptions!$L24/12*(1+Assumptions!$K$32)^ROUNDDOWN(YEARFRAC(AX$6,Assumptions!$F$38),0),0)</f>
        <v>-4950</v>
      </c>
      <c r="AY52" s="242">
        <f>-IF(AY$6&gt;=Assumptions!$F$38,Assumptions!$L24/12*(1+Assumptions!$K$32)^ROUNDDOWN(YEARFRAC(AY$6,Assumptions!$F$38),0),0)</f>
        <v>-4950</v>
      </c>
      <c r="AZ52" s="242">
        <f>-IF(AZ$6&gt;=Assumptions!$F$38,Assumptions!$L24/12*(1+Assumptions!$K$32)^ROUNDDOWN(YEARFRAC(AZ$6,Assumptions!$F$38),0),0)</f>
        <v>-4950</v>
      </c>
      <c r="BA52" s="242">
        <f>-IF(BA$6&gt;=Assumptions!$F$38,Assumptions!$L24/12*(1+Assumptions!$K$32)^ROUNDDOWN(YEARFRAC(BA$6,Assumptions!$F$38),0),0)</f>
        <v>-5098.5</v>
      </c>
      <c r="BB52" s="242">
        <f>-IF(BB$6&gt;=Assumptions!$F$38,Assumptions!$L24/12*(1+Assumptions!$K$32)^ROUNDDOWN(YEARFRAC(BB$6,Assumptions!$F$38),0),0)</f>
        <v>-5098.5</v>
      </c>
      <c r="BC52" s="242">
        <f>-IF(BC$6&gt;=Assumptions!$F$38,Assumptions!$L24/12*(1+Assumptions!$K$32)^ROUNDDOWN(YEARFRAC(BC$6,Assumptions!$F$38),0),0)</f>
        <v>-5098.5</v>
      </c>
      <c r="BD52" s="242">
        <f>-IF(BD$6&gt;=Assumptions!$F$38,Assumptions!$L24/12*(1+Assumptions!$K$32)^ROUNDDOWN(YEARFRAC(BD$6,Assumptions!$F$38),0),0)</f>
        <v>-5098.5</v>
      </c>
      <c r="BE52" s="242">
        <f>-IF(BE$6&gt;=Assumptions!$F$38,Assumptions!$L24/12*(1+Assumptions!$K$32)^ROUNDDOWN(YEARFRAC(BE$6,Assumptions!$F$38),0),0)</f>
        <v>-5098.5</v>
      </c>
      <c r="BF52" s="242">
        <f>-IF(BF$6&gt;=Assumptions!$F$38,Assumptions!$L24/12*(1+Assumptions!$K$32)^ROUNDDOWN(YEARFRAC(BF$6,Assumptions!$F$38),0),0)</f>
        <v>-5098.5</v>
      </c>
      <c r="BG52" s="242">
        <f>-IF(BG$6&gt;=Assumptions!$F$38,Assumptions!$L24/12*(1+Assumptions!$K$32)^ROUNDDOWN(YEARFRAC(BG$6,Assumptions!$F$38),0),0)</f>
        <v>-5098.5</v>
      </c>
      <c r="BH52" s="242">
        <f>-IF(BH$6&gt;=Assumptions!$F$38,Assumptions!$L24/12*(1+Assumptions!$K$32)^ROUNDDOWN(YEARFRAC(BH$6,Assumptions!$F$38),0),0)</f>
        <v>-5098.5</v>
      </c>
      <c r="BI52" s="242">
        <f>-IF(BI$6&gt;=Assumptions!$F$38,Assumptions!$L24/12*(1+Assumptions!$K$32)^ROUNDDOWN(YEARFRAC(BI$6,Assumptions!$F$38),0),0)</f>
        <v>-5098.5</v>
      </c>
      <c r="BJ52" s="242">
        <f>-IF(BJ$6&gt;=Assumptions!$F$38,Assumptions!$L24/12*(1+Assumptions!$K$32)^ROUNDDOWN(YEARFRAC(BJ$6,Assumptions!$F$38),0),0)</f>
        <v>-5098.5</v>
      </c>
      <c r="BK52" s="242">
        <f>-IF(BK$6&gt;=Assumptions!$F$38,Assumptions!$L24/12*(1+Assumptions!$K$32)^ROUNDDOWN(YEARFRAC(BK$6,Assumptions!$F$38),0),0)</f>
        <v>-5098.5</v>
      </c>
      <c r="BL52" s="242">
        <f>-IF(BL$6&gt;=Assumptions!$F$38,Assumptions!$L24/12*(1+Assumptions!$K$32)^ROUNDDOWN(YEARFRAC(BL$6,Assumptions!$F$38),0),0)</f>
        <v>-5098.5</v>
      </c>
      <c r="BM52" s="242">
        <f>-IF(BM$6&gt;=Assumptions!$F$38,Assumptions!$L24/12*(1+Assumptions!$K$32)^ROUNDDOWN(YEARFRAC(BM$6,Assumptions!$F$38),0),0)</f>
        <v>-5251.4549999999999</v>
      </c>
      <c r="BN52" s="242">
        <f>-IF(BN$6&gt;=Assumptions!$F$38,Assumptions!$L24/12*(1+Assumptions!$K$32)^ROUNDDOWN(YEARFRAC(BN$6,Assumptions!$F$38),0),0)</f>
        <v>-5251.4549999999999</v>
      </c>
      <c r="BO52" s="242">
        <f>-IF(BO$6&gt;=Assumptions!$F$38,Assumptions!$L24/12*(1+Assumptions!$K$32)^ROUNDDOWN(YEARFRAC(BO$6,Assumptions!$F$38),0),0)</f>
        <v>-5251.4549999999999</v>
      </c>
      <c r="BP52" s="242">
        <f>-IF(BP$6&gt;=Assumptions!$F$38,Assumptions!$L24/12*(1+Assumptions!$K$32)^ROUNDDOWN(YEARFRAC(BP$6,Assumptions!$F$38),0),0)</f>
        <v>-5251.4549999999999</v>
      </c>
      <c r="BQ52" s="242">
        <f>-IF(BQ$6&gt;=Assumptions!$F$38,Assumptions!$L24/12*(1+Assumptions!$K$32)^ROUNDDOWN(YEARFRAC(BQ$6,Assumptions!$F$38),0),0)</f>
        <v>-5251.4549999999999</v>
      </c>
      <c r="BR52" s="242">
        <f>-IF(BR$6&gt;=Assumptions!$F$38,Assumptions!$L24/12*(1+Assumptions!$K$32)^ROUNDDOWN(YEARFRAC(BR$6,Assumptions!$F$38),0),0)</f>
        <v>-5251.4549999999999</v>
      </c>
      <c r="BS52" s="242">
        <f>-IF(BS$6&gt;=Assumptions!$F$38,Assumptions!$L24/12*(1+Assumptions!$K$32)^ROUNDDOWN(YEARFRAC(BS$6,Assumptions!$F$38),0),0)</f>
        <v>-5251.4549999999999</v>
      </c>
      <c r="BT52" s="242">
        <f>-IF(BT$6&gt;=Assumptions!$F$38,Assumptions!$L24/12*(1+Assumptions!$K$32)^ROUNDDOWN(YEARFRAC(BT$6,Assumptions!$F$38),0),0)</f>
        <v>-5251.4549999999999</v>
      </c>
      <c r="BU52" s="242">
        <f>-IF(BU$6&gt;=Assumptions!$F$38,Assumptions!$L24/12*(1+Assumptions!$K$32)^ROUNDDOWN(YEARFRAC(BU$6,Assumptions!$F$38),0),0)</f>
        <v>-5251.4549999999999</v>
      </c>
      <c r="BV52" s="242">
        <f>-IF(BV$6&gt;=Assumptions!$F$38,Assumptions!$L24/12*(1+Assumptions!$K$32)^ROUNDDOWN(YEARFRAC(BV$6,Assumptions!$F$38),0),0)</f>
        <v>-5251.4549999999999</v>
      </c>
      <c r="BW52" s="242">
        <f>-IF(BW$6&gt;=Assumptions!$F$38,Assumptions!$L24/12*(1+Assumptions!$K$32)^ROUNDDOWN(YEARFRAC(BW$6,Assumptions!$F$38),0),0)</f>
        <v>-5251.4549999999999</v>
      </c>
      <c r="BX52" s="242">
        <f>-IF(BX$6&gt;=Assumptions!$F$38,Assumptions!$L24/12*(1+Assumptions!$K$32)^ROUNDDOWN(YEARFRAC(BX$6,Assumptions!$F$38),0),0)</f>
        <v>-5251.4549999999999</v>
      </c>
      <c r="BY52" s="242">
        <f>-IF(BY$6&gt;=Assumptions!$F$38,Assumptions!$L24/12*(1+Assumptions!$K$32)^ROUNDDOWN(YEARFRAC(BY$6,Assumptions!$F$38),0),0)</f>
        <v>-5408.9986500000005</v>
      </c>
      <c r="BZ52" s="242">
        <f>-IF(BZ$6&gt;=Assumptions!$F$38,Assumptions!$L24/12*(1+Assumptions!$K$32)^ROUNDDOWN(YEARFRAC(BZ$6,Assumptions!$F$38),0),0)</f>
        <v>-5408.9986500000005</v>
      </c>
      <c r="CA52" s="242">
        <f>-IF(CA$6&gt;=Assumptions!$F$38,Assumptions!$L24/12*(1+Assumptions!$K$32)^ROUNDDOWN(YEARFRAC(CA$6,Assumptions!$F$38),0),0)</f>
        <v>-5408.9986500000005</v>
      </c>
      <c r="CB52" s="242">
        <f>-IF(CB$6&gt;=Assumptions!$F$38,Assumptions!$L24/12*(1+Assumptions!$K$32)^ROUNDDOWN(YEARFRAC(CB$6,Assumptions!$F$38),0),0)</f>
        <v>-5408.9986500000005</v>
      </c>
      <c r="CC52" s="242">
        <f>-IF(CC$6&gt;=Assumptions!$F$38,Assumptions!$L24/12*(1+Assumptions!$K$32)^ROUNDDOWN(YEARFRAC(CC$6,Assumptions!$F$38),0),0)</f>
        <v>-5408.9986500000005</v>
      </c>
      <c r="CD52" s="242">
        <f>-IF(CD$6&gt;=Assumptions!$F$38,Assumptions!$L24/12*(1+Assumptions!$K$32)^ROUNDDOWN(YEARFRAC(CD$6,Assumptions!$F$38),0),0)</f>
        <v>-5408.9986500000005</v>
      </c>
      <c r="CE52" s="242">
        <f>-IF(CE$6&gt;=Assumptions!$F$38,Assumptions!$L24/12*(1+Assumptions!$K$32)^ROUNDDOWN(YEARFRAC(CE$6,Assumptions!$F$38),0),0)</f>
        <v>-5408.9986500000005</v>
      </c>
      <c r="CF52" s="242">
        <f>-IF(CF$6&gt;=Assumptions!$F$38,Assumptions!$L24/12*(1+Assumptions!$K$32)^ROUNDDOWN(YEARFRAC(CF$6,Assumptions!$F$38),0),0)</f>
        <v>-5408.9986500000005</v>
      </c>
      <c r="CG52" s="242">
        <f>-IF(CG$6&gt;=Assumptions!$F$38,Assumptions!$L24/12*(1+Assumptions!$K$32)^ROUNDDOWN(YEARFRAC(CG$6,Assumptions!$F$38),0),0)</f>
        <v>-5408.9986500000005</v>
      </c>
      <c r="CH52" s="242">
        <f>-IF(CH$6&gt;=Assumptions!$F$38,Assumptions!$L24/12*(1+Assumptions!$K$32)^ROUNDDOWN(YEARFRAC(CH$6,Assumptions!$F$38),0),0)</f>
        <v>-5408.9986500000005</v>
      </c>
      <c r="CI52" s="242">
        <f>-IF(CI$6&gt;=Assumptions!$F$38,Assumptions!$L24/12*(1+Assumptions!$K$32)^ROUNDDOWN(YEARFRAC(CI$6,Assumptions!$F$38),0),0)</f>
        <v>-5408.9986500000005</v>
      </c>
      <c r="CJ52" s="242">
        <f>-IF(CJ$6&gt;=Assumptions!$F$38,Assumptions!$L24/12*(1+Assumptions!$K$32)^ROUNDDOWN(YEARFRAC(CJ$6,Assumptions!$F$38),0),0)</f>
        <v>-5408.9986500000005</v>
      </c>
      <c r="CK52" s="242">
        <f>-IF(CK$6&gt;=Assumptions!$F$38,Assumptions!$L24/12*(1+Assumptions!$K$32)^ROUNDDOWN(YEARFRAC(CK$6,Assumptions!$F$38),0),0)</f>
        <v>-5571.2686094999999</v>
      </c>
      <c r="CL52" s="242">
        <f>-IF(CL$6&gt;=Assumptions!$F$38,Assumptions!$L24/12*(1+Assumptions!$K$32)^ROUNDDOWN(YEARFRAC(CL$6,Assumptions!$F$38),0),0)</f>
        <v>-5571.2686094999999</v>
      </c>
      <c r="CM52" s="242">
        <f>-IF(CM$6&gt;=Assumptions!$F$38,Assumptions!$L24/12*(1+Assumptions!$K$32)^ROUNDDOWN(YEARFRAC(CM$6,Assumptions!$F$38),0),0)</f>
        <v>-5571.2686094999999</v>
      </c>
      <c r="CN52" s="242">
        <f>-IF(CN$6&gt;=Assumptions!$F$38,Assumptions!$L24/12*(1+Assumptions!$K$32)^ROUNDDOWN(YEARFRAC(CN$6,Assumptions!$F$38),0),0)</f>
        <v>-5571.2686094999999</v>
      </c>
      <c r="CO52" s="242">
        <f>-IF(CO$6&gt;=Assumptions!$F$38,Assumptions!$L24/12*(1+Assumptions!$K$32)^ROUNDDOWN(YEARFRAC(CO$6,Assumptions!$F$38),0),0)</f>
        <v>-5571.2686094999999</v>
      </c>
      <c r="CP52" s="242">
        <f>-IF(CP$6&gt;=Assumptions!$F$38,Assumptions!$L24/12*(1+Assumptions!$K$32)^ROUNDDOWN(YEARFRAC(CP$6,Assumptions!$F$38),0),0)</f>
        <v>-5571.2686094999999</v>
      </c>
      <c r="CQ52" s="242">
        <f>-IF(CQ$6&gt;=Assumptions!$F$38,Assumptions!$L24/12*(1+Assumptions!$K$32)^ROUNDDOWN(YEARFRAC(CQ$6,Assumptions!$F$38),0),0)</f>
        <v>-5571.2686094999999</v>
      </c>
      <c r="CR52" s="242">
        <f>-IF(CR$6&gt;=Assumptions!$F$38,Assumptions!$L24/12*(1+Assumptions!$K$32)^ROUNDDOWN(YEARFRAC(CR$6,Assumptions!$F$38),0),0)</f>
        <v>-5571.2686094999999</v>
      </c>
      <c r="CS52" s="242">
        <f>-IF(CS$6&gt;=Assumptions!$F$38,Assumptions!$L24/12*(1+Assumptions!$K$32)^ROUNDDOWN(YEARFRAC(CS$6,Assumptions!$F$38),0),0)</f>
        <v>-5571.2686094999999</v>
      </c>
      <c r="CT52" s="242">
        <f>-IF(CT$6&gt;=Assumptions!$F$38,Assumptions!$L24/12*(1+Assumptions!$K$32)^ROUNDDOWN(YEARFRAC(CT$6,Assumptions!$F$38),0),0)</f>
        <v>-5571.2686094999999</v>
      </c>
      <c r="CU52" s="242">
        <f>-IF(CU$6&gt;=Assumptions!$F$38,Assumptions!$L24/12*(1+Assumptions!$K$32)^ROUNDDOWN(YEARFRAC(CU$6,Assumptions!$F$38),0),0)</f>
        <v>-5571.2686094999999</v>
      </c>
      <c r="CV52" s="242">
        <f>-IF(CV$6&gt;=Assumptions!$F$38,Assumptions!$L24/12*(1+Assumptions!$K$32)^ROUNDDOWN(YEARFRAC(CV$6,Assumptions!$F$38),0),0)</f>
        <v>-5571.2686094999999</v>
      </c>
      <c r="CW52" s="242">
        <f>-IF(CW$6&gt;=Assumptions!$F$38,Assumptions!$L24/12*(1+Assumptions!$K$32)^ROUNDDOWN(YEARFRAC(CW$6,Assumptions!$F$38),0),0)</f>
        <v>-5738.4066677849996</v>
      </c>
      <c r="CX52" s="242">
        <f>-IF(CX$6&gt;=Assumptions!$F$38,Assumptions!$L24/12*(1+Assumptions!$K$32)^ROUNDDOWN(YEARFRAC(CX$6,Assumptions!$F$38),0),0)</f>
        <v>-5738.4066677849996</v>
      </c>
      <c r="CY52" s="242">
        <f>-IF(CY$6&gt;=Assumptions!$F$38,Assumptions!$L24/12*(1+Assumptions!$K$32)^ROUNDDOWN(YEARFRAC(CY$6,Assumptions!$F$38),0),0)</f>
        <v>-5738.4066677849996</v>
      </c>
      <c r="CZ52" s="242">
        <f>-IF(CZ$6&gt;=Assumptions!$F$38,Assumptions!$L24/12*(1+Assumptions!$K$32)^ROUNDDOWN(YEARFRAC(CZ$6,Assumptions!$F$38),0),0)</f>
        <v>-5738.4066677849996</v>
      </c>
      <c r="DA52" s="242">
        <f>-IF(DA$6&gt;=Assumptions!$F$38,Assumptions!$L24/12*(1+Assumptions!$K$32)^ROUNDDOWN(YEARFRAC(DA$6,Assumptions!$F$38),0),0)</f>
        <v>-5738.4066677849996</v>
      </c>
      <c r="DB52" s="242">
        <f>-IF(DB$6&gt;=Assumptions!$F$38,Assumptions!$L24/12*(1+Assumptions!$K$32)^ROUNDDOWN(YEARFRAC(DB$6,Assumptions!$F$38),0),0)</f>
        <v>-5738.4066677849996</v>
      </c>
      <c r="DC52" s="242">
        <f>-IF(DC$6&gt;=Assumptions!$F$38,Assumptions!$L24/12*(1+Assumptions!$K$32)^ROUNDDOWN(YEARFRAC(DC$6,Assumptions!$F$38),0),0)</f>
        <v>-5738.4066677849996</v>
      </c>
      <c r="DD52" s="242">
        <f>-IF(DD$6&gt;=Assumptions!$F$38,Assumptions!$L24/12*(1+Assumptions!$K$32)^ROUNDDOWN(YEARFRAC(DD$6,Assumptions!$F$38),0),0)</f>
        <v>-5738.4066677849996</v>
      </c>
      <c r="DE52" s="242">
        <f>-IF(DE$6&gt;=Assumptions!$F$38,Assumptions!$L24/12*(1+Assumptions!$K$32)^ROUNDDOWN(YEARFRAC(DE$6,Assumptions!$F$38),0),0)</f>
        <v>-5738.4066677849996</v>
      </c>
      <c r="DF52" s="242">
        <f>-IF(DF$6&gt;=Assumptions!$F$38,Assumptions!$L24/12*(1+Assumptions!$K$32)^ROUNDDOWN(YEARFRAC(DF$6,Assumptions!$F$38),0),0)</f>
        <v>-5738.4066677849996</v>
      </c>
      <c r="DG52" s="242">
        <f>-IF(DG$6&gt;=Assumptions!$F$38,Assumptions!$L24/12*(1+Assumptions!$K$32)^ROUNDDOWN(YEARFRAC(DG$6,Assumptions!$F$38),0),0)</f>
        <v>-5738.4066677849996</v>
      </c>
      <c r="DH52" s="242">
        <f>-IF(DH$6&gt;=Assumptions!$F$38,Assumptions!$L24/12*(1+Assumptions!$K$32)^ROUNDDOWN(YEARFRAC(DH$6,Assumptions!$F$38),0),0)</f>
        <v>-5738.4066677849996</v>
      </c>
      <c r="DI52" s="242">
        <f>-IF(DI$6&gt;=Assumptions!$F$38,Assumptions!$L24/12*(1+Assumptions!$K$32)^ROUNDDOWN(YEARFRAC(DI$6,Assumptions!$F$38),0),0)</f>
        <v>-5910.5588678185495</v>
      </c>
      <c r="DJ52" s="242">
        <f>-IF(DJ$6&gt;=Assumptions!$F$38,Assumptions!$L24/12*(1+Assumptions!$K$32)^ROUNDDOWN(YEARFRAC(DJ$6,Assumptions!$F$38),0),0)</f>
        <v>-5910.5588678185495</v>
      </c>
      <c r="DK52" s="242">
        <f>-IF(DK$6&gt;=Assumptions!$F$38,Assumptions!$L24/12*(1+Assumptions!$K$32)^ROUNDDOWN(YEARFRAC(DK$6,Assumptions!$F$38),0),0)</f>
        <v>-5910.5588678185495</v>
      </c>
      <c r="DL52" s="242">
        <f>-IF(DL$6&gt;=Assumptions!$F$38,Assumptions!$L24/12*(1+Assumptions!$K$32)^ROUNDDOWN(YEARFRAC(DL$6,Assumptions!$F$38),0),0)</f>
        <v>-5910.5588678185495</v>
      </c>
      <c r="DM52" s="242">
        <f>-IF(DM$6&gt;=Assumptions!$F$38,Assumptions!$L24/12*(1+Assumptions!$K$32)^ROUNDDOWN(YEARFRAC(DM$6,Assumptions!$F$38),0),0)</f>
        <v>-5910.5588678185495</v>
      </c>
      <c r="DN52" s="242">
        <f>-IF(DN$6&gt;=Assumptions!$F$38,Assumptions!$L24/12*(1+Assumptions!$K$32)^ROUNDDOWN(YEARFRAC(DN$6,Assumptions!$F$38),0),0)</f>
        <v>-5910.5588678185495</v>
      </c>
      <c r="DO52" s="242">
        <f>-IF(DO$6&gt;=Assumptions!$F$38,Assumptions!$L24/12*(1+Assumptions!$K$32)^ROUNDDOWN(YEARFRAC(DO$6,Assumptions!$F$38),0),0)</f>
        <v>-5910.5588678185495</v>
      </c>
      <c r="DP52" s="242">
        <f>-IF(DP$6&gt;=Assumptions!$F$38,Assumptions!$L24/12*(1+Assumptions!$K$32)^ROUNDDOWN(YEARFRAC(DP$6,Assumptions!$F$38),0),0)</f>
        <v>-5910.5588678185495</v>
      </c>
      <c r="DQ52" s="242">
        <f>-IF(DQ$6&gt;=Assumptions!$F$38,Assumptions!$L24/12*(1+Assumptions!$K$32)^ROUNDDOWN(YEARFRAC(DQ$6,Assumptions!$F$38),0),0)</f>
        <v>-5910.5588678185495</v>
      </c>
      <c r="DR52" s="242">
        <f>-IF(DR$6&gt;=Assumptions!$F$38,Assumptions!$L24/12*(1+Assumptions!$K$32)^ROUNDDOWN(YEARFRAC(DR$6,Assumptions!$F$38),0),0)</f>
        <v>-5910.5588678185495</v>
      </c>
      <c r="DS52" s="242">
        <f>-IF(DS$6&gt;=Assumptions!$F$38,Assumptions!$L24/12*(1+Assumptions!$K$32)^ROUNDDOWN(YEARFRAC(DS$6,Assumptions!$F$38),0),0)</f>
        <v>-5910.5588678185495</v>
      </c>
      <c r="DT52" s="242">
        <f>-IF(DT$6&gt;=Assumptions!$F$38,Assumptions!$L24/12*(1+Assumptions!$K$32)^ROUNDDOWN(YEARFRAC(DT$6,Assumptions!$F$38),0),0)</f>
        <v>-5910.5588678185495</v>
      </c>
      <c r="DU52" s="242">
        <f>-IF(DU$6&gt;=Assumptions!$F$38,Assumptions!$L24/12*(1+Assumptions!$K$32)^ROUNDDOWN(YEARFRAC(DU$6,Assumptions!$F$38),0),0)</f>
        <v>-6087.8756338531066</v>
      </c>
      <c r="DV52" s="242">
        <f>-IF(DV$6&gt;=Assumptions!$F$38,Assumptions!$L24/12*(1+Assumptions!$K$32)^ROUNDDOWN(YEARFRAC(DV$6,Assumptions!$F$38),0),0)</f>
        <v>-6087.8756338531066</v>
      </c>
      <c r="DW52" s="242">
        <f>-IF(DW$6&gt;=Assumptions!$F$38,Assumptions!$L24/12*(1+Assumptions!$K$32)^ROUNDDOWN(YEARFRAC(DW$6,Assumptions!$F$38),0),0)</f>
        <v>-6087.8756338531066</v>
      </c>
      <c r="DX52" s="242">
        <f>-IF(DX$6&gt;=Assumptions!$F$38,Assumptions!$L24/12*(1+Assumptions!$K$32)^ROUNDDOWN(YEARFRAC(DX$6,Assumptions!$F$38),0),0)</f>
        <v>-6087.8756338531066</v>
      </c>
      <c r="DY52" s="242">
        <f>-IF(DY$6&gt;=Assumptions!$F$38,Assumptions!$L24/12*(1+Assumptions!$K$32)^ROUNDDOWN(YEARFRAC(DY$6,Assumptions!$F$38),0),0)</f>
        <v>-6087.8756338531066</v>
      </c>
      <c r="DZ52" s="242">
        <f>-IF(DZ$6&gt;=Assumptions!$F$38,Assumptions!$L24/12*(1+Assumptions!$K$32)^ROUNDDOWN(YEARFRAC(DZ$6,Assumptions!$F$38),0),0)</f>
        <v>-6087.8756338531066</v>
      </c>
      <c r="EA52" s="242">
        <f>-IF(EA$6&gt;=Assumptions!$F$38,Assumptions!$L24/12*(1+Assumptions!$K$32)^ROUNDDOWN(YEARFRAC(EA$6,Assumptions!$F$38),0),0)</f>
        <v>-6087.8756338531066</v>
      </c>
      <c r="EB52" s="242">
        <f>-IF(EB$6&gt;=Assumptions!$F$38,Assumptions!$L24/12*(1+Assumptions!$K$32)^ROUNDDOWN(YEARFRAC(EB$6,Assumptions!$F$38),0),0)</f>
        <v>-6087.8756338531066</v>
      </c>
      <c r="EC52" s="242">
        <f>-IF(EC$6&gt;=Assumptions!$F$38,Assumptions!$L24/12*(1+Assumptions!$K$32)^ROUNDDOWN(YEARFRAC(EC$6,Assumptions!$F$38),0),0)</f>
        <v>-6087.8756338531066</v>
      </c>
      <c r="ED52" s="242">
        <f>-IF(ED$6&gt;=Assumptions!$F$38,Assumptions!$L24/12*(1+Assumptions!$K$32)^ROUNDDOWN(YEARFRAC(ED$6,Assumptions!$F$38),0),0)</f>
        <v>-6087.8756338531066</v>
      </c>
      <c r="EE52" s="242">
        <f>-IF(EE$6&gt;=Assumptions!$F$38,Assumptions!$L24/12*(1+Assumptions!$K$32)^ROUNDDOWN(YEARFRAC(EE$6,Assumptions!$F$38),0),0)</f>
        <v>-6087.8756338531066</v>
      </c>
      <c r="EF52" s="242">
        <f>-IF(EF$6&gt;=Assumptions!$F$38,Assumptions!$L24/12*(1+Assumptions!$K$32)^ROUNDDOWN(YEARFRAC(EF$6,Assumptions!$F$38),0),0)</f>
        <v>-6087.8756338531066</v>
      </c>
      <c r="EG52" s="242">
        <f>-IF(EG$6&gt;=Assumptions!$F$38,Assumptions!$L24/12*(1+Assumptions!$K$32)^ROUNDDOWN(YEARFRAC(EG$6,Assumptions!$F$38),0),0)</f>
        <v>-6270.5119028686986</v>
      </c>
      <c r="EH52" s="242">
        <f>-IF(EH$6&gt;=Assumptions!$F$38,Assumptions!$L24/12*(1+Assumptions!$K$32)^ROUNDDOWN(YEARFRAC(EH$6,Assumptions!$F$38),0),0)</f>
        <v>-6270.5119028686986</v>
      </c>
      <c r="EI52" s="242">
        <f>-IF(EI$6&gt;=Assumptions!$F$38,Assumptions!$L24/12*(1+Assumptions!$K$32)^ROUNDDOWN(YEARFRAC(EI$6,Assumptions!$F$38),0),0)</f>
        <v>-6270.5119028686986</v>
      </c>
      <c r="EJ52" s="242">
        <f>-IF(EJ$6&gt;=Assumptions!$F$38,Assumptions!$L24/12*(1+Assumptions!$K$32)^ROUNDDOWN(YEARFRAC(EJ$6,Assumptions!$F$38),0),0)</f>
        <v>-6270.5119028686986</v>
      </c>
      <c r="EK52" s="242">
        <f>-IF(EK$6&gt;=Assumptions!$F$38,Assumptions!$L24/12*(1+Assumptions!$K$32)^ROUNDDOWN(YEARFRAC(EK$6,Assumptions!$F$38),0),0)</f>
        <v>-6270.5119028686986</v>
      </c>
      <c r="EL52" s="242">
        <f>-IF(EL$6&gt;=Assumptions!$F$38,Assumptions!$L24/12*(1+Assumptions!$K$32)^ROUNDDOWN(YEARFRAC(EL$6,Assumptions!$F$38),0),0)</f>
        <v>-6270.5119028686986</v>
      </c>
      <c r="EM52" s="242">
        <f>-IF(EM$6&gt;=Assumptions!$F$38,Assumptions!$L24/12*(1+Assumptions!$K$32)^ROUNDDOWN(YEARFRAC(EM$6,Assumptions!$F$38),0),0)</f>
        <v>-6270.5119028686986</v>
      </c>
      <c r="EN52" s="242">
        <f>-IF(EN$6&gt;=Assumptions!$F$38,Assumptions!$L24/12*(1+Assumptions!$K$32)^ROUNDDOWN(YEARFRAC(EN$6,Assumptions!$F$38),0),0)</f>
        <v>-6270.5119028686986</v>
      </c>
      <c r="EO52" s="242">
        <f>-IF(EO$6&gt;=Assumptions!$F$38,Assumptions!$L24/12*(1+Assumptions!$K$32)^ROUNDDOWN(YEARFRAC(EO$6,Assumptions!$F$38),0),0)</f>
        <v>-6270.5119028686986</v>
      </c>
      <c r="EP52" s="242">
        <f>-IF(EP$6&gt;=Assumptions!$F$38,Assumptions!$L24/12*(1+Assumptions!$K$32)^ROUNDDOWN(YEARFRAC(EP$6,Assumptions!$F$38),0),0)</f>
        <v>-6270.5119028686986</v>
      </c>
      <c r="EQ52" s="242">
        <f>-IF(EQ$6&gt;=Assumptions!$F$38,Assumptions!$L24/12*(1+Assumptions!$K$32)^ROUNDDOWN(YEARFRAC(EQ$6,Assumptions!$F$38),0),0)</f>
        <v>-6270.5119028686986</v>
      </c>
      <c r="ER52" s="242">
        <f>-IF(ER$6&gt;=Assumptions!$F$38,Assumptions!$L24/12*(1+Assumptions!$K$32)^ROUNDDOWN(YEARFRAC(ER$6,Assumptions!$F$38),0),0)</f>
        <v>-6270.5119028686986</v>
      </c>
      <c r="ES52" s="242">
        <f>-IF(ES$6&gt;=Assumptions!$F$38,Assumptions!$L24/12*(1+Assumptions!$K$32)^ROUNDDOWN(YEARFRAC(ES$6,Assumptions!$F$38),0),0)</f>
        <v>-6458.6272599547601</v>
      </c>
      <c r="ET52" s="242">
        <f>-IF(ET$6&gt;=Assumptions!$F$38,Assumptions!$L24/12*(1+Assumptions!$K$32)^ROUNDDOWN(YEARFRAC(ET$6,Assumptions!$F$38),0),0)</f>
        <v>-6458.6272599547601</v>
      </c>
    </row>
    <row r="53" spans="2:150" x14ac:dyDescent="0.2">
      <c r="B53" t="s">
        <v>72</v>
      </c>
      <c r="D53" s="242">
        <f t="shared" si="510"/>
        <v>-239698.72830626095</v>
      </c>
      <c r="F53" s="242">
        <f>-IF(F$6&gt;=Assumptions!$F$38,Assumptions!$L25/12*(1+Assumptions!$K$32)^ROUNDDOWN(YEARFRAC(F$6,Assumptions!$F$38),0),0)</f>
        <v>0</v>
      </c>
      <c r="G53" s="242">
        <f>-IF(G$6&gt;=Assumptions!$F$38,Assumptions!$L25/12*(1+Assumptions!$K$32)^ROUNDDOWN(YEARFRAC(G$6,Assumptions!$F$38),0),0)</f>
        <v>0</v>
      </c>
      <c r="H53" s="242">
        <f>-IF(H$6&gt;=Assumptions!$F$38,Assumptions!$L25/12*(1+Assumptions!$K$32)^ROUNDDOWN(YEARFRAC(H$6,Assumptions!$F$38),0),0)</f>
        <v>0</v>
      </c>
      <c r="I53" s="242">
        <f>-IF(I$6&gt;=Assumptions!$F$38,Assumptions!$L25/12*(1+Assumptions!$K$32)^ROUNDDOWN(YEARFRAC(I$6,Assumptions!$F$38),0),0)</f>
        <v>0</v>
      </c>
      <c r="J53" s="242">
        <f>-IF(J$6&gt;=Assumptions!$F$38,Assumptions!$L25/12*(1+Assumptions!$K$32)^ROUNDDOWN(YEARFRAC(J$6,Assumptions!$F$38),0),0)</f>
        <v>0</v>
      </c>
      <c r="K53" s="242">
        <f>-IF(K$6&gt;=Assumptions!$F$38,Assumptions!$L25/12*(1+Assumptions!$K$32)^ROUNDDOWN(YEARFRAC(K$6,Assumptions!$F$38),0),0)</f>
        <v>0</v>
      </c>
      <c r="L53" s="242">
        <f>-IF(L$6&gt;=Assumptions!$F$38,Assumptions!$L25/12*(1+Assumptions!$K$32)^ROUNDDOWN(YEARFRAC(L$6,Assumptions!$F$38),0),0)</f>
        <v>0</v>
      </c>
      <c r="M53" s="242">
        <f>-IF(M$6&gt;=Assumptions!$F$38,Assumptions!$L25/12*(1+Assumptions!$K$32)^ROUNDDOWN(YEARFRAC(M$6,Assumptions!$F$38),0),0)</f>
        <v>0</v>
      </c>
      <c r="N53" s="242">
        <f>-IF(N$6&gt;=Assumptions!$F$38,Assumptions!$L25/12*(1+Assumptions!$K$32)^ROUNDDOWN(YEARFRAC(N$6,Assumptions!$F$38),0),0)</f>
        <v>0</v>
      </c>
      <c r="O53" s="242">
        <f>-IF(O$6&gt;=Assumptions!$F$38,Assumptions!$L25/12*(1+Assumptions!$K$32)^ROUNDDOWN(YEARFRAC(O$6,Assumptions!$F$38),0),0)</f>
        <v>0</v>
      </c>
      <c r="P53" s="242">
        <f>-IF(P$6&gt;=Assumptions!$F$38,Assumptions!$L25/12*(1+Assumptions!$K$32)^ROUNDDOWN(YEARFRAC(P$6,Assumptions!$F$38),0),0)</f>
        <v>0</v>
      </c>
      <c r="Q53" s="242">
        <f>-IF(Q$6&gt;=Assumptions!$F$38,Assumptions!$L25/12*(1+Assumptions!$K$32)^ROUNDDOWN(YEARFRAC(Q$6,Assumptions!$F$38),0),0)</f>
        <v>0</v>
      </c>
      <c r="R53" s="242">
        <f>-IF(R$6&gt;=Assumptions!$F$38,Assumptions!$L25/12*(1+Assumptions!$K$32)^ROUNDDOWN(YEARFRAC(R$6,Assumptions!$F$38),0),0)</f>
        <v>0</v>
      </c>
      <c r="S53" s="242">
        <f>-IF(S$6&gt;=Assumptions!$F$38,Assumptions!$L25/12*(1+Assumptions!$K$32)^ROUNDDOWN(YEARFRAC(S$6,Assumptions!$F$38),0),0)</f>
        <v>0</v>
      </c>
      <c r="T53" s="242">
        <f>-IF(T$6&gt;=Assumptions!$F$38,Assumptions!$L25/12*(1+Assumptions!$K$32)^ROUNDDOWN(YEARFRAC(T$6,Assumptions!$F$38),0),0)</f>
        <v>0</v>
      </c>
      <c r="U53" s="242">
        <f>-IF(U$6&gt;=Assumptions!$F$38,Assumptions!$L25/12*(1+Assumptions!$K$32)^ROUNDDOWN(YEARFRAC(U$6,Assumptions!$F$38),0),0)</f>
        <v>0</v>
      </c>
      <c r="V53" s="242">
        <f>-IF(V$6&gt;=Assumptions!$F$38,Assumptions!$L25/12*(1+Assumptions!$K$32)^ROUNDDOWN(YEARFRAC(V$6,Assumptions!$F$38),0),0)</f>
        <v>0</v>
      </c>
      <c r="W53" s="242">
        <f>-IF(W$6&gt;=Assumptions!$F$38,Assumptions!$L25/12*(1+Assumptions!$K$32)^ROUNDDOWN(YEARFRAC(W$6,Assumptions!$F$38),0),0)</f>
        <v>0</v>
      </c>
      <c r="X53" s="242">
        <f>-IF(X$6&gt;=Assumptions!$F$38,Assumptions!$L25/12*(1+Assumptions!$K$32)^ROUNDDOWN(YEARFRAC(X$6,Assumptions!$F$38),0),0)</f>
        <v>0</v>
      </c>
      <c r="Y53" s="242">
        <f>-IF(Y$6&gt;=Assumptions!$F$38,Assumptions!$L25/12*(1+Assumptions!$K$32)^ROUNDDOWN(YEARFRAC(Y$6,Assumptions!$F$38),0),0)</f>
        <v>0</v>
      </c>
      <c r="Z53" s="242">
        <f>-IF(Z$6&gt;=Assumptions!$F$38,Assumptions!$L25/12*(1+Assumptions!$K$32)^ROUNDDOWN(YEARFRAC(Z$6,Assumptions!$F$38),0),0)</f>
        <v>0</v>
      </c>
      <c r="AA53" s="242">
        <f>-IF(AA$6&gt;=Assumptions!$F$38,Assumptions!$L25/12*(1+Assumptions!$K$32)^ROUNDDOWN(YEARFRAC(AA$6,Assumptions!$F$38),0),0)</f>
        <v>0</v>
      </c>
      <c r="AB53" s="242">
        <f>-IF(AB$6&gt;=Assumptions!$F$38,Assumptions!$L25/12*(1+Assumptions!$K$32)^ROUNDDOWN(YEARFRAC(AB$6,Assumptions!$F$38),0),0)</f>
        <v>0</v>
      </c>
      <c r="AC53" s="242">
        <f>-IF(AC$6&gt;=Assumptions!$F$38,Assumptions!$L25/12*(1+Assumptions!$K$32)^ROUNDDOWN(YEARFRAC(AC$6,Assumptions!$F$38),0),0)</f>
        <v>0</v>
      </c>
      <c r="AD53" s="242">
        <f>-IF(AD$6&gt;=Assumptions!$F$38,Assumptions!$L25/12*(1+Assumptions!$K$32)^ROUNDDOWN(YEARFRAC(AD$6,Assumptions!$F$38),0),0)</f>
        <v>0</v>
      </c>
      <c r="AE53" s="242">
        <f>-IF(AE$6&gt;=Assumptions!$F$38,Assumptions!$L25/12*(1+Assumptions!$K$32)^ROUNDDOWN(YEARFRAC(AE$6,Assumptions!$F$38),0),0)</f>
        <v>0</v>
      </c>
      <c r="AF53" s="242">
        <f>-IF(AF$6&gt;=Assumptions!$F$38,Assumptions!$L25/12*(1+Assumptions!$K$32)^ROUNDDOWN(YEARFRAC(AF$6,Assumptions!$F$38),0),0)</f>
        <v>0</v>
      </c>
      <c r="AG53" s="242">
        <f>-IF(AG$6&gt;=Assumptions!$F$38,Assumptions!$L25/12*(1+Assumptions!$K$32)^ROUNDDOWN(YEARFRAC(AG$6,Assumptions!$F$38),0),0)</f>
        <v>0</v>
      </c>
      <c r="AH53" s="242">
        <f>-IF(AH$6&gt;=Assumptions!$F$38,Assumptions!$L25/12*(1+Assumptions!$K$32)^ROUNDDOWN(YEARFRAC(AH$6,Assumptions!$F$38),0),0)</f>
        <v>0</v>
      </c>
      <c r="AI53" s="242">
        <f>-IF(AI$6&gt;=Assumptions!$F$38,Assumptions!$L25/12*(1+Assumptions!$K$32)^ROUNDDOWN(YEARFRAC(AI$6,Assumptions!$F$38),0),0)</f>
        <v>0</v>
      </c>
      <c r="AJ53" s="242">
        <f>-IF(AJ$6&gt;=Assumptions!$F$38,Assumptions!$L25/12*(1+Assumptions!$K$32)^ROUNDDOWN(YEARFRAC(AJ$6,Assumptions!$F$38),0),0)</f>
        <v>0</v>
      </c>
      <c r="AK53" s="242">
        <f>-IF(AK$6&gt;=Assumptions!$F$38,Assumptions!$L25/12*(1+Assumptions!$K$32)^ROUNDDOWN(YEARFRAC(AK$6,Assumptions!$F$38),0),0)</f>
        <v>0</v>
      </c>
      <c r="AL53" s="242">
        <f>-IF(AL$6&gt;=Assumptions!$F$38,Assumptions!$L25/12*(1+Assumptions!$K$32)^ROUNDDOWN(YEARFRAC(AL$6,Assumptions!$F$38),0),0)</f>
        <v>0</v>
      </c>
      <c r="AM53" s="242">
        <f>-IF(AM$6&gt;=Assumptions!$F$38,Assumptions!$L25/12*(1+Assumptions!$K$32)^ROUNDDOWN(YEARFRAC(AM$6,Assumptions!$F$38),0),0)</f>
        <v>0</v>
      </c>
      <c r="AN53" s="242">
        <f>-IF(AN$6&gt;=Assumptions!$F$38,Assumptions!$L25/12*(1+Assumptions!$K$32)^ROUNDDOWN(YEARFRAC(AN$6,Assumptions!$F$38),0),0)</f>
        <v>0</v>
      </c>
      <c r="AO53" s="242">
        <f>-IF(AO$6&gt;=Assumptions!$F$38,Assumptions!$L25/12*(1+Assumptions!$K$32)^ROUNDDOWN(YEARFRAC(AO$6,Assumptions!$F$38),0),0)</f>
        <v>-1925</v>
      </c>
      <c r="AP53" s="242">
        <f>-IF(AP$6&gt;=Assumptions!$F$38,Assumptions!$L25/12*(1+Assumptions!$K$32)^ROUNDDOWN(YEARFRAC(AP$6,Assumptions!$F$38),0),0)</f>
        <v>-1925</v>
      </c>
      <c r="AQ53" s="242">
        <f>-IF(AQ$6&gt;=Assumptions!$F$38,Assumptions!$L25/12*(1+Assumptions!$K$32)^ROUNDDOWN(YEARFRAC(AQ$6,Assumptions!$F$38),0),0)</f>
        <v>-1925</v>
      </c>
      <c r="AR53" s="242">
        <f>-IF(AR$6&gt;=Assumptions!$F$38,Assumptions!$L25/12*(1+Assumptions!$K$32)^ROUNDDOWN(YEARFRAC(AR$6,Assumptions!$F$38),0),0)</f>
        <v>-1925</v>
      </c>
      <c r="AS53" s="242">
        <f>-IF(AS$6&gt;=Assumptions!$F$38,Assumptions!$L25/12*(1+Assumptions!$K$32)^ROUNDDOWN(YEARFRAC(AS$6,Assumptions!$F$38),0),0)</f>
        <v>-1925</v>
      </c>
      <c r="AT53" s="242">
        <f>-IF(AT$6&gt;=Assumptions!$F$38,Assumptions!$L25/12*(1+Assumptions!$K$32)^ROUNDDOWN(YEARFRAC(AT$6,Assumptions!$F$38),0),0)</f>
        <v>-1925</v>
      </c>
      <c r="AU53" s="242">
        <f>-IF(AU$6&gt;=Assumptions!$F$38,Assumptions!$L25/12*(1+Assumptions!$K$32)^ROUNDDOWN(YEARFRAC(AU$6,Assumptions!$F$38),0),0)</f>
        <v>-1925</v>
      </c>
      <c r="AV53" s="242">
        <f>-IF(AV$6&gt;=Assumptions!$F$38,Assumptions!$L25/12*(1+Assumptions!$K$32)^ROUNDDOWN(YEARFRAC(AV$6,Assumptions!$F$38),0),0)</f>
        <v>-1925</v>
      </c>
      <c r="AW53" s="242">
        <f>-IF(AW$6&gt;=Assumptions!$F$38,Assumptions!$L25/12*(1+Assumptions!$K$32)^ROUNDDOWN(YEARFRAC(AW$6,Assumptions!$F$38),0),0)</f>
        <v>-1925</v>
      </c>
      <c r="AX53" s="242">
        <f>-IF(AX$6&gt;=Assumptions!$F$38,Assumptions!$L25/12*(1+Assumptions!$K$32)^ROUNDDOWN(YEARFRAC(AX$6,Assumptions!$F$38),0),0)</f>
        <v>-1925</v>
      </c>
      <c r="AY53" s="242">
        <f>-IF(AY$6&gt;=Assumptions!$F$38,Assumptions!$L25/12*(1+Assumptions!$K$32)^ROUNDDOWN(YEARFRAC(AY$6,Assumptions!$F$38),0),0)</f>
        <v>-1925</v>
      </c>
      <c r="AZ53" s="242">
        <f>-IF(AZ$6&gt;=Assumptions!$F$38,Assumptions!$L25/12*(1+Assumptions!$K$32)^ROUNDDOWN(YEARFRAC(AZ$6,Assumptions!$F$38),0),0)</f>
        <v>-1925</v>
      </c>
      <c r="BA53" s="242">
        <f>-IF(BA$6&gt;=Assumptions!$F$38,Assumptions!$L25/12*(1+Assumptions!$K$32)^ROUNDDOWN(YEARFRAC(BA$6,Assumptions!$F$38),0),0)</f>
        <v>-1982.75</v>
      </c>
      <c r="BB53" s="242">
        <f>-IF(BB$6&gt;=Assumptions!$F$38,Assumptions!$L25/12*(1+Assumptions!$K$32)^ROUNDDOWN(YEARFRAC(BB$6,Assumptions!$F$38),0),0)</f>
        <v>-1982.75</v>
      </c>
      <c r="BC53" s="242">
        <f>-IF(BC$6&gt;=Assumptions!$F$38,Assumptions!$L25/12*(1+Assumptions!$K$32)^ROUNDDOWN(YEARFRAC(BC$6,Assumptions!$F$38),0),0)</f>
        <v>-1982.75</v>
      </c>
      <c r="BD53" s="242">
        <f>-IF(BD$6&gt;=Assumptions!$F$38,Assumptions!$L25/12*(1+Assumptions!$K$32)^ROUNDDOWN(YEARFRAC(BD$6,Assumptions!$F$38),0),0)</f>
        <v>-1982.75</v>
      </c>
      <c r="BE53" s="242">
        <f>-IF(BE$6&gt;=Assumptions!$F$38,Assumptions!$L25/12*(1+Assumptions!$K$32)^ROUNDDOWN(YEARFRAC(BE$6,Assumptions!$F$38),0),0)</f>
        <v>-1982.75</v>
      </c>
      <c r="BF53" s="242">
        <f>-IF(BF$6&gt;=Assumptions!$F$38,Assumptions!$L25/12*(1+Assumptions!$K$32)^ROUNDDOWN(YEARFRAC(BF$6,Assumptions!$F$38),0),0)</f>
        <v>-1982.75</v>
      </c>
      <c r="BG53" s="242">
        <f>-IF(BG$6&gt;=Assumptions!$F$38,Assumptions!$L25/12*(1+Assumptions!$K$32)^ROUNDDOWN(YEARFRAC(BG$6,Assumptions!$F$38),0),0)</f>
        <v>-1982.75</v>
      </c>
      <c r="BH53" s="242">
        <f>-IF(BH$6&gt;=Assumptions!$F$38,Assumptions!$L25/12*(1+Assumptions!$K$32)^ROUNDDOWN(YEARFRAC(BH$6,Assumptions!$F$38),0),0)</f>
        <v>-1982.75</v>
      </c>
      <c r="BI53" s="242">
        <f>-IF(BI$6&gt;=Assumptions!$F$38,Assumptions!$L25/12*(1+Assumptions!$K$32)^ROUNDDOWN(YEARFRAC(BI$6,Assumptions!$F$38),0),0)</f>
        <v>-1982.75</v>
      </c>
      <c r="BJ53" s="242">
        <f>-IF(BJ$6&gt;=Assumptions!$F$38,Assumptions!$L25/12*(1+Assumptions!$K$32)^ROUNDDOWN(YEARFRAC(BJ$6,Assumptions!$F$38),0),0)</f>
        <v>-1982.75</v>
      </c>
      <c r="BK53" s="242">
        <f>-IF(BK$6&gt;=Assumptions!$F$38,Assumptions!$L25/12*(1+Assumptions!$K$32)^ROUNDDOWN(YEARFRAC(BK$6,Assumptions!$F$38),0),0)</f>
        <v>-1982.75</v>
      </c>
      <c r="BL53" s="242">
        <f>-IF(BL$6&gt;=Assumptions!$F$38,Assumptions!$L25/12*(1+Assumptions!$K$32)^ROUNDDOWN(YEARFRAC(BL$6,Assumptions!$F$38),0),0)</f>
        <v>-1982.75</v>
      </c>
      <c r="BM53" s="242">
        <f>-IF(BM$6&gt;=Assumptions!$F$38,Assumptions!$L25/12*(1+Assumptions!$K$32)^ROUNDDOWN(YEARFRAC(BM$6,Assumptions!$F$38),0),0)</f>
        <v>-2042.2324999999998</v>
      </c>
      <c r="BN53" s="242">
        <f>-IF(BN$6&gt;=Assumptions!$F$38,Assumptions!$L25/12*(1+Assumptions!$K$32)^ROUNDDOWN(YEARFRAC(BN$6,Assumptions!$F$38),0),0)</f>
        <v>-2042.2324999999998</v>
      </c>
      <c r="BO53" s="242">
        <f>-IF(BO$6&gt;=Assumptions!$F$38,Assumptions!$L25/12*(1+Assumptions!$K$32)^ROUNDDOWN(YEARFRAC(BO$6,Assumptions!$F$38),0),0)</f>
        <v>-2042.2324999999998</v>
      </c>
      <c r="BP53" s="242">
        <f>-IF(BP$6&gt;=Assumptions!$F$38,Assumptions!$L25/12*(1+Assumptions!$K$32)^ROUNDDOWN(YEARFRAC(BP$6,Assumptions!$F$38),0),0)</f>
        <v>-2042.2324999999998</v>
      </c>
      <c r="BQ53" s="242">
        <f>-IF(BQ$6&gt;=Assumptions!$F$38,Assumptions!$L25/12*(1+Assumptions!$K$32)^ROUNDDOWN(YEARFRAC(BQ$6,Assumptions!$F$38),0),0)</f>
        <v>-2042.2324999999998</v>
      </c>
      <c r="BR53" s="242">
        <f>-IF(BR$6&gt;=Assumptions!$F$38,Assumptions!$L25/12*(1+Assumptions!$K$32)^ROUNDDOWN(YEARFRAC(BR$6,Assumptions!$F$38),0),0)</f>
        <v>-2042.2324999999998</v>
      </c>
      <c r="BS53" s="242">
        <f>-IF(BS$6&gt;=Assumptions!$F$38,Assumptions!$L25/12*(1+Assumptions!$K$32)^ROUNDDOWN(YEARFRAC(BS$6,Assumptions!$F$38),0),0)</f>
        <v>-2042.2324999999998</v>
      </c>
      <c r="BT53" s="242">
        <f>-IF(BT$6&gt;=Assumptions!$F$38,Assumptions!$L25/12*(1+Assumptions!$K$32)^ROUNDDOWN(YEARFRAC(BT$6,Assumptions!$F$38),0),0)</f>
        <v>-2042.2324999999998</v>
      </c>
      <c r="BU53" s="242">
        <f>-IF(BU$6&gt;=Assumptions!$F$38,Assumptions!$L25/12*(1+Assumptions!$K$32)^ROUNDDOWN(YEARFRAC(BU$6,Assumptions!$F$38),0),0)</f>
        <v>-2042.2324999999998</v>
      </c>
      <c r="BV53" s="242">
        <f>-IF(BV$6&gt;=Assumptions!$F$38,Assumptions!$L25/12*(1+Assumptions!$K$32)^ROUNDDOWN(YEARFRAC(BV$6,Assumptions!$F$38),0),0)</f>
        <v>-2042.2324999999998</v>
      </c>
      <c r="BW53" s="242">
        <f>-IF(BW$6&gt;=Assumptions!$F$38,Assumptions!$L25/12*(1+Assumptions!$K$32)^ROUNDDOWN(YEARFRAC(BW$6,Assumptions!$F$38),0),0)</f>
        <v>-2042.2324999999998</v>
      </c>
      <c r="BX53" s="242">
        <f>-IF(BX$6&gt;=Assumptions!$F$38,Assumptions!$L25/12*(1+Assumptions!$K$32)^ROUNDDOWN(YEARFRAC(BX$6,Assumptions!$F$38),0),0)</f>
        <v>-2042.2324999999998</v>
      </c>
      <c r="BY53" s="242">
        <f>-IF(BY$6&gt;=Assumptions!$F$38,Assumptions!$L25/12*(1+Assumptions!$K$32)^ROUNDDOWN(YEARFRAC(BY$6,Assumptions!$F$38),0),0)</f>
        <v>-2103.4994750000001</v>
      </c>
      <c r="BZ53" s="242">
        <f>-IF(BZ$6&gt;=Assumptions!$F$38,Assumptions!$L25/12*(1+Assumptions!$K$32)^ROUNDDOWN(YEARFRAC(BZ$6,Assumptions!$F$38),0),0)</f>
        <v>-2103.4994750000001</v>
      </c>
      <c r="CA53" s="242">
        <f>-IF(CA$6&gt;=Assumptions!$F$38,Assumptions!$L25/12*(1+Assumptions!$K$32)^ROUNDDOWN(YEARFRAC(CA$6,Assumptions!$F$38),0),0)</f>
        <v>-2103.4994750000001</v>
      </c>
      <c r="CB53" s="242">
        <f>-IF(CB$6&gt;=Assumptions!$F$38,Assumptions!$L25/12*(1+Assumptions!$K$32)^ROUNDDOWN(YEARFRAC(CB$6,Assumptions!$F$38),0),0)</f>
        <v>-2103.4994750000001</v>
      </c>
      <c r="CC53" s="242">
        <f>-IF(CC$6&gt;=Assumptions!$F$38,Assumptions!$L25/12*(1+Assumptions!$K$32)^ROUNDDOWN(YEARFRAC(CC$6,Assumptions!$F$38),0),0)</f>
        <v>-2103.4994750000001</v>
      </c>
      <c r="CD53" s="242">
        <f>-IF(CD$6&gt;=Assumptions!$F$38,Assumptions!$L25/12*(1+Assumptions!$K$32)^ROUNDDOWN(YEARFRAC(CD$6,Assumptions!$F$38),0),0)</f>
        <v>-2103.4994750000001</v>
      </c>
      <c r="CE53" s="242">
        <f>-IF(CE$6&gt;=Assumptions!$F$38,Assumptions!$L25/12*(1+Assumptions!$K$32)^ROUNDDOWN(YEARFRAC(CE$6,Assumptions!$F$38),0),0)</f>
        <v>-2103.4994750000001</v>
      </c>
      <c r="CF53" s="242">
        <f>-IF(CF$6&gt;=Assumptions!$F$38,Assumptions!$L25/12*(1+Assumptions!$K$32)^ROUNDDOWN(YEARFRAC(CF$6,Assumptions!$F$38),0),0)</f>
        <v>-2103.4994750000001</v>
      </c>
      <c r="CG53" s="242">
        <f>-IF(CG$6&gt;=Assumptions!$F$38,Assumptions!$L25/12*(1+Assumptions!$K$32)^ROUNDDOWN(YEARFRAC(CG$6,Assumptions!$F$38),0),0)</f>
        <v>-2103.4994750000001</v>
      </c>
      <c r="CH53" s="242">
        <f>-IF(CH$6&gt;=Assumptions!$F$38,Assumptions!$L25/12*(1+Assumptions!$K$32)^ROUNDDOWN(YEARFRAC(CH$6,Assumptions!$F$38),0),0)</f>
        <v>-2103.4994750000001</v>
      </c>
      <c r="CI53" s="242">
        <f>-IF(CI$6&gt;=Assumptions!$F$38,Assumptions!$L25/12*(1+Assumptions!$K$32)^ROUNDDOWN(YEARFRAC(CI$6,Assumptions!$F$38),0),0)</f>
        <v>-2103.4994750000001</v>
      </c>
      <c r="CJ53" s="242">
        <f>-IF(CJ$6&gt;=Assumptions!$F$38,Assumptions!$L25/12*(1+Assumptions!$K$32)^ROUNDDOWN(YEARFRAC(CJ$6,Assumptions!$F$38),0),0)</f>
        <v>-2103.4994750000001</v>
      </c>
      <c r="CK53" s="242">
        <f>-IF(CK$6&gt;=Assumptions!$F$38,Assumptions!$L25/12*(1+Assumptions!$K$32)^ROUNDDOWN(YEARFRAC(CK$6,Assumptions!$F$38),0),0)</f>
        <v>-2166.6044592499998</v>
      </c>
      <c r="CL53" s="242">
        <f>-IF(CL$6&gt;=Assumptions!$F$38,Assumptions!$L25/12*(1+Assumptions!$K$32)^ROUNDDOWN(YEARFRAC(CL$6,Assumptions!$F$38),0),0)</f>
        <v>-2166.6044592499998</v>
      </c>
      <c r="CM53" s="242">
        <f>-IF(CM$6&gt;=Assumptions!$F$38,Assumptions!$L25/12*(1+Assumptions!$K$32)^ROUNDDOWN(YEARFRAC(CM$6,Assumptions!$F$38),0),0)</f>
        <v>-2166.6044592499998</v>
      </c>
      <c r="CN53" s="242">
        <f>-IF(CN$6&gt;=Assumptions!$F$38,Assumptions!$L25/12*(1+Assumptions!$K$32)^ROUNDDOWN(YEARFRAC(CN$6,Assumptions!$F$38),0),0)</f>
        <v>-2166.6044592499998</v>
      </c>
      <c r="CO53" s="242">
        <f>-IF(CO$6&gt;=Assumptions!$F$38,Assumptions!$L25/12*(1+Assumptions!$K$32)^ROUNDDOWN(YEARFRAC(CO$6,Assumptions!$F$38),0),0)</f>
        <v>-2166.6044592499998</v>
      </c>
      <c r="CP53" s="242">
        <f>-IF(CP$6&gt;=Assumptions!$F$38,Assumptions!$L25/12*(1+Assumptions!$K$32)^ROUNDDOWN(YEARFRAC(CP$6,Assumptions!$F$38),0),0)</f>
        <v>-2166.6044592499998</v>
      </c>
      <c r="CQ53" s="242">
        <f>-IF(CQ$6&gt;=Assumptions!$F$38,Assumptions!$L25/12*(1+Assumptions!$K$32)^ROUNDDOWN(YEARFRAC(CQ$6,Assumptions!$F$38),0),0)</f>
        <v>-2166.6044592499998</v>
      </c>
      <c r="CR53" s="242">
        <f>-IF(CR$6&gt;=Assumptions!$F$38,Assumptions!$L25/12*(1+Assumptions!$K$32)^ROUNDDOWN(YEARFRAC(CR$6,Assumptions!$F$38),0),0)</f>
        <v>-2166.6044592499998</v>
      </c>
      <c r="CS53" s="242">
        <f>-IF(CS$6&gt;=Assumptions!$F$38,Assumptions!$L25/12*(1+Assumptions!$K$32)^ROUNDDOWN(YEARFRAC(CS$6,Assumptions!$F$38),0),0)</f>
        <v>-2166.6044592499998</v>
      </c>
      <c r="CT53" s="242">
        <f>-IF(CT$6&gt;=Assumptions!$F$38,Assumptions!$L25/12*(1+Assumptions!$K$32)^ROUNDDOWN(YEARFRAC(CT$6,Assumptions!$F$38),0),0)</f>
        <v>-2166.6044592499998</v>
      </c>
      <c r="CU53" s="242">
        <f>-IF(CU$6&gt;=Assumptions!$F$38,Assumptions!$L25/12*(1+Assumptions!$K$32)^ROUNDDOWN(YEARFRAC(CU$6,Assumptions!$F$38),0),0)</f>
        <v>-2166.6044592499998</v>
      </c>
      <c r="CV53" s="242">
        <f>-IF(CV$6&gt;=Assumptions!$F$38,Assumptions!$L25/12*(1+Assumptions!$K$32)^ROUNDDOWN(YEARFRAC(CV$6,Assumptions!$F$38),0),0)</f>
        <v>-2166.6044592499998</v>
      </c>
      <c r="CW53" s="242">
        <f>-IF(CW$6&gt;=Assumptions!$F$38,Assumptions!$L25/12*(1+Assumptions!$K$32)^ROUNDDOWN(YEARFRAC(CW$6,Assumptions!$F$38),0),0)</f>
        <v>-2231.6025930274996</v>
      </c>
      <c r="CX53" s="242">
        <f>-IF(CX$6&gt;=Assumptions!$F$38,Assumptions!$L25/12*(1+Assumptions!$K$32)^ROUNDDOWN(YEARFRAC(CX$6,Assumptions!$F$38),0),0)</f>
        <v>-2231.6025930274996</v>
      </c>
      <c r="CY53" s="242">
        <f>-IF(CY$6&gt;=Assumptions!$F$38,Assumptions!$L25/12*(1+Assumptions!$K$32)^ROUNDDOWN(YEARFRAC(CY$6,Assumptions!$F$38),0),0)</f>
        <v>-2231.6025930274996</v>
      </c>
      <c r="CZ53" s="242">
        <f>-IF(CZ$6&gt;=Assumptions!$F$38,Assumptions!$L25/12*(1+Assumptions!$K$32)^ROUNDDOWN(YEARFRAC(CZ$6,Assumptions!$F$38),0),0)</f>
        <v>-2231.6025930274996</v>
      </c>
      <c r="DA53" s="242">
        <f>-IF(DA$6&gt;=Assumptions!$F$38,Assumptions!$L25/12*(1+Assumptions!$K$32)^ROUNDDOWN(YEARFRAC(DA$6,Assumptions!$F$38),0),0)</f>
        <v>-2231.6025930274996</v>
      </c>
      <c r="DB53" s="242">
        <f>-IF(DB$6&gt;=Assumptions!$F$38,Assumptions!$L25/12*(1+Assumptions!$K$32)^ROUNDDOWN(YEARFRAC(DB$6,Assumptions!$F$38),0),0)</f>
        <v>-2231.6025930274996</v>
      </c>
      <c r="DC53" s="242">
        <f>-IF(DC$6&gt;=Assumptions!$F$38,Assumptions!$L25/12*(1+Assumptions!$K$32)^ROUNDDOWN(YEARFRAC(DC$6,Assumptions!$F$38),0),0)</f>
        <v>-2231.6025930274996</v>
      </c>
      <c r="DD53" s="242">
        <f>-IF(DD$6&gt;=Assumptions!$F$38,Assumptions!$L25/12*(1+Assumptions!$K$32)^ROUNDDOWN(YEARFRAC(DD$6,Assumptions!$F$38),0),0)</f>
        <v>-2231.6025930274996</v>
      </c>
      <c r="DE53" s="242">
        <f>-IF(DE$6&gt;=Assumptions!$F$38,Assumptions!$L25/12*(1+Assumptions!$K$32)^ROUNDDOWN(YEARFRAC(DE$6,Assumptions!$F$38),0),0)</f>
        <v>-2231.6025930274996</v>
      </c>
      <c r="DF53" s="242">
        <f>-IF(DF$6&gt;=Assumptions!$F$38,Assumptions!$L25/12*(1+Assumptions!$K$32)^ROUNDDOWN(YEARFRAC(DF$6,Assumptions!$F$38),0),0)</f>
        <v>-2231.6025930274996</v>
      </c>
      <c r="DG53" s="242">
        <f>-IF(DG$6&gt;=Assumptions!$F$38,Assumptions!$L25/12*(1+Assumptions!$K$32)^ROUNDDOWN(YEARFRAC(DG$6,Assumptions!$F$38),0),0)</f>
        <v>-2231.6025930274996</v>
      </c>
      <c r="DH53" s="242">
        <f>-IF(DH$6&gt;=Assumptions!$F$38,Assumptions!$L25/12*(1+Assumptions!$K$32)^ROUNDDOWN(YEARFRAC(DH$6,Assumptions!$F$38),0),0)</f>
        <v>-2231.6025930274996</v>
      </c>
      <c r="DI53" s="242">
        <f>-IF(DI$6&gt;=Assumptions!$F$38,Assumptions!$L25/12*(1+Assumptions!$K$32)^ROUNDDOWN(YEARFRAC(DI$6,Assumptions!$F$38),0),0)</f>
        <v>-2298.5506708183248</v>
      </c>
      <c r="DJ53" s="242">
        <f>-IF(DJ$6&gt;=Assumptions!$F$38,Assumptions!$L25/12*(1+Assumptions!$K$32)^ROUNDDOWN(YEARFRAC(DJ$6,Assumptions!$F$38),0),0)</f>
        <v>-2298.5506708183248</v>
      </c>
      <c r="DK53" s="242">
        <f>-IF(DK$6&gt;=Assumptions!$F$38,Assumptions!$L25/12*(1+Assumptions!$K$32)^ROUNDDOWN(YEARFRAC(DK$6,Assumptions!$F$38),0),0)</f>
        <v>-2298.5506708183248</v>
      </c>
      <c r="DL53" s="242">
        <f>-IF(DL$6&gt;=Assumptions!$F$38,Assumptions!$L25/12*(1+Assumptions!$K$32)^ROUNDDOWN(YEARFRAC(DL$6,Assumptions!$F$38),0),0)</f>
        <v>-2298.5506708183248</v>
      </c>
      <c r="DM53" s="242">
        <f>-IF(DM$6&gt;=Assumptions!$F$38,Assumptions!$L25/12*(1+Assumptions!$K$32)^ROUNDDOWN(YEARFRAC(DM$6,Assumptions!$F$38),0),0)</f>
        <v>-2298.5506708183248</v>
      </c>
      <c r="DN53" s="242">
        <f>-IF(DN$6&gt;=Assumptions!$F$38,Assumptions!$L25/12*(1+Assumptions!$K$32)^ROUNDDOWN(YEARFRAC(DN$6,Assumptions!$F$38),0),0)</f>
        <v>-2298.5506708183248</v>
      </c>
      <c r="DO53" s="242">
        <f>-IF(DO$6&gt;=Assumptions!$F$38,Assumptions!$L25/12*(1+Assumptions!$K$32)^ROUNDDOWN(YEARFRAC(DO$6,Assumptions!$F$38),0),0)</f>
        <v>-2298.5506708183248</v>
      </c>
      <c r="DP53" s="242">
        <f>-IF(DP$6&gt;=Assumptions!$F$38,Assumptions!$L25/12*(1+Assumptions!$K$32)^ROUNDDOWN(YEARFRAC(DP$6,Assumptions!$F$38),0),0)</f>
        <v>-2298.5506708183248</v>
      </c>
      <c r="DQ53" s="242">
        <f>-IF(DQ$6&gt;=Assumptions!$F$38,Assumptions!$L25/12*(1+Assumptions!$K$32)^ROUNDDOWN(YEARFRAC(DQ$6,Assumptions!$F$38),0),0)</f>
        <v>-2298.5506708183248</v>
      </c>
      <c r="DR53" s="242">
        <f>-IF(DR$6&gt;=Assumptions!$F$38,Assumptions!$L25/12*(1+Assumptions!$K$32)^ROUNDDOWN(YEARFRAC(DR$6,Assumptions!$F$38),0),0)</f>
        <v>-2298.5506708183248</v>
      </c>
      <c r="DS53" s="242">
        <f>-IF(DS$6&gt;=Assumptions!$F$38,Assumptions!$L25/12*(1+Assumptions!$K$32)^ROUNDDOWN(YEARFRAC(DS$6,Assumptions!$F$38),0),0)</f>
        <v>-2298.5506708183248</v>
      </c>
      <c r="DT53" s="242">
        <f>-IF(DT$6&gt;=Assumptions!$F$38,Assumptions!$L25/12*(1+Assumptions!$K$32)^ROUNDDOWN(YEARFRAC(DT$6,Assumptions!$F$38),0),0)</f>
        <v>-2298.5506708183248</v>
      </c>
      <c r="DU53" s="242">
        <f>-IF(DU$6&gt;=Assumptions!$F$38,Assumptions!$L25/12*(1+Assumptions!$K$32)^ROUNDDOWN(YEARFRAC(DU$6,Assumptions!$F$38),0),0)</f>
        <v>-2367.5071909428748</v>
      </c>
      <c r="DV53" s="242">
        <f>-IF(DV$6&gt;=Assumptions!$F$38,Assumptions!$L25/12*(1+Assumptions!$K$32)^ROUNDDOWN(YEARFRAC(DV$6,Assumptions!$F$38),0),0)</f>
        <v>-2367.5071909428748</v>
      </c>
      <c r="DW53" s="242">
        <f>-IF(DW$6&gt;=Assumptions!$F$38,Assumptions!$L25/12*(1+Assumptions!$K$32)^ROUNDDOWN(YEARFRAC(DW$6,Assumptions!$F$38),0),0)</f>
        <v>-2367.5071909428748</v>
      </c>
      <c r="DX53" s="242">
        <f>-IF(DX$6&gt;=Assumptions!$F$38,Assumptions!$L25/12*(1+Assumptions!$K$32)^ROUNDDOWN(YEARFRAC(DX$6,Assumptions!$F$38),0),0)</f>
        <v>-2367.5071909428748</v>
      </c>
      <c r="DY53" s="242">
        <f>-IF(DY$6&gt;=Assumptions!$F$38,Assumptions!$L25/12*(1+Assumptions!$K$32)^ROUNDDOWN(YEARFRAC(DY$6,Assumptions!$F$38),0),0)</f>
        <v>-2367.5071909428748</v>
      </c>
      <c r="DZ53" s="242">
        <f>-IF(DZ$6&gt;=Assumptions!$F$38,Assumptions!$L25/12*(1+Assumptions!$K$32)^ROUNDDOWN(YEARFRAC(DZ$6,Assumptions!$F$38),0),0)</f>
        <v>-2367.5071909428748</v>
      </c>
      <c r="EA53" s="242">
        <f>-IF(EA$6&gt;=Assumptions!$F$38,Assumptions!$L25/12*(1+Assumptions!$K$32)^ROUNDDOWN(YEARFRAC(EA$6,Assumptions!$F$38),0),0)</f>
        <v>-2367.5071909428748</v>
      </c>
      <c r="EB53" s="242">
        <f>-IF(EB$6&gt;=Assumptions!$F$38,Assumptions!$L25/12*(1+Assumptions!$K$32)^ROUNDDOWN(YEARFRAC(EB$6,Assumptions!$F$38),0),0)</f>
        <v>-2367.5071909428748</v>
      </c>
      <c r="EC53" s="242">
        <f>-IF(EC$6&gt;=Assumptions!$F$38,Assumptions!$L25/12*(1+Assumptions!$K$32)^ROUNDDOWN(YEARFRAC(EC$6,Assumptions!$F$38),0),0)</f>
        <v>-2367.5071909428748</v>
      </c>
      <c r="ED53" s="242">
        <f>-IF(ED$6&gt;=Assumptions!$F$38,Assumptions!$L25/12*(1+Assumptions!$K$32)^ROUNDDOWN(YEARFRAC(ED$6,Assumptions!$F$38),0),0)</f>
        <v>-2367.5071909428748</v>
      </c>
      <c r="EE53" s="242">
        <f>-IF(EE$6&gt;=Assumptions!$F$38,Assumptions!$L25/12*(1+Assumptions!$K$32)^ROUNDDOWN(YEARFRAC(EE$6,Assumptions!$F$38),0),0)</f>
        <v>-2367.5071909428748</v>
      </c>
      <c r="EF53" s="242">
        <f>-IF(EF$6&gt;=Assumptions!$F$38,Assumptions!$L25/12*(1+Assumptions!$K$32)^ROUNDDOWN(YEARFRAC(EF$6,Assumptions!$F$38),0),0)</f>
        <v>-2367.5071909428748</v>
      </c>
      <c r="EG53" s="242">
        <f>-IF(EG$6&gt;=Assumptions!$F$38,Assumptions!$L25/12*(1+Assumptions!$K$32)^ROUNDDOWN(YEARFRAC(EG$6,Assumptions!$F$38),0),0)</f>
        <v>-2438.5324066711605</v>
      </c>
      <c r="EH53" s="242">
        <f>-IF(EH$6&gt;=Assumptions!$F$38,Assumptions!$L25/12*(1+Assumptions!$K$32)^ROUNDDOWN(YEARFRAC(EH$6,Assumptions!$F$38),0),0)</f>
        <v>-2438.5324066711605</v>
      </c>
      <c r="EI53" s="242">
        <f>-IF(EI$6&gt;=Assumptions!$F$38,Assumptions!$L25/12*(1+Assumptions!$K$32)^ROUNDDOWN(YEARFRAC(EI$6,Assumptions!$F$38),0),0)</f>
        <v>-2438.5324066711605</v>
      </c>
      <c r="EJ53" s="242">
        <f>-IF(EJ$6&gt;=Assumptions!$F$38,Assumptions!$L25/12*(1+Assumptions!$K$32)^ROUNDDOWN(YEARFRAC(EJ$6,Assumptions!$F$38),0),0)</f>
        <v>-2438.5324066711605</v>
      </c>
      <c r="EK53" s="242">
        <f>-IF(EK$6&gt;=Assumptions!$F$38,Assumptions!$L25/12*(1+Assumptions!$K$32)^ROUNDDOWN(YEARFRAC(EK$6,Assumptions!$F$38),0),0)</f>
        <v>-2438.5324066711605</v>
      </c>
      <c r="EL53" s="242">
        <f>-IF(EL$6&gt;=Assumptions!$F$38,Assumptions!$L25/12*(1+Assumptions!$K$32)^ROUNDDOWN(YEARFRAC(EL$6,Assumptions!$F$38),0),0)</f>
        <v>-2438.5324066711605</v>
      </c>
      <c r="EM53" s="242">
        <f>-IF(EM$6&gt;=Assumptions!$F$38,Assumptions!$L25/12*(1+Assumptions!$K$32)^ROUNDDOWN(YEARFRAC(EM$6,Assumptions!$F$38),0),0)</f>
        <v>-2438.5324066711605</v>
      </c>
      <c r="EN53" s="242">
        <f>-IF(EN$6&gt;=Assumptions!$F$38,Assumptions!$L25/12*(1+Assumptions!$K$32)^ROUNDDOWN(YEARFRAC(EN$6,Assumptions!$F$38),0),0)</f>
        <v>-2438.5324066711605</v>
      </c>
      <c r="EO53" s="242">
        <f>-IF(EO$6&gt;=Assumptions!$F$38,Assumptions!$L25/12*(1+Assumptions!$K$32)^ROUNDDOWN(YEARFRAC(EO$6,Assumptions!$F$38),0),0)</f>
        <v>-2438.5324066711605</v>
      </c>
      <c r="EP53" s="242">
        <f>-IF(EP$6&gt;=Assumptions!$F$38,Assumptions!$L25/12*(1+Assumptions!$K$32)^ROUNDDOWN(YEARFRAC(EP$6,Assumptions!$F$38),0),0)</f>
        <v>-2438.5324066711605</v>
      </c>
      <c r="EQ53" s="242">
        <f>-IF(EQ$6&gt;=Assumptions!$F$38,Assumptions!$L25/12*(1+Assumptions!$K$32)^ROUNDDOWN(YEARFRAC(EQ$6,Assumptions!$F$38),0),0)</f>
        <v>-2438.5324066711605</v>
      </c>
      <c r="ER53" s="242">
        <f>-IF(ER$6&gt;=Assumptions!$F$38,Assumptions!$L25/12*(1+Assumptions!$K$32)^ROUNDDOWN(YEARFRAC(ER$6,Assumptions!$F$38),0),0)</f>
        <v>-2438.5324066711605</v>
      </c>
      <c r="ES53" s="242">
        <f>-IF(ES$6&gt;=Assumptions!$F$38,Assumptions!$L25/12*(1+Assumptions!$K$32)^ROUNDDOWN(YEARFRAC(ES$6,Assumptions!$F$38),0),0)</f>
        <v>-2511.6883788712958</v>
      </c>
      <c r="ET53" s="242">
        <f>-IF(ET$6&gt;=Assumptions!$F$38,Assumptions!$L25/12*(1+Assumptions!$K$32)^ROUNDDOWN(YEARFRAC(ET$6,Assumptions!$F$38),0),0)</f>
        <v>-2511.6883788712958</v>
      </c>
    </row>
    <row r="54" spans="2:150" x14ac:dyDescent="0.2">
      <c r="B54" t="s">
        <v>73</v>
      </c>
      <c r="D54" s="242">
        <f t="shared" si="510"/>
        <v>-239698.72830626095</v>
      </c>
      <c r="F54" s="242">
        <f>-IF(F$6&gt;=Assumptions!$F$38,Assumptions!$L26/12*(1+Assumptions!$K$32)^ROUNDDOWN(YEARFRAC(F$6,Assumptions!$F$38),0),0)</f>
        <v>0</v>
      </c>
      <c r="G54" s="242">
        <f>-IF(G$6&gt;=Assumptions!$F$38,Assumptions!$L26/12*(1+Assumptions!$K$32)^ROUNDDOWN(YEARFRAC(G$6,Assumptions!$F$38),0),0)</f>
        <v>0</v>
      </c>
      <c r="H54" s="242">
        <f>-IF(H$6&gt;=Assumptions!$F$38,Assumptions!$L26/12*(1+Assumptions!$K$32)^ROUNDDOWN(YEARFRAC(H$6,Assumptions!$F$38),0),0)</f>
        <v>0</v>
      </c>
      <c r="I54" s="242">
        <f>-IF(I$6&gt;=Assumptions!$F$38,Assumptions!$L26/12*(1+Assumptions!$K$32)^ROUNDDOWN(YEARFRAC(I$6,Assumptions!$F$38),0),0)</f>
        <v>0</v>
      </c>
      <c r="J54" s="242">
        <f>-IF(J$6&gt;=Assumptions!$F$38,Assumptions!$L26/12*(1+Assumptions!$K$32)^ROUNDDOWN(YEARFRAC(J$6,Assumptions!$F$38),0),0)</f>
        <v>0</v>
      </c>
      <c r="K54" s="242">
        <f>-IF(K$6&gt;=Assumptions!$F$38,Assumptions!$L26/12*(1+Assumptions!$K$32)^ROUNDDOWN(YEARFRAC(K$6,Assumptions!$F$38),0),0)</f>
        <v>0</v>
      </c>
      <c r="L54" s="242">
        <f>-IF(L$6&gt;=Assumptions!$F$38,Assumptions!$L26/12*(1+Assumptions!$K$32)^ROUNDDOWN(YEARFRAC(L$6,Assumptions!$F$38),0),0)</f>
        <v>0</v>
      </c>
      <c r="M54" s="242">
        <f>-IF(M$6&gt;=Assumptions!$F$38,Assumptions!$L26/12*(1+Assumptions!$K$32)^ROUNDDOWN(YEARFRAC(M$6,Assumptions!$F$38),0),0)</f>
        <v>0</v>
      </c>
      <c r="N54" s="242">
        <f>-IF(N$6&gt;=Assumptions!$F$38,Assumptions!$L26/12*(1+Assumptions!$K$32)^ROUNDDOWN(YEARFRAC(N$6,Assumptions!$F$38),0),0)</f>
        <v>0</v>
      </c>
      <c r="O54" s="242">
        <f>-IF(O$6&gt;=Assumptions!$F$38,Assumptions!$L26/12*(1+Assumptions!$K$32)^ROUNDDOWN(YEARFRAC(O$6,Assumptions!$F$38),0),0)</f>
        <v>0</v>
      </c>
      <c r="P54" s="242">
        <f>-IF(P$6&gt;=Assumptions!$F$38,Assumptions!$L26/12*(1+Assumptions!$K$32)^ROUNDDOWN(YEARFRAC(P$6,Assumptions!$F$38),0),0)</f>
        <v>0</v>
      </c>
      <c r="Q54" s="242">
        <f>-IF(Q$6&gt;=Assumptions!$F$38,Assumptions!$L26/12*(1+Assumptions!$K$32)^ROUNDDOWN(YEARFRAC(Q$6,Assumptions!$F$38),0),0)</f>
        <v>0</v>
      </c>
      <c r="R54" s="242">
        <f>-IF(R$6&gt;=Assumptions!$F$38,Assumptions!$L26/12*(1+Assumptions!$K$32)^ROUNDDOWN(YEARFRAC(R$6,Assumptions!$F$38),0),0)</f>
        <v>0</v>
      </c>
      <c r="S54" s="242">
        <f>-IF(S$6&gt;=Assumptions!$F$38,Assumptions!$L26/12*(1+Assumptions!$K$32)^ROUNDDOWN(YEARFRAC(S$6,Assumptions!$F$38),0),0)</f>
        <v>0</v>
      </c>
      <c r="T54" s="242">
        <f>-IF(T$6&gt;=Assumptions!$F$38,Assumptions!$L26/12*(1+Assumptions!$K$32)^ROUNDDOWN(YEARFRAC(T$6,Assumptions!$F$38),0),0)</f>
        <v>0</v>
      </c>
      <c r="U54" s="242">
        <f>-IF(U$6&gt;=Assumptions!$F$38,Assumptions!$L26/12*(1+Assumptions!$K$32)^ROUNDDOWN(YEARFRAC(U$6,Assumptions!$F$38),0),0)</f>
        <v>0</v>
      </c>
      <c r="V54" s="242">
        <f>-IF(V$6&gt;=Assumptions!$F$38,Assumptions!$L26/12*(1+Assumptions!$K$32)^ROUNDDOWN(YEARFRAC(V$6,Assumptions!$F$38),0),0)</f>
        <v>0</v>
      </c>
      <c r="W54" s="242">
        <f>-IF(W$6&gt;=Assumptions!$F$38,Assumptions!$L26/12*(1+Assumptions!$K$32)^ROUNDDOWN(YEARFRAC(W$6,Assumptions!$F$38),0),0)</f>
        <v>0</v>
      </c>
      <c r="X54" s="242">
        <f>-IF(X$6&gt;=Assumptions!$F$38,Assumptions!$L26/12*(1+Assumptions!$K$32)^ROUNDDOWN(YEARFRAC(X$6,Assumptions!$F$38),0),0)</f>
        <v>0</v>
      </c>
      <c r="Y54" s="242">
        <f>-IF(Y$6&gt;=Assumptions!$F$38,Assumptions!$L26/12*(1+Assumptions!$K$32)^ROUNDDOWN(YEARFRAC(Y$6,Assumptions!$F$38),0),0)</f>
        <v>0</v>
      </c>
      <c r="Z54" s="242">
        <f>-IF(Z$6&gt;=Assumptions!$F$38,Assumptions!$L26/12*(1+Assumptions!$K$32)^ROUNDDOWN(YEARFRAC(Z$6,Assumptions!$F$38),0),0)</f>
        <v>0</v>
      </c>
      <c r="AA54" s="242">
        <f>-IF(AA$6&gt;=Assumptions!$F$38,Assumptions!$L26/12*(1+Assumptions!$K$32)^ROUNDDOWN(YEARFRAC(AA$6,Assumptions!$F$38),0),0)</f>
        <v>0</v>
      </c>
      <c r="AB54" s="242">
        <f>-IF(AB$6&gt;=Assumptions!$F$38,Assumptions!$L26/12*(1+Assumptions!$K$32)^ROUNDDOWN(YEARFRAC(AB$6,Assumptions!$F$38),0),0)</f>
        <v>0</v>
      </c>
      <c r="AC54" s="242">
        <f>-IF(AC$6&gt;=Assumptions!$F$38,Assumptions!$L26/12*(1+Assumptions!$K$32)^ROUNDDOWN(YEARFRAC(AC$6,Assumptions!$F$38),0),0)</f>
        <v>0</v>
      </c>
      <c r="AD54" s="242">
        <f>-IF(AD$6&gt;=Assumptions!$F$38,Assumptions!$L26/12*(1+Assumptions!$K$32)^ROUNDDOWN(YEARFRAC(AD$6,Assumptions!$F$38),0),0)</f>
        <v>0</v>
      </c>
      <c r="AE54" s="242">
        <f>-IF(AE$6&gt;=Assumptions!$F$38,Assumptions!$L26/12*(1+Assumptions!$K$32)^ROUNDDOWN(YEARFRAC(AE$6,Assumptions!$F$38),0),0)</f>
        <v>0</v>
      </c>
      <c r="AF54" s="242">
        <f>-IF(AF$6&gt;=Assumptions!$F$38,Assumptions!$L26/12*(1+Assumptions!$K$32)^ROUNDDOWN(YEARFRAC(AF$6,Assumptions!$F$38),0),0)</f>
        <v>0</v>
      </c>
      <c r="AG54" s="242">
        <f>-IF(AG$6&gt;=Assumptions!$F$38,Assumptions!$L26/12*(1+Assumptions!$K$32)^ROUNDDOWN(YEARFRAC(AG$6,Assumptions!$F$38),0),0)</f>
        <v>0</v>
      </c>
      <c r="AH54" s="242">
        <f>-IF(AH$6&gt;=Assumptions!$F$38,Assumptions!$L26/12*(1+Assumptions!$K$32)^ROUNDDOWN(YEARFRAC(AH$6,Assumptions!$F$38),0),0)</f>
        <v>0</v>
      </c>
      <c r="AI54" s="242">
        <f>-IF(AI$6&gt;=Assumptions!$F$38,Assumptions!$L26/12*(1+Assumptions!$K$32)^ROUNDDOWN(YEARFRAC(AI$6,Assumptions!$F$38),0),0)</f>
        <v>0</v>
      </c>
      <c r="AJ54" s="242">
        <f>-IF(AJ$6&gt;=Assumptions!$F$38,Assumptions!$L26/12*(1+Assumptions!$K$32)^ROUNDDOWN(YEARFRAC(AJ$6,Assumptions!$F$38),0),0)</f>
        <v>0</v>
      </c>
      <c r="AK54" s="242">
        <f>-IF(AK$6&gt;=Assumptions!$F$38,Assumptions!$L26/12*(1+Assumptions!$K$32)^ROUNDDOWN(YEARFRAC(AK$6,Assumptions!$F$38),0),0)</f>
        <v>0</v>
      </c>
      <c r="AL54" s="242">
        <f>-IF(AL$6&gt;=Assumptions!$F$38,Assumptions!$L26/12*(1+Assumptions!$K$32)^ROUNDDOWN(YEARFRAC(AL$6,Assumptions!$F$38),0),0)</f>
        <v>0</v>
      </c>
      <c r="AM54" s="242">
        <f>-IF(AM$6&gt;=Assumptions!$F$38,Assumptions!$L26/12*(1+Assumptions!$K$32)^ROUNDDOWN(YEARFRAC(AM$6,Assumptions!$F$38),0),0)</f>
        <v>0</v>
      </c>
      <c r="AN54" s="242">
        <f>-IF(AN$6&gt;=Assumptions!$F$38,Assumptions!$L26/12*(1+Assumptions!$K$32)^ROUNDDOWN(YEARFRAC(AN$6,Assumptions!$F$38),0),0)</f>
        <v>0</v>
      </c>
      <c r="AO54" s="242">
        <f>-IF(AO$6&gt;=Assumptions!$F$38,Assumptions!$L26/12*(1+Assumptions!$K$32)^ROUNDDOWN(YEARFRAC(AO$6,Assumptions!$F$38),0),0)</f>
        <v>-1925</v>
      </c>
      <c r="AP54" s="242">
        <f>-IF(AP$6&gt;=Assumptions!$F$38,Assumptions!$L26/12*(1+Assumptions!$K$32)^ROUNDDOWN(YEARFRAC(AP$6,Assumptions!$F$38),0),0)</f>
        <v>-1925</v>
      </c>
      <c r="AQ54" s="242">
        <f>-IF(AQ$6&gt;=Assumptions!$F$38,Assumptions!$L26/12*(1+Assumptions!$K$32)^ROUNDDOWN(YEARFRAC(AQ$6,Assumptions!$F$38),0),0)</f>
        <v>-1925</v>
      </c>
      <c r="AR54" s="242">
        <f>-IF(AR$6&gt;=Assumptions!$F$38,Assumptions!$L26/12*(1+Assumptions!$K$32)^ROUNDDOWN(YEARFRAC(AR$6,Assumptions!$F$38),0),0)</f>
        <v>-1925</v>
      </c>
      <c r="AS54" s="242">
        <f>-IF(AS$6&gt;=Assumptions!$F$38,Assumptions!$L26/12*(1+Assumptions!$K$32)^ROUNDDOWN(YEARFRAC(AS$6,Assumptions!$F$38),0),0)</f>
        <v>-1925</v>
      </c>
      <c r="AT54" s="242">
        <f>-IF(AT$6&gt;=Assumptions!$F$38,Assumptions!$L26/12*(1+Assumptions!$K$32)^ROUNDDOWN(YEARFRAC(AT$6,Assumptions!$F$38),0),0)</f>
        <v>-1925</v>
      </c>
      <c r="AU54" s="242">
        <f>-IF(AU$6&gt;=Assumptions!$F$38,Assumptions!$L26/12*(1+Assumptions!$K$32)^ROUNDDOWN(YEARFRAC(AU$6,Assumptions!$F$38),0),0)</f>
        <v>-1925</v>
      </c>
      <c r="AV54" s="242">
        <f>-IF(AV$6&gt;=Assumptions!$F$38,Assumptions!$L26/12*(1+Assumptions!$K$32)^ROUNDDOWN(YEARFRAC(AV$6,Assumptions!$F$38),0),0)</f>
        <v>-1925</v>
      </c>
      <c r="AW54" s="242">
        <f>-IF(AW$6&gt;=Assumptions!$F$38,Assumptions!$L26/12*(1+Assumptions!$K$32)^ROUNDDOWN(YEARFRAC(AW$6,Assumptions!$F$38),0),0)</f>
        <v>-1925</v>
      </c>
      <c r="AX54" s="242">
        <f>-IF(AX$6&gt;=Assumptions!$F$38,Assumptions!$L26/12*(1+Assumptions!$K$32)^ROUNDDOWN(YEARFRAC(AX$6,Assumptions!$F$38),0),0)</f>
        <v>-1925</v>
      </c>
      <c r="AY54" s="242">
        <f>-IF(AY$6&gt;=Assumptions!$F$38,Assumptions!$L26/12*(1+Assumptions!$K$32)^ROUNDDOWN(YEARFRAC(AY$6,Assumptions!$F$38),0),0)</f>
        <v>-1925</v>
      </c>
      <c r="AZ54" s="242">
        <f>-IF(AZ$6&gt;=Assumptions!$F$38,Assumptions!$L26/12*(1+Assumptions!$K$32)^ROUNDDOWN(YEARFRAC(AZ$6,Assumptions!$F$38),0),0)</f>
        <v>-1925</v>
      </c>
      <c r="BA54" s="242">
        <f>-IF(BA$6&gt;=Assumptions!$F$38,Assumptions!$L26/12*(1+Assumptions!$K$32)^ROUNDDOWN(YEARFRAC(BA$6,Assumptions!$F$38),0),0)</f>
        <v>-1982.75</v>
      </c>
      <c r="BB54" s="242">
        <f>-IF(BB$6&gt;=Assumptions!$F$38,Assumptions!$L26/12*(1+Assumptions!$K$32)^ROUNDDOWN(YEARFRAC(BB$6,Assumptions!$F$38),0),0)</f>
        <v>-1982.75</v>
      </c>
      <c r="BC54" s="242">
        <f>-IF(BC$6&gt;=Assumptions!$F$38,Assumptions!$L26/12*(1+Assumptions!$K$32)^ROUNDDOWN(YEARFRAC(BC$6,Assumptions!$F$38),0),0)</f>
        <v>-1982.75</v>
      </c>
      <c r="BD54" s="242">
        <f>-IF(BD$6&gt;=Assumptions!$F$38,Assumptions!$L26/12*(1+Assumptions!$K$32)^ROUNDDOWN(YEARFRAC(BD$6,Assumptions!$F$38),0),0)</f>
        <v>-1982.75</v>
      </c>
      <c r="BE54" s="242">
        <f>-IF(BE$6&gt;=Assumptions!$F$38,Assumptions!$L26/12*(1+Assumptions!$K$32)^ROUNDDOWN(YEARFRAC(BE$6,Assumptions!$F$38),0),0)</f>
        <v>-1982.75</v>
      </c>
      <c r="BF54" s="242">
        <f>-IF(BF$6&gt;=Assumptions!$F$38,Assumptions!$L26/12*(1+Assumptions!$K$32)^ROUNDDOWN(YEARFRAC(BF$6,Assumptions!$F$38),0),0)</f>
        <v>-1982.75</v>
      </c>
      <c r="BG54" s="242">
        <f>-IF(BG$6&gt;=Assumptions!$F$38,Assumptions!$L26/12*(1+Assumptions!$K$32)^ROUNDDOWN(YEARFRAC(BG$6,Assumptions!$F$38),0),0)</f>
        <v>-1982.75</v>
      </c>
      <c r="BH54" s="242">
        <f>-IF(BH$6&gt;=Assumptions!$F$38,Assumptions!$L26/12*(1+Assumptions!$K$32)^ROUNDDOWN(YEARFRAC(BH$6,Assumptions!$F$38),0),0)</f>
        <v>-1982.75</v>
      </c>
      <c r="BI54" s="242">
        <f>-IF(BI$6&gt;=Assumptions!$F$38,Assumptions!$L26/12*(1+Assumptions!$K$32)^ROUNDDOWN(YEARFRAC(BI$6,Assumptions!$F$38),0),0)</f>
        <v>-1982.75</v>
      </c>
      <c r="BJ54" s="242">
        <f>-IF(BJ$6&gt;=Assumptions!$F$38,Assumptions!$L26/12*(1+Assumptions!$K$32)^ROUNDDOWN(YEARFRAC(BJ$6,Assumptions!$F$38),0),0)</f>
        <v>-1982.75</v>
      </c>
      <c r="BK54" s="242">
        <f>-IF(BK$6&gt;=Assumptions!$F$38,Assumptions!$L26/12*(1+Assumptions!$K$32)^ROUNDDOWN(YEARFRAC(BK$6,Assumptions!$F$38),0),0)</f>
        <v>-1982.75</v>
      </c>
      <c r="BL54" s="242">
        <f>-IF(BL$6&gt;=Assumptions!$F$38,Assumptions!$L26/12*(1+Assumptions!$K$32)^ROUNDDOWN(YEARFRAC(BL$6,Assumptions!$F$38),0),0)</f>
        <v>-1982.75</v>
      </c>
      <c r="BM54" s="242">
        <f>-IF(BM$6&gt;=Assumptions!$F$38,Assumptions!$L26/12*(1+Assumptions!$K$32)^ROUNDDOWN(YEARFRAC(BM$6,Assumptions!$F$38),0),0)</f>
        <v>-2042.2324999999998</v>
      </c>
      <c r="BN54" s="242">
        <f>-IF(BN$6&gt;=Assumptions!$F$38,Assumptions!$L26/12*(1+Assumptions!$K$32)^ROUNDDOWN(YEARFRAC(BN$6,Assumptions!$F$38),0),0)</f>
        <v>-2042.2324999999998</v>
      </c>
      <c r="BO54" s="242">
        <f>-IF(BO$6&gt;=Assumptions!$F$38,Assumptions!$L26/12*(1+Assumptions!$K$32)^ROUNDDOWN(YEARFRAC(BO$6,Assumptions!$F$38),0),0)</f>
        <v>-2042.2324999999998</v>
      </c>
      <c r="BP54" s="242">
        <f>-IF(BP$6&gt;=Assumptions!$F$38,Assumptions!$L26/12*(1+Assumptions!$K$32)^ROUNDDOWN(YEARFRAC(BP$6,Assumptions!$F$38),0),0)</f>
        <v>-2042.2324999999998</v>
      </c>
      <c r="BQ54" s="242">
        <f>-IF(BQ$6&gt;=Assumptions!$F$38,Assumptions!$L26/12*(1+Assumptions!$K$32)^ROUNDDOWN(YEARFRAC(BQ$6,Assumptions!$F$38),0),0)</f>
        <v>-2042.2324999999998</v>
      </c>
      <c r="BR54" s="242">
        <f>-IF(BR$6&gt;=Assumptions!$F$38,Assumptions!$L26/12*(1+Assumptions!$K$32)^ROUNDDOWN(YEARFRAC(BR$6,Assumptions!$F$38),0),0)</f>
        <v>-2042.2324999999998</v>
      </c>
      <c r="BS54" s="242">
        <f>-IF(BS$6&gt;=Assumptions!$F$38,Assumptions!$L26/12*(1+Assumptions!$K$32)^ROUNDDOWN(YEARFRAC(BS$6,Assumptions!$F$38),0),0)</f>
        <v>-2042.2324999999998</v>
      </c>
      <c r="BT54" s="242">
        <f>-IF(BT$6&gt;=Assumptions!$F$38,Assumptions!$L26/12*(1+Assumptions!$K$32)^ROUNDDOWN(YEARFRAC(BT$6,Assumptions!$F$38),0),0)</f>
        <v>-2042.2324999999998</v>
      </c>
      <c r="BU54" s="242">
        <f>-IF(BU$6&gt;=Assumptions!$F$38,Assumptions!$L26/12*(1+Assumptions!$K$32)^ROUNDDOWN(YEARFRAC(BU$6,Assumptions!$F$38),0),0)</f>
        <v>-2042.2324999999998</v>
      </c>
      <c r="BV54" s="242">
        <f>-IF(BV$6&gt;=Assumptions!$F$38,Assumptions!$L26/12*(1+Assumptions!$K$32)^ROUNDDOWN(YEARFRAC(BV$6,Assumptions!$F$38),0),0)</f>
        <v>-2042.2324999999998</v>
      </c>
      <c r="BW54" s="242">
        <f>-IF(BW$6&gt;=Assumptions!$F$38,Assumptions!$L26/12*(1+Assumptions!$K$32)^ROUNDDOWN(YEARFRAC(BW$6,Assumptions!$F$38),0),0)</f>
        <v>-2042.2324999999998</v>
      </c>
      <c r="BX54" s="242">
        <f>-IF(BX$6&gt;=Assumptions!$F$38,Assumptions!$L26/12*(1+Assumptions!$K$32)^ROUNDDOWN(YEARFRAC(BX$6,Assumptions!$F$38),0),0)</f>
        <v>-2042.2324999999998</v>
      </c>
      <c r="BY54" s="242">
        <f>-IF(BY$6&gt;=Assumptions!$F$38,Assumptions!$L26/12*(1+Assumptions!$K$32)^ROUNDDOWN(YEARFRAC(BY$6,Assumptions!$F$38),0),0)</f>
        <v>-2103.4994750000001</v>
      </c>
      <c r="BZ54" s="242">
        <f>-IF(BZ$6&gt;=Assumptions!$F$38,Assumptions!$L26/12*(1+Assumptions!$K$32)^ROUNDDOWN(YEARFRAC(BZ$6,Assumptions!$F$38),0),0)</f>
        <v>-2103.4994750000001</v>
      </c>
      <c r="CA54" s="242">
        <f>-IF(CA$6&gt;=Assumptions!$F$38,Assumptions!$L26/12*(1+Assumptions!$K$32)^ROUNDDOWN(YEARFRAC(CA$6,Assumptions!$F$38),0),0)</f>
        <v>-2103.4994750000001</v>
      </c>
      <c r="CB54" s="242">
        <f>-IF(CB$6&gt;=Assumptions!$F$38,Assumptions!$L26/12*(1+Assumptions!$K$32)^ROUNDDOWN(YEARFRAC(CB$6,Assumptions!$F$38),0),0)</f>
        <v>-2103.4994750000001</v>
      </c>
      <c r="CC54" s="242">
        <f>-IF(CC$6&gt;=Assumptions!$F$38,Assumptions!$L26/12*(1+Assumptions!$K$32)^ROUNDDOWN(YEARFRAC(CC$6,Assumptions!$F$38),0),0)</f>
        <v>-2103.4994750000001</v>
      </c>
      <c r="CD54" s="242">
        <f>-IF(CD$6&gt;=Assumptions!$F$38,Assumptions!$L26/12*(1+Assumptions!$K$32)^ROUNDDOWN(YEARFRAC(CD$6,Assumptions!$F$38),0),0)</f>
        <v>-2103.4994750000001</v>
      </c>
      <c r="CE54" s="242">
        <f>-IF(CE$6&gt;=Assumptions!$F$38,Assumptions!$L26/12*(1+Assumptions!$K$32)^ROUNDDOWN(YEARFRAC(CE$6,Assumptions!$F$38),0),0)</f>
        <v>-2103.4994750000001</v>
      </c>
      <c r="CF54" s="242">
        <f>-IF(CF$6&gt;=Assumptions!$F$38,Assumptions!$L26/12*(1+Assumptions!$K$32)^ROUNDDOWN(YEARFRAC(CF$6,Assumptions!$F$38),0),0)</f>
        <v>-2103.4994750000001</v>
      </c>
      <c r="CG54" s="242">
        <f>-IF(CG$6&gt;=Assumptions!$F$38,Assumptions!$L26/12*(1+Assumptions!$K$32)^ROUNDDOWN(YEARFRAC(CG$6,Assumptions!$F$38),0),0)</f>
        <v>-2103.4994750000001</v>
      </c>
      <c r="CH54" s="242">
        <f>-IF(CH$6&gt;=Assumptions!$F$38,Assumptions!$L26/12*(1+Assumptions!$K$32)^ROUNDDOWN(YEARFRAC(CH$6,Assumptions!$F$38),0),0)</f>
        <v>-2103.4994750000001</v>
      </c>
      <c r="CI54" s="242">
        <f>-IF(CI$6&gt;=Assumptions!$F$38,Assumptions!$L26/12*(1+Assumptions!$K$32)^ROUNDDOWN(YEARFRAC(CI$6,Assumptions!$F$38),0),0)</f>
        <v>-2103.4994750000001</v>
      </c>
      <c r="CJ54" s="242">
        <f>-IF(CJ$6&gt;=Assumptions!$F$38,Assumptions!$L26/12*(1+Assumptions!$K$32)^ROUNDDOWN(YEARFRAC(CJ$6,Assumptions!$F$38),0),0)</f>
        <v>-2103.4994750000001</v>
      </c>
      <c r="CK54" s="242">
        <f>-IF(CK$6&gt;=Assumptions!$F$38,Assumptions!$L26/12*(1+Assumptions!$K$32)^ROUNDDOWN(YEARFRAC(CK$6,Assumptions!$F$38),0),0)</f>
        <v>-2166.6044592499998</v>
      </c>
      <c r="CL54" s="242">
        <f>-IF(CL$6&gt;=Assumptions!$F$38,Assumptions!$L26/12*(1+Assumptions!$K$32)^ROUNDDOWN(YEARFRAC(CL$6,Assumptions!$F$38),0),0)</f>
        <v>-2166.6044592499998</v>
      </c>
      <c r="CM54" s="242">
        <f>-IF(CM$6&gt;=Assumptions!$F$38,Assumptions!$L26/12*(1+Assumptions!$K$32)^ROUNDDOWN(YEARFRAC(CM$6,Assumptions!$F$38),0),0)</f>
        <v>-2166.6044592499998</v>
      </c>
      <c r="CN54" s="242">
        <f>-IF(CN$6&gt;=Assumptions!$F$38,Assumptions!$L26/12*(1+Assumptions!$K$32)^ROUNDDOWN(YEARFRAC(CN$6,Assumptions!$F$38),0),0)</f>
        <v>-2166.6044592499998</v>
      </c>
      <c r="CO54" s="242">
        <f>-IF(CO$6&gt;=Assumptions!$F$38,Assumptions!$L26/12*(1+Assumptions!$K$32)^ROUNDDOWN(YEARFRAC(CO$6,Assumptions!$F$38),0),0)</f>
        <v>-2166.6044592499998</v>
      </c>
      <c r="CP54" s="242">
        <f>-IF(CP$6&gt;=Assumptions!$F$38,Assumptions!$L26/12*(1+Assumptions!$K$32)^ROUNDDOWN(YEARFRAC(CP$6,Assumptions!$F$38),0),0)</f>
        <v>-2166.6044592499998</v>
      </c>
      <c r="CQ54" s="242">
        <f>-IF(CQ$6&gt;=Assumptions!$F$38,Assumptions!$L26/12*(1+Assumptions!$K$32)^ROUNDDOWN(YEARFRAC(CQ$6,Assumptions!$F$38),0),0)</f>
        <v>-2166.6044592499998</v>
      </c>
      <c r="CR54" s="242">
        <f>-IF(CR$6&gt;=Assumptions!$F$38,Assumptions!$L26/12*(1+Assumptions!$K$32)^ROUNDDOWN(YEARFRAC(CR$6,Assumptions!$F$38),0),0)</f>
        <v>-2166.6044592499998</v>
      </c>
      <c r="CS54" s="242">
        <f>-IF(CS$6&gt;=Assumptions!$F$38,Assumptions!$L26/12*(1+Assumptions!$K$32)^ROUNDDOWN(YEARFRAC(CS$6,Assumptions!$F$38),0),0)</f>
        <v>-2166.6044592499998</v>
      </c>
      <c r="CT54" s="242">
        <f>-IF(CT$6&gt;=Assumptions!$F$38,Assumptions!$L26/12*(1+Assumptions!$K$32)^ROUNDDOWN(YEARFRAC(CT$6,Assumptions!$F$38),0),0)</f>
        <v>-2166.6044592499998</v>
      </c>
      <c r="CU54" s="242">
        <f>-IF(CU$6&gt;=Assumptions!$F$38,Assumptions!$L26/12*(1+Assumptions!$K$32)^ROUNDDOWN(YEARFRAC(CU$6,Assumptions!$F$38),0),0)</f>
        <v>-2166.6044592499998</v>
      </c>
      <c r="CV54" s="242">
        <f>-IF(CV$6&gt;=Assumptions!$F$38,Assumptions!$L26/12*(1+Assumptions!$K$32)^ROUNDDOWN(YEARFRAC(CV$6,Assumptions!$F$38),0),0)</f>
        <v>-2166.6044592499998</v>
      </c>
      <c r="CW54" s="242">
        <f>-IF(CW$6&gt;=Assumptions!$F$38,Assumptions!$L26/12*(1+Assumptions!$K$32)^ROUNDDOWN(YEARFRAC(CW$6,Assumptions!$F$38),0),0)</f>
        <v>-2231.6025930274996</v>
      </c>
      <c r="CX54" s="242">
        <f>-IF(CX$6&gt;=Assumptions!$F$38,Assumptions!$L26/12*(1+Assumptions!$K$32)^ROUNDDOWN(YEARFRAC(CX$6,Assumptions!$F$38),0),0)</f>
        <v>-2231.6025930274996</v>
      </c>
      <c r="CY54" s="242">
        <f>-IF(CY$6&gt;=Assumptions!$F$38,Assumptions!$L26/12*(1+Assumptions!$K$32)^ROUNDDOWN(YEARFRAC(CY$6,Assumptions!$F$38),0),0)</f>
        <v>-2231.6025930274996</v>
      </c>
      <c r="CZ54" s="242">
        <f>-IF(CZ$6&gt;=Assumptions!$F$38,Assumptions!$L26/12*(1+Assumptions!$K$32)^ROUNDDOWN(YEARFRAC(CZ$6,Assumptions!$F$38),0),0)</f>
        <v>-2231.6025930274996</v>
      </c>
      <c r="DA54" s="242">
        <f>-IF(DA$6&gt;=Assumptions!$F$38,Assumptions!$L26/12*(1+Assumptions!$K$32)^ROUNDDOWN(YEARFRAC(DA$6,Assumptions!$F$38),0),0)</f>
        <v>-2231.6025930274996</v>
      </c>
      <c r="DB54" s="242">
        <f>-IF(DB$6&gt;=Assumptions!$F$38,Assumptions!$L26/12*(1+Assumptions!$K$32)^ROUNDDOWN(YEARFRAC(DB$6,Assumptions!$F$38),0),0)</f>
        <v>-2231.6025930274996</v>
      </c>
      <c r="DC54" s="242">
        <f>-IF(DC$6&gt;=Assumptions!$F$38,Assumptions!$L26/12*(1+Assumptions!$K$32)^ROUNDDOWN(YEARFRAC(DC$6,Assumptions!$F$38),0),0)</f>
        <v>-2231.6025930274996</v>
      </c>
      <c r="DD54" s="242">
        <f>-IF(DD$6&gt;=Assumptions!$F$38,Assumptions!$L26/12*(1+Assumptions!$K$32)^ROUNDDOWN(YEARFRAC(DD$6,Assumptions!$F$38),0),0)</f>
        <v>-2231.6025930274996</v>
      </c>
      <c r="DE54" s="242">
        <f>-IF(DE$6&gt;=Assumptions!$F$38,Assumptions!$L26/12*(1+Assumptions!$K$32)^ROUNDDOWN(YEARFRAC(DE$6,Assumptions!$F$38),0),0)</f>
        <v>-2231.6025930274996</v>
      </c>
      <c r="DF54" s="242">
        <f>-IF(DF$6&gt;=Assumptions!$F$38,Assumptions!$L26/12*(1+Assumptions!$K$32)^ROUNDDOWN(YEARFRAC(DF$6,Assumptions!$F$38),0),0)</f>
        <v>-2231.6025930274996</v>
      </c>
      <c r="DG54" s="242">
        <f>-IF(DG$6&gt;=Assumptions!$F$38,Assumptions!$L26/12*(1+Assumptions!$K$32)^ROUNDDOWN(YEARFRAC(DG$6,Assumptions!$F$38),0),0)</f>
        <v>-2231.6025930274996</v>
      </c>
      <c r="DH54" s="242">
        <f>-IF(DH$6&gt;=Assumptions!$F$38,Assumptions!$L26/12*(1+Assumptions!$K$32)^ROUNDDOWN(YEARFRAC(DH$6,Assumptions!$F$38),0),0)</f>
        <v>-2231.6025930274996</v>
      </c>
      <c r="DI54" s="242">
        <f>-IF(DI$6&gt;=Assumptions!$F$38,Assumptions!$L26/12*(1+Assumptions!$K$32)^ROUNDDOWN(YEARFRAC(DI$6,Assumptions!$F$38),0),0)</f>
        <v>-2298.5506708183248</v>
      </c>
      <c r="DJ54" s="242">
        <f>-IF(DJ$6&gt;=Assumptions!$F$38,Assumptions!$L26/12*(1+Assumptions!$K$32)^ROUNDDOWN(YEARFRAC(DJ$6,Assumptions!$F$38),0),0)</f>
        <v>-2298.5506708183248</v>
      </c>
      <c r="DK54" s="242">
        <f>-IF(DK$6&gt;=Assumptions!$F$38,Assumptions!$L26/12*(1+Assumptions!$K$32)^ROUNDDOWN(YEARFRAC(DK$6,Assumptions!$F$38),0),0)</f>
        <v>-2298.5506708183248</v>
      </c>
      <c r="DL54" s="242">
        <f>-IF(DL$6&gt;=Assumptions!$F$38,Assumptions!$L26/12*(1+Assumptions!$K$32)^ROUNDDOWN(YEARFRAC(DL$6,Assumptions!$F$38),0),0)</f>
        <v>-2298.5506708183248</v>
      </c>
      <c r="DM54" s="242">
        <f>-IF(DM$6&gt;=Assumptions!$F$38,Assumptions!$L26/12*(1+Assumptions!$K$32)^ROUNDDOWN(YEARFRAC(DM$6,Assumptions!$F$38),0),0)</f>
        <v>-2298.5506708183248</v>
      </c>
      <c r="DN54" s="242">
        <f>-IF(DN$6&gt;=Assumptions!$F$38,Assumptions!$L26/12*(1+Assumptions!$K$32)^ROUNDDOWN(YEARFRAC(DN$6,Assumptions!$F$38),0),0)</f>
        <v>-2298.5506708183248</v>
      </c>
      <c r="DO54" s="242">
        <f>-IF(DO$6&gt;=Assumptions!$F$38,Assumptions!$L26/12*(1+Assumptions!$K$32)^ROUNDDOWN(YEARFRAC(DO$6,Assumptions!$F$38),0),0)</f>
        <v>-2298.5506708183248</v>
      </c>
      <c r="DP54" s="242">
        <f>-IF(DP$6&gt;=Assumptions!$F$38,Assumptions!$L26/12*(1+Assumptions!$K$32)^ROUNDDOWN(YEARFRAC(DP$6,Assumptions!$F$38),0),0)</f>
        <v>-2298.5506708183248</v>
      </c>
      <c r="DQ54" s="242">
        <f>-IF(DQ$6&gt;=Assumptions!$F$38,Assumptions!$L26/12*(1+Assumptions!$K$32)^ROUNDDOWN(YEARFRAC(DQ$6,Assumptions!$F$38),0),0)</f>
        <v>-2298.5506708183248</v>
      </c>
      <c r="DR54" s="242">
        <f>-IF(DR$6&gt;=Assumptions!$F$38,Assumptions!$L26/12*(1+Assumptions!$K$32)^ROUNDDOWN(YEARFRAC(DR$6,Assumptions!$F$38),0),0)</f>
        <v>-2298.5506708183248</v>
      </c>
      <c r="DS54" s="242">
        <f>-IF(DS$6&gt;=Assumptions!$F$38,Assumptions!$L26/12*(1+Assumptions!$K$32)^ROUNDDOWN(YEARFRAC(DS$6,Assumptions!$F$38),0),0)</f>
        <v>-2298.5506708183248</v>
      </c>
      <c r="DT54" s="242">
        <f>-IF(DT$6&gt;=Assumptions!$F$38,Assumptions!$L26/12*(1+Assumptions!$K$32)^ROUNDDOWN(YEARFRAC(DT$6,Assumptions!$F$38),0),0)</f>
        <v>-2298.5506708183248</v>
      </c>
      <c r="DU54" s="242">
        <f>-IF(DU$6&gt;=Assumptions!$F$38,Assumptions!$L26/12*(1+Assumptions!$K$32)^ROUNDDOWN(YEARFRAC(DU$6,Assumptions!$F$38),0),0)</f>
        <v>-2367.5071909428748</v>
      </c>
      <c r="DV54" s="242">
        <f>-IF(DV$6&gt;=Assumptions!$F$38,Assumptions!$L26/12*(1+Assumptions!$K$32)^ROUNDDOWN(YEARFRAC(DV$6,Assumptions!$F$38),0),0)</f>
        <v>-2367.5071909428748</v>
      </c>
      <c r="DW54" s="242">
        <f>-IF(DW$6&gt;=Assumptions!$F$38,Assumptions!$L26/12*(1+Assumptions!$K$32)^ROUNDDOWN(YEARFRAC(DW$6,Assumptions!$F$38),0),0)</f>
        <v>-2367.5071909428748</v>
      </c>
      <c r="DX54" s="242">
        <f>-IF(DX$6&gt;=Assumptions!$F$38,Assumptions!$L26/12*(1+Assumptions!$K$32)^ROUNDDOWN(YEARFRAC(DX$6,Assumptions!$F$38),0),0)</f>
        <v>-2367.5071909428748</v>
      </c>
      <c r="DY54" s="242">
        <f>-IF(DY$6&gt;=Assumptions!$F$38,Assumptions!$L26/12*(1+Assumptions!$K$32)^ROUNDDOWN(YEARFRAC(DY$6,Assumptions!$F$38),0),0)</f>
        <v>-2367.5071909428748</v>
      </c>
      <c r="DZ54" s="242">
        <f>-IF(DZ$6&gt;=Assumptions!$F$38,Assumptions!$L26/12*(1+Assumptions!$K$32)^ROUNDDOWN(YEARFRAC(DZ$6,Assumptions!$F$38),0),0)</f>
        <v>-2367.5071909428748</v>
      </c>
      <c r="EA54" s="242">
        <f>-IF(EA$6&gt;=Assumptions!$F$38,Assumptions!$L26/12*(1+Assumptions!$K$32)^ROUNDDOWN(YEARFRAC(EA$6,Assumptions!$F$38),0),0)</f>
        <v>-2367.5071909428748</v>
      </c>
      <c r="EB54" s="242">
        <f>-IF(EB$6&gt;=Assumptions!$F$38,Assumptions!$L26/12*(1+Assumptions!$K$32)^ROUNDDOWN(YEARFRAC(EB$6,Assumptions!$F$38),0),0)</f>
        <v>-2367.5071909428748</v>
      </c>
      <c r="EC54" s="242">
        <f>-IF(EC$6&gt;=Assumptions!$F$38,Assumptions!$L26/12*(1+Assumptions!$K$32)^ROUNDDOWN(YEARFRAC(EC$6,Assumptions!$F$38),0),0)</f>
        <v>-2367.5071909428748</v>
      </c>
      <c r="ED54" s="242">
        <f>-IF(ED$6&gt;=Assumptions!$F$38,Assumptions!$L26/12*(1+Assumptions!$K$32)^ROUNDDOWN(YEARFRAC(ED$6,Assumptions!$F$38),0),0)</f>
        <v>-2367.5071909428748</v>
      </c>
      <c r="EE54" s="242">
        <f>-IF(EE$6&gt;=Assumptions!$F$38,Assumptions!$L26/12*(1+Assumptions!$K$32)^ROUNDDOWN(YEARFRAC(EE$6,Assumptions!$F$38),0),0)</f>
        <v>-2367.5071909428748</v>
      </c>
      <c r="EF54" s="242">
        <f>-IF(EF$6&gt;=Assumptions!$F$38,Assumptions!$L26/12*(1+Assumptions!$K$32)^ROUNDDOWN(YEARFRAC(EF$6,Assumptions!$F$38),0),0)</f>
        <v>-2367.5071909428748</v>
      </c>
      <c r="EG54" s="242">
        <f>-IF(EG$6&gt;=Assumptions!$F$38,Assumptions!$L26/12*(1+Assumptions!$K$32)^ROUNDDOWN(YEARFRAC(EG$6,Assumptions!$F$38),0),0)</f>
        <v>-2438.5324066711605</v>
      </c>
      <c r="EH54" s="242">
        <f>-IF(EH$6&gt;=Assumptions!$F$38,Assumptions!$L26/12*(1+Assumptions!$K$32)^ROUNDDOWN(YEARFRAC(EH$6,Assumptions!$F$38),0),0)</f>
        <v>-2438.5324066711605</v>
      </c>
      <c r="EI54" s="242">
        <f>-IF(EI$6&gt;=Assumptions!$F$38,Assumptions!$L26/12*(1+Assumptions!$K$32)^ROUNDDOWN(YEARFRAC(EI$6,Assumptions!$F$38),0),0)</f>
        <v>-2438.5324066711605</v>
      </c>
      <c r="EJ54" s="242">
        <f>-IF(EJ$6&gt;=Assumptions!$F$38,Assumptions!$L26/12*(1+Assumptions!$K$32)^ROUNDDOWN(YEARFRAC(EJ$6,Assumptions!$F$38),0),0)</f>
        <v>-2438.5324066711605</v>
      </c>
      <c r="EK54" s="242">
        <f>-IF(EK$6&gt;=Assumptions!$F$38,Assumptions!$L26/12*(1+Assumptions!$K$32)^ROUNDDOWN(YEARFRAC(EK$6,Assumptions!$F$38),0),0)</f>
        <v>-2438.5324066711605</v>
      </c>
      <c r="EL54" s="242">
        <f>-IF(EL$6&gt;=Assumptions!$F$38,Assumptions!$L26/12*(1+Assumptions!$K$32)^ROUNDDOWN(YEARFRAC(EL$6,Assumptions!$F$38),0),0)</f>
        <v>-2438.5324066711605</v>
      </c>
      <c r="EM54" s="242">
        <f>-IF(EM$6&gt;=Assumptions!$F$38,Assumptions!$L26/12*(1+Assumptions!$K$32)^ROUNDDOWN(YEARFRAC(EM$6,Assumptions!$F$38),0),0)</f>
        <v>-2438.5324066711605</v>
      </c>
      <c r="EN54" s="242">
        <f>-IF(EN$6&gt;=Assumptions!$F$38,Assumptions!$L26/12*(1+Assumptions!$K$32)^ROUNDDOWN(YEARFRAC(EN$6,Assumptions!$F$38),0),0)</f>
        <v>-2438.5324066711605</v>
      </c>
      <c r="EO54" s="242">
        <f>-IF(EO$6&gt;=Assumptions!$F$38,Assumptions!$L26/12*(1+Assumptions!$K$32)^ROUNDDOWN(YEARFRAC(EO$6,Assumptions!$F$38),0),0)</f>
        <v>-2438.5324066711605</v>
      </c>
      <c r="EP54" s="242">
        <f>-IF(EP$6&gt;=Assumptions!$F$38,Assumptions!$L26/12*(1+Assumptions!$K$32)^ROUNDDOWN(YEARFRAC(EP$6,Assumptions!$F$38),0),0)</f>
        <v>-2438.5324066711605</v>
      </c>
      <c r="EQ54" s="242">
        <f>-IF(EQ$6&gt;=Assumptions!$F$38,Assumptions!$L26/12*(1+Assumptions!$K$32)^ROUNDDOWN(YEARFRAC(EQ$6,Assumptions!$F$38),0),0)</f>
        <v>-2438.5324066711605</v>
      </c>
      <c r="ER54" s="242">
        <f>-IF(ER$6&gt;=Assumptions!$F$38,Assumptions!$L26/12*(1+Assumptions!$K$32)^ROUNDDOWN(YEARFRAC(ER$6,Assumptions!$F$38),0),0)</f>
        <v>-2438.5324066711605</v>
      </c>
      <c r="ES54" s="242">
        <f>-IF(ES$6&gt;=Assumptions!$F$38,Assumptions!$L26/12*(1+Assumptions!$K$32)^ROUNDDOWN(YEARFRAC(ES$6,Assumptions!$F$38),0),0)</f>
        <v>-2511.6883788712958</v>
      </c>
      <c r="ET54" s="242">
        <f>-IF(ET$6&gt;=Assumptions!$F$38,Assumptions!$L26/12*(1+Assumptions!$K$32)^ROUNDDOWN(YEARFRAC(ET$6,Assumptions!$F$38),0),0)</f>
        <v>-2511.6883788712958</v>
      </c>
    </row>
    <row r="55" spans="2:150" x14ac:dyDescent="0.2">
      <c r="B55" t="s">
        <v>74</v>
      </c>
      <c r="D55" s="242">
        <f t="shared" si="510"/>
        <v>-205456.05283393787</v>
      </c>
      <c r="F55" s="242">
        <f>-IF(F$6&gt;=Assumptions!$F$38,Assumptions!$L27/12*(1+Assumptions!$K$32)^ROUNDDOWN(YEARFRAC(F$6,Assumptions!$F$38),0),0)</f>
        <v>0</v>
      </c>
      <c r="G55" s="242">
        <f>-IF(G$6&gt;=Assumptions!$F$38,Assumptions!$L27/12*(1+Assumptions!$K$32)^ROUNDDOWN(YEARFRAC(G$6,Assumptions!$F$38),0),0)</f>
        <v>0</v>
      </c>
      <c r="H55" s="242">
        <f>-IF(H$6&gt;=Assumptions!$F$38,Assumptions!$L27/12*(1+Assumptions!$K$32)^ROUNDDOWN(YEARFRAC(H$6,Assumptions!$F$38),0),0)</f>
        <v>0</v>
      </c>
      <c r="I55" s="242">
        <f>-IF(I$6&gt;=Assumptions!$F$38,Assumptions!$L27/12*(1+Assumptions!$K$32)^ROUNDDOWN(YEARFRAC(I$6,Assumptions!$F$38),0),0)</f>
        <v>0</v>
      </c>
      <c r="J55" s="242">
        <f>-IF(J$6&gt;=Assumptions!$F$38,Assumptions!$L27/12*(1+Assumptions!$K$32)^ROUNDDOWN(YEARFRAC(J$6,Assumptions!$F$38),0),0)</f>
        <v>0</v>
      </c>
      <c r="K55" s="242">
        <f>-IF(K$6&gt;=Assumptions!$F$38,Assumptions!$L27/12*(1+Assumptions!$K$32)^ROUNDDOWN(YEARFRAC(K$6,Assumptions!$F$38),0),0)</f>
        <v>0</v>
      </c>
      <c r="L55" s="242">
        <f>-IF(L$6&gt;=Assumptions!$F$38,Assumptions!$L27/12*(1+Assumptions!$K$32)^ROUNDDOWN(YEARFRAC(L$6,Assumptions!$F$38),0),0)</f>
        <v>0</v>
      </c>
      <c r="M55" s="242">
        <f>-IF(M$6&gt;=Assumptions!$F$38,Assumptions!$L27/12*(1+Assumptions!$K$32)^ROUNDDOWN(YEARFRAC(M$6,Assumptions!$F$38),0),0)</f>
        <v>0</v>
      </c>
      <c r="N55" s="242">
        <f>-IF(N$6&gt;=Assumptions!$F$38,Assumptions!$L27/12*(1+Assumptions!$K$32)^ROUNDDOWN(YEARFRAC(N$6,Assumptions!$F$38),0),0)</f>
        <v>0</v>
      </c>
      <c r="O55" s="242">
        <f>-IF(O$6&gt;=Assumptions!$F$38,Assumptions!$L27/12*(1+Assumptions!$K$32)^ROUNDDOWN(YEARFRAC(O$6,Assumptions!$F$38),0),0)</f>
        <v>0</v>
      </c>
      <c r="P55" s="242">
        <f>-IF(P$6&gt;=Assumptions!$F$38,Assumptions!$L27/12*(1+Assumptions!$K$32)^ROUNDDOWN(YEARFRAC(P$6,Assumptions!$F$38),0),0)</f>
        <v>0</v>
      </c>
      <c r="Q55" s="242">
        <f>-IF(Q$6&gt;=Assumptions!$F$38,Assumptions!$L27/12*(1+Assumptions!$K$32)^ROUNDDOWN(YEARFRAC(Q$6,Assumptions!$F$38),0),0)</f>
        <v>0</v>
      </c>
      <c r="R55" s="242">
        <f>-IF(R$6&gt;=Assumptions!$F$38,Assumptions!$L27/12*(1+Assumptions!$K$32)^ROUNDDOWN(YEARFRAC(R$6,Assumptions!$F$38),0),0)</f>
        <v>0</v>
      </c>
      <c r="S55" s="242">
        <f>-IF(S$6&gt;=Assumptions!$F$38,Assumptions!$L27/12*(1+Assumptions!$K$32)^ROUNDDOWN(YEARFRAC(S$6,Assumptions!$F$38),0),0)</f>
        <v>0</v>
      </c>
      <c r="T55" s="242">
        <f>-IF(T$6&gt;=Assumptions!$F$38,Assumptions!$L27/12*(1+Assumptions!$K$32)^ROUNDDOWN(YEARFRAC(T$6,Assumptions!$F$38),0),0)</f>
        <v>0</v>
      </c>
      <c r="U55" s="242">
        <f>-IF(U$6&gt;=Assumptions!$F$38,Assumptions!$L27/12*(1+Assumptions!$K$32)^ROUNDDOWN(YEARFRAC(U$6,Assumptions!$F$38),0),0)</f>
        <v>0</v>
      </c>
      <c r="V55" s="242">
        <f>-IF(V$6&gt;=Assumptions!$F$38,Assumptions!$L27/12*(1+Assumptions!$K$32)^ROUNDDOWN(YEARFRAC(V$6,Assumptions!$F$38),0),0)</f>
        <v>0</v>
      </c>
      <c r="W55" s="242">
        <f>-IF(W$6&gt;=Assumptions!$F$38,Assumptions!$L27/12*(1+Assumptions!$K$32)^ROUNDDOWN(YEARFRAC(W$6,Assumptions!$F$38),0),0)</f>
        <v>0</v>
      </c>
      <c r="X55" s="242">
        <f>-IF(X$6&gt;=Assumptions!$F$38,Assumptions!$L27/12*(1+Assumptions!$K$32)^ROUNDDOWN(YEARFRAC(X$6,Assumptions!$F$38),0),0)</f>
        <v>0</v>
      </c>
      <c r="Y55" s="242">
        <f>-IF(Y$6&gt;=Assumptions!$F$38,Assumptions!$L27/12*(1+Assumptions!$K$32)^ROUNDDOWN(YEARFRAC(Y$6,Assumptions!$F$38),0),0)</f>
        <v>0</v>
      </c>
      <c r="Z55" s="242">
        <f>-IF(Z$6&gt;=Assumptions!$F$38,Assumptions!$L27/12*(1+Assumptions!$K$32)^ROUNDDOWN(YEARFRAC(Z$6,Assumptions!$F$38),0),0)</f>
        <v>0</v>
      </c>
      <c r="AA55" s="242">
        <f>-IF(AA$6&gt;=Assumptions!$F$38,Assumptions!$L27/12*(1+Assumptions!$K$32)^ROUNDDOWN(YEARFRAC(AA$6,Assumptions!$F$38),0),0)</f>
        <v>0</v>
      </c>
      <c r="AB55" s="242">
        <f>-IF(AB$6&gt;=Assumptions!$F$38,Assumptions!$L27/12*(1+Assumptions!$K$32)^ROUNDDOWN(YEARFRAC(AB$6,Assumptions!$F$38),0),0)</f>
        <v>0</v>
      </c>
      <c r="AC55" s="242">
        <f>-IF(AC$6&gt;=Assumptions!$F$38,Assumptions!$L27/12*(1+Assumptions!$K$32)^ROUNDDOWN(YEARFRAC(AC$6,Assumptions!$F$38),0),0)</f>
        <v>0</v>
      </c>
      <c r="AD55" s="242">
        <f>-IF(AD$6&gt;=Assumptions!$F$38,Assumptions!$L27/12*(1+Assumptions!$K$32)^ROUNDDOWN(YEARFRAC(AD$6,Assumptions!$F$38),0),0)</f>
        <v>0</v>
      </c>
      <c r="AE55" s="242">
        <f>-IF(AE$6&gt;=Assumptions!$F$38,Assumptions!$L27/12*(1+Assumptions!$K$32)^ROUNDDOWN(YEARFRAC(AE$6,Assumptions!$F$38),0),0)</f>
        <v>0</v>
      </c>
      <c r="AF55" s="242">
        <f>-IF(AF$6&gt;=Assumptions!$F$38,Assumptions!$L27/12*(1+Assumptions!$K$32)^ROUNDDOWN(YEARFRAC(AF$6,Assumptions!$F$38),0),0)</f>
        <v>0</v>
      </c>
      <c r="AG55" s="242">
        <f>-IF(AG$6&gt;=Assumptions!$F$38,Assumptions!$L27/12*(1+Assumptions!$K$32)^ROUNDDOWN(YEARFRAC(AG$6,Assumptions!$F$38),0),0)</f>
        <v>0</v>
      </c>
      <c r="AH55" s="242">
        <f>-IF(AH$6&gt;=Assumptions!$F$38,Assumptions!$L27/12*(1+Assumptions!$K$32)^ROUNDDOWN(YEARFRAC(AH$6,Assumptions!$F$38),0),0)</f>
        <v>0</v>
      </c>
      <c r="AI55" s="242">
        <f>-IF(AI$6&gt;=Assumptions!$F$38,Assumptions!$L27/12*(1+Assumptions!$K$32)^ROUNDDOWN(YEARFRAC(AI$6,Assumptions!$F$38),0),0)</f>
        <v>0</v>
      </c>
      <c r="AJ55" s="242">
        <f>-IF(AJ$6&gt;=Assumptions!$F$38,Assumptions!$L27/12*(1+Assumptions!$K$32)^ROUNDDOWN(YEARFRAC(AJ$6,Assumptions!$F$38),0),0)</f>
        <v>0</v>
      </c>
      <c r="AK55" s="242">
        <f>-IF(AK$6&gt;=Assumptions!$F$38,Assumptions!$L27/12*(1+Assumptions!$K$32)^ROUNDDOWN(YEARFRAC(AK$6,Assumptions!$F$38),0),0)</f>
        <v>0</v>
      </c>
      <c r="AL55" s="242">
        <f>-IF(AL$6&gt;=Assumptions!$F$38,Assumptions!$L27/12*(1+Assumptions!$K$32)^ROUNDDOWN(YEARFRAC(AL$6,Assumptions!$F$38),0),0)</f>
        <v>0</v>
      </c>
      <c r="AM55" s="242">
        <f>-IF(AM$6&gt;=Assumptions!$F$38,Assumptions!$L27/12*(1+Assumptions!$K$32)^ROUNDDOWN(YEARFRAC(AM$6,Assumptions!$F$38),0),0)</f>
        <v>0</v>
      </c>
      <c r="AN55" s="242">
        <f>-IF(AN$6&gt;=Assumptions!$F$38,Assumptions!$L27/12*(1+Assumptions!$K$32)^ROUNDDOWN(YEARFRAC(AN$6,Assumptions!$F$38),0),0)</f>
        <v>0</v>
      </c>
      <c r="AO55" s="242">
        <f>-IF(AO$6&gt;=Assumptions!$F$38,Assumptions!$L27/12*(1+Assumptions!$K$32)^ROUNDDOWN(YEARFRAC(AO$6,Assumptions!$F$38),0),0)</f>
        <v>-1650</v>
      </c>
      <c r="AP55" s="242">
        <f>-IF(AP$6&gt;=Assumptions!$F$38,Assumptions!$L27/12*(1+Assumptions!$K$32)^ROUNDDOWN(YEARFRAC(AP$6,Assumptions!$F$38),0),0)</f>
        <v>-1650</v>
      </c>
      <c r="AQ55" s="242">
        <f>-IF(AQ$6&gt;=Assumptions!$F$38,Assumptions!$L27/12*(1+Assumptions!$K$32)^ROUNDDOWN(YEARFRAC(AQ$6,Assumptions!$F$38),0),0)</f>
        <v>-1650</v>
      </c>
      <c r="AR55" s="242">
        <f>-IF(AR$6&gt;=Assumptions!$F$38,Assumptions!$L27/12*(1+Assumptions!$K$32)^ROUNDDOWN(YEARFRAC(AR$6,Assumptions!$F$38),0),0)</f>
        <v>-1650</v>
      </c>
      <c r="AS55" s="242">
        <f>-IF(AS$6&gt;=Assumptions!$F$38,Assumptions!$L27/12*(1+Assumptions!$K$32)^ROUNDDOWN(YEARFRAC(AS$6,Assumptions!$F$38),0),0)</f>
        <v>-1650</v>
      </c>
      <c r="AT55" s="242">
        <f>-IF(AT$6&gt;=Assumptions!$F$38,Assumptions!$L27/12*(1+Assumptions!$K$32)^ROUNDDOWN(YEARFRAC(AT$6,Assumptions!$F$38),0),0)</f>
        <v>-1650</v>
      </c>
      <c r="AU55" s="242">
        <f>-IF(AU$6&gt;=Assumptions!$F$38,Assumptions!$L27/12*(1+Assumptions!$K$32)^ROUNDDOWN(YEARFRAC(AU$6,Assumptions!$F$38),0),0)</f>
        <v>-1650</v>
      </c>
      <c r="AV55" s="242">
        <f>-IF(AV$6&gt;=Assumptions!$F$38,Assumptions!$L27/12*(1+Assumptions!$K$32)^ROUNDDOWN(YEARFRAC(AV$6,Assumptions!$F$38),0),0)</f>
        <v>-1650</v>
      </c>
      <c r="AW55" s="242">
        <f>-IF(AW$6&gt;=Assumptions!$F$38,Assumptions!$L27/12*(1+Assumptions!$K$32)^ROUNDDOWN(YEARFRAC(AW$6,Assumptions!$F$38),0),0)</f>
        <v>-1650</v>
      </c>
      <c r="AX55" s="242">
        <f>-IF(AX$6&gt;=Assumptions!$F$38,Assumptions!$L27/12*(1+Assumptions!$K$32)^ROUNDDOWN(YEARFRAC(AX$6,Assumptions!$F$38),0),0)</f>
        <v>-1650</v>
      </c>
      <c r="AY55" s="242">
        <f>-IF(AY$6&gt;=Assumptions!$F$38,Assumptions!$L27/12*(1+Assumptions!$K$32)^ROUNDDOWN(YEARFRAC(AY$6,Assumptions!$F$38),0),0)</f>
        <v>-1650</v>
      </c>
      <c r="AZ55" s="242">
        <f>-IF(AZ$6&gt;=Assumptions!$F$38,Assumptions!$L27/12*(1+Assumptions!$K$32)^ROUNDDOWN(YEARFRAC(AZ$6,Assumptions!$F$38),0),0)</f>
        <v>-1650</v>
      </c>
      <c r="BA55" s="242">
        <f>-IF(BA$6&gt;=Assumptions!$F$38,Assumptions!$L27/12*(1+Assumptions!$K$32)^ROUNDDOWN(YEARFRAC(BA$6,Assumptions!$F$38),0),0)</f>
        <v>-1699.5</v>
      </c>
      <c r="BB55" s="242">
        <f>-IF(BB$6&gt;=Assumptions!$F$38,Assumptions!$L27/12*(1+Assumptions!$K$32)^ROUNDDOWN(YEARFRAC(BB$6,Assumptions!$F$38),0),0)</f>
        <v>-1699.5</v>
      </c>
      <c r="BC55" s="242">
        <f>-IF(BC$6&gt;=Assumptions!$F$38,Assumptions!$L27/12*(1+Assumptions!$K$32)^ROUNDDOWN(YEARFRAC(BC$6,Assumptions!$F$38),0),0)</f>
        <v>-1699.5</v>
      </c>
      <c r="BD55" s="242">
        <f>-IF(BD$6&gt;=Assumptions!$F$38,Assumptions!$L27/12*(1+Assumptions!$K$32)^ROUNDDOWN(YEARFRAC(BD$6,Assumptions!$F$38),0),0)</f>
        <v>-1699.5</v>
      </c>
      <c r="BE55" s="242">
        <f>-IF(BE$6&gt;=Assumptions!$F$38,Assumptions!$L27/12*(1+Assumptions!$K$32)^ROUNDDOWN(YEARFRAC(BE$6,Assumptions!$F$38),0),0)</f>
        <v>-1699.5</v>
      </c>
      <c r="BF55" s="242">
        <f>-IF(BF$6&gt;=Assumptions!$F$38,Assumptions!$L27/12*(1+Assumptions!$K$32)^ROUNDDOWN(YEARFRAC(BF$6,Assumptions!$F$38),0),0)</f>
        <v>-1699.5</v>
      </c>
      <c r="BG55" s="242">
        <f>-IF(BG$6&gt;=Assumptions!$F$38,Assumptions!$L27/12*(1+Assumptions!$K$32)^ROUNDDOWN(YEARFRAC(BG$6,Assumptions!$F$38),0),0)</f>
        <v>-1699.5</v>
      </c>
      <c r="BH55" s="242">
        <f>-IF(BH$6&gt;=Assumptions!$F$38,Assumptions!$L27/12*(1+Assumptions!$K$32)^ROUNDDOWN(YEARFRAC(BH$6,Assumptions!$F$38),0),0)</f>
        <v>-1699.5</v>
      </c>
      <c r="BI55" s="242">
        <f>-IF(BI$6&gt;=Assumptions!$F$38,Assumptions!$L27/12*(1+Assumptions!$K$32)^ROUNDDOWN(YEARFRAC(BI$6,Assumptions!$F$38),0),0)</f>
        <v>-1699.5</v>
      </c>
      <c r="BJ55" s="242">
        <f>-IF(BJ$6&gt;=Assumptions!$F$38,Assumptions!$L27/12*(1+Assumptions!$K$32)^ROUNDDOWN(YEARFRAC(BJ$6,Assumptions!$F$38),0),0)</f>
        <v>-1699.5</v>
      </c>
      <c r="BK55" s="242">
        <f>-IF(BK$6&gt;=Assumptions!$F$38,Assumptions!$L27/12*(1+Assumptions!$K$32)^ROUNDDOWN(YEARFRAC(BK$6,Assumptions!$F$38),0),0)</f>
        <v>-1699.5</v>
      </c>
      <c r="BL55" s="242">
        <f>-IF(BL$6&gt;=Assumptions!$F$38,Assumptions!$L27/12*(1+Assumptions!$K$32)^ROUNDDOWN(YEARFRAC(BL$6,Assumptions!$F$38),0),0)</f>
        <v>-1699.5</v>
      </c>
      <c r="BM55" s="242">
        <f>-IF(BM$6&gt;=Assumptions!$F$38,Assumptions!$L27/12*(1+Assumptions!$K$32)^ROUNDDOWN(YEARFRAC(BM$6,Assumptions!$F$38),0),0)</f>
        <v>-1750.4849999999999</v>
      </c>
      <c r="BN55" s="242">
        <f>-IF(BN$6&gt;=Assumptions!$F$38,Assumptions!$L27/12*(1+Assumptions!$K$32)^ROUNDDOWN(YEARFRAC(BN$6,Assumptions!$F$38),0),0)</f>
        <v>-1750.4849999999999</v>
      </c>
      <c r="BO55" s="242">
        <f>-IF(BO$6&gt;=Assumptions!$F$38,Assumptions!$L27/12*(1+Assumptions!$K$32)^ROUNDDOWN(YEARFRAC(BO$6,Assumptions!$F$38),0),0)</f>
        <v>-1750.4849999999999</v>
      </c>
      <c r="BP55" s="242">
        <f>-IF(BP$6&gt;=Assumptions!$F$38,Assumptions!$L27/12*(1+Assumptions!$K$32)^ROUNDDOWN(YEARFRAC(BP$6,Assumptions!$F$38),0),0)</f>
        <v>-1750.4849999999999</v>
      </c>
      <c r="BQ55" s="242">
        <f>-IF(BQ$6&gt;=Assumptions!$F$38,Assumptions!$L27/12*(1+Assumptions!$K$32)^ROUNDDOWN(YEARFRAC(BQ$6,Assumptions!$F$38),0),0)</f>
        <v>-1750.4849999999999</v>
      </c>
      <c r="BR55" s="242">
        <f>-IF(BR$6&gt;=Assumptions!$F$38,Assumptions!$L27/12*(1+Assumptions!$K$32)^ROUNDDOWN(YEARFRAC(BR$6,Assumptions!$F$38),0),0)</f>
        <v>-1750.4849999999999</v>
      </c>
      <c r="BS55" s="242">
        <f>-IF(BS$6&gt;=Assumptions!$F$38,Assumptions!$L27/12*(1+Assumptions!$K$32)^ROUNDDOWN(YEARFRAC(BS$6,Assumptions!$F$38),0),0)</f>
        <v>-1750.4849999999999</v>
      </c>
      <c r="BT55" s="242">
        <f>-IF(BT$6&gt;=Assumptions!$F$38,Assumptions!$L27/12*(1+Assumptions!$K$32)^ROUNDDOWN(YEARFRAC(BT$6,Assumptions!$F$38),0),0)</f>
        <v>-1750.4849999999999</v>
      </c>
      <c r="BU55" s="242">
        <f>-IF(BU$6&gt;=Assumptions!$F$38,Assumptions!$L27/12*(1+Assumptions!$K$32)^ROUNDDOWN(YEARFRAC(BU$6,Assumptions!$F$38),0),0)</f>
        <v>-1750.4849999999999</v>
      </c>
      <c r="BV55" s="242">
        <f>-IF(BV$6&gt;=Assumptions!$F$38,Assumptions!$L27/12*(1+Assumptions!$K$32)^ROUNDDOWN(YEARFRAC(BV$6,Assumptions!$F$38),0),0)</f>
        <v>-1750.4849999999999</v>
      </c>
      <c r="BW55" s="242">
        <f>-IF(BW$6&gt;=Assumptions!$F$38,Assumptions!$L27/12*(1+Assumptions!$K$32)^ROUNDDOWN(YEARFRAC(BW$6,Assumptions!$F$38),0),0)</f>
        <v>-1750.4849999999999</v>
      </c>
      <c r="BX55" s="242">
        <f>-IF(BX$6&gt;=Assumptions!$F$38,Assumptions!$L27/12*(1+Assumptions!$K$32)^ROUNDDOWN(YEARFRAC(BX$6,Assumptions!$F$38),0),0)</f>
        <v>-1750.4849999999999</v>
      </c>
      <c r="BY55" s="242">
        <f>-IF(BY$6&gt;=Assumptions!$F$38,Assumptions!$L27/12*(1+Assumptions!$K$32)^ROUNDDOWN(YEARFRAC(BY$6,Assumptions!$F$38),0),0)</f>
        <v>-1802.99955</v>
      </c>
      <c r="BZ55" s="242">
        <f>-IF(BZ$6&gt;=Assumptions!$F$38,Assumptions!$L27/12*(1+Assumptions!$K$32)^ROUNDDOWN(YEARFRAC(BZ$6,Assumptions!$F$38),0),0)</f>
        <v>-1802.99955</v>
      </c>
      <c r="CA55" s="242">
        <f>-IF(CA$6&gt;=Assumptions!$F$38,Assumptions!$L27/12*(1+Assumptions!$K$32)^ROUNDDOWN(YEARFRAC(CA$6,Assumptions!$F$38),0),0)</f>
        <v>-1802.99955</v>
      </c>
      <c r="CB55" s="242">
        <f>-IF(CB$6&gt;=Assumptions!$F$38,Assumptions!$L27/12*(1+Assumptions!$K$32)^ROUNDDOWN(YEARFRAC(CB$6,Assumptions!$F$38),0),0)</f>
        <v>-1802.99955</v>
      </c>
      <c r="CC55" s="242">
        <f>-IF(CC$6&gt;=Assumptions!$F$38,Assumptions!$L27/12*(1+Assumptions!$K$32)^ROUNDDOWN(YEARFRAC(CC$6,Assumptions!$F$38),0),0)</f>
        <v>-1802.99955</v>
      </c>
      <c r="CD55" s="242">
        <f>-IF(CD$6&gt;=Assumptions!$F$38,Assumptions!$L27/12*(1+Assumptions!$K$32)^ROUNDDOWN(YEARFRAC(CD$6,Assumptions!$F$38),0),0)</f>
        <v>-1802.99955</v>
      </c>
      <c r="CE55" s="242">
        <f>-IF(CE$6&gt;=Assumptions!$F$38,Assumptions!$L27/12*(1+Assumptions!$K$32)^ROUNDDOWN(YEARFRAC(CE$6,Assumptions!$F$38),0),0)</f>
        <v>-1802.99955</v>
      </c>
      <c r="CF55" s="242">
        <f>-IF(CF$6&gt;=Assumptions!$F$38,Assumptions!$L27/12*(1+Assumptions!$K$32)^ROUNDDOWN(YEARFRAC(CF$6,Assumptions!$F$38),0),0)</f>
        <v>-1802.99955</v>
      </c>
      <c r="CG55" s="242">
        <f>-IF(CG$6&gt;=Assumptions!$F$38,Assumptions!$L27/12*(1+Assumptions!$K$32)^ROUNDDOWN(YEARFRAC(CG$6,Assumptions!$F$38),0),0)</f>
        <v>-1802.99955</v>
      </c>
      <c r="CH55" s="242">
        <f>-IF(CH$6&gt;=Assumptions!$F$38,Assumptions!$L27/12*(1+Assumptions!$K$32)^ROUNDDOWN(YEARFRAC(CH$6,Assumptions!$F$38),0),0)</f>
        <v>-1802.99955</v>
      </c>
      <c r="CI55" s="242">
        <f>-IF(CI$6&gt;=Assumptions!$F$38,Assumptions!$L27/12*(1+Assumptions!$K$32)^ROUNDDOWN(YEARFRAC(CI$6,Assumptions!$F$38),0),0)</f>
        <v>-1802.99955</v>
      </c>
      <c r="CJ55" s="242">
        <f>-IF(CJ$6&gt;=Assumptions!$F$38,Assumptions!$L27/12*(1+Assumptions!$K$32)^ROUNDDOWN(YEARFRAC(CJ$6,Assumptions!$F$38),0),0)</f>
        <v>-1802.99955</v>
      </c>
      <c r="CK55" s="242">
        <f>-IF(CK$6&gt;=Assumptions!$F$38,Assumptions!$L27/12*(1+Assumptions!$K$32)^ROUNDDOWN(YEARFRAC(CK$6,Assumptions!$F$38),0),0)</f>
        <v>-1857.0895364999999</v>
      </c>
      <c r="CL55" s="242">
        <f>-IF(CL$6&gt;=Assumptions!$F$38,Assumptions!$L27/12*(1+Assumptions!$K$32)^ROUNDDOWN(YEARFRAC(CL$6,Assumptions!$F$38),0),0)</f>
        <v>-1857.0895364999999</v>
      </c>
      <c r="CM55" s="242">
        <f>-IF(CM$6&gt;=Assumptions!$F$38,Assumptions!$L27/12*(1+Assumptions!$K$32)^ROUNDDOWN(YEARFRAC(CM$6,Assumptions!$F$38),0),0)</f>
        <v>-1857.0895364999999</v>
      </c>
      <c r="CN55" s="242">
        <f>-IF(CN$6&gt;=Assumptions!$F$38,Assumptions!$L27/12*(1+Assumptions!$K$32)^ROUNDDOWN(YEARFRAC(CN$6,Assumptions!$F$38),0),0)</f>
        <v>-1857.0895364999999</v>
      </c>
      <c r="CO55" s="242">
        <f>-IF(CO$6&gt;=Assumptions!$F$38,Assumptions!$L27/12*(1+Assumptions!$K$32)^ROUNDDOWN(YEARFRAC(CO$6,Assumptions!$F$38),0),0)</f>
        <v>-1857.0895364999999</v>
      </c>
      <c r="CP55" s="242">
        <f>-IF(CP$6&gt;=Assumptions!$F$38,Assumptions!$L27/12*(1+Assumptions!$K$32)^ROUNDDOWN(YEARFRAC(CP$6,Assumptions!$F$38),0),0)</f>
        <v>-1857.0895364999999</v>
      </c>
      <c r="CQ55" s="242">
        <f>-IF(CQ$6&gt;=Assumptions!$F$38,Assumptions!$L27/12*(1+Assumptions!$K$32)^ROUNDDOWN(YEARFRAC(CQ$6,Assumptions!$F$38),0),0)</f>
        <v>-1857.0895364999999</v>
      </c>
      <c r="CR55" s="242">
        <f>-IF(CR$6&gt;=Assumptions!$F$38,Assumptions!$L27/12*(1+Assumptions!$K$32)^ROUNDDOWN(YEARFRAC(CR$6,Assumptions!$F$38),0),0)</f>
        <v>-1857.0895364999999</v>
      </c>
      <c r="CS55" s="242">
        <f>-IF(CS$6&gt;=Assumptions!$F$38,Assumptions!$L27/12*(1+Assumptions!$K$32)^ROUNDDOWN(YEARFRAC(CS$6,Assumptions!$F$38),0),0)</f>
        <v>-1857.0895364999999</v>
      </c>
      <c r="CT55" s="242">
        <f>-IF(CT$6&gt;=Assumptions!$F$38,Assumptions!$L27/12*(1+Assumptions!$K$32)^ROUNDDOWN(YEARFRAC(CT$6,Assumptions!$F$38),0),0)</f>
        <v>-1857.0895364999999</v>
      </c>
      <c r="CU55" s="242">
        <f>-IF(CU$6&gt;=Assumptions!$F$38,Assumptions!$L27/12*(1+Assumptions!$K$32)^ROUNDDOWN(YEARFRAC(CU$6,Assumptions!$F$38),0),0)</f>
        <v>-1857.0895364999999</v>
      </c>
      <c r="CV55" s="242">
        <f>-IF(CV$6&gt;=Assumptions!$F$38,Assumptions!$L27/12*(1+Assumptions!$K$32)^ROUNDDOWN(YEARFRAC(CV$6,Assumptions!$F$38),0),0)</f>
        <v>-1857.0895364999999</v>
      </c>
      <c r="CW55" s="242">
        <f>-IF(CW$6&gt;=Assumptions!$F$38,Assumptions!$L27/12*(1+Assumptions!$K$32)^ROUNDDOWN(YEARFRAC(CW$6,Assumptions!$F$38),0),0)</f>
        <v>-1912.8022225949996</v>
      </c>
      <c r="CX55" s="242">
        <f>-IF(CX$6&gt;=Assumptions!$F$38,Assumptions!$L27/12*(1+Assumptions!$K$32)^ROUNDDOWN(YEARFRAC(CX$6,Assumptions!$F$38),0),0)</f>
        <v>-1912.8022225949996</v>
      </c>
      <c r="CY55" s="242">
        <f>-IF(CY$6&gt;=Assumptions!$F$38,Assumptions!$L27/12*(1+Assumptions!$K$32)^ROUNDDOWN(YEARFRAC(CY$6,Assumptions!$F$38),0),0)</f>
        <v>-1912.8022225949996</v>
      </c>
      <c r="CZ55" s="242">
        <f>-IF(CZ$6&gt;=Assumptions!$F$38,Assumptions!$L27/12*(1+Assumptions!$K$32)^ROUNDDOWN(YEARFRAC(CZ$6,Assumptions!$F$38),0),0)</f>
        <v>-1912.8022225949996</v>
      </c>
      <c r="DA55" s="242">
        <f>-IF(DA$6&gt;=Assumptions!$F$38,Assumptions!$L27/12*(1+Assumptions!$K$32)^ROUNDDOWN(YEARFRAC(DA$6,Assumptions!$F$38),0),0)</f>
        <v>-1912.8022225949996</v>
      </c>
      <c r="DB55" s="242">
        <f>-IF(DB$6&gt;=Assumptions!$F$38,Assumptions!$L27/12*(1+Assumptions!$K$32)^ROUNDDOWN(YEARFRAC(DB$6,Assumptions!$F$38),0),0)</f>
        <v>-1912.8022225949996</v>
      </c>
      <c r="DC55" s="242">
        <f>-IF(DC$6&gt;=Assumptions!$F$38,Assumptions!$L27/12*(1+Assumptions!$K$32)^ROUNDDOWN(YEARFRAC(DC$6,Assumptions!$F$38),0),0)</f>
        <v>-1912.8022225949996</v>
      </c>
      <c r="DD55" s="242">
        <f>-IF(DD$6&gt;=Assumptions!$F$38,Assumptions!$L27/12*(1+Assumptions!$K$32)^ROUNDDOWN(YEARFRAC(DD$6,Assumptions!$F$38),0),0)</f>
        <v>-1912.8022225949996</v>
      </c>
      <c r="DE55" s="242">
        <f>-IF(DE$6&gt;=Assumptions!$F$38,Assumptions!$L27/12*(1+Assumptions!$K$32)^ROUNDDOWN(YEARFRAC(DE$6,Assumptions!$F$38),0),0)</f>
        <v>-1912.8022225949996</v>
      </c>
      <c r="DF55" s="242">
        <f>-IF(DF$6&gt;=Assumptions!$F$38,Assumptions!$L27/12*(1+Assumptions!$K$32)^ROUNDDOWN(YEARFRAC(DF$6,Assumptions!$F$38),0),0)</f>
        <v>-1912.8022225949996</v>
      </c>
      <c r="DG55" s="242">
        <f>-IF(DG$6&gt;=Assumptions!$F$38,Assumptions!$L27/12*(1+Assumptions!$K$32)^ROUNDDOWN(YEARFRAC(DG$6,Assumptions!$F$38),0),0)</f>
        <v>-1912.8022225949996</v>
      </c>
      <c r="DH55" s="242">
        <f>-IF(DH$6&gt;=Assumptions!$F$38,Assumptions!$L27/12*(1+Assumptions!$K$32)^ROUNDDOWN(YEARFRAC(DH$6,Assumptions!$F$38),0),0)</f>
        <v>-1912.8022225949996</v>
      </c>
      <c r="DI55" s="242">
        <f>-IF(DI$6&gt;=Assumptions!$F$38,Assumptions!$L27/12*(1+Assumptions!$K$32)^ROUNDDOWN(YEARFRAC(DI$6,Assumptions!$F$38),0),0)</f>
        <v>-1970.1862892728498</v>
      </c>
      <c r="DJ55" s="242">
        <f>-IF(DJ$6&gt;=Assumptions!$F$38,Assumptions!$L27/12*(1+Assumptions!$K$32)^ROUNDDOWN(YEARFRAC(DJ$6,Assumptions!$F$38),0),0)</f>
        <v>-1970.1862892728498</v>
      </c>
      <c r="DK55" s="242">
        <f>-IF(DK$6&gt;=Assumptions!$F$38,Assumptions!$L27/12*(1+Assumptions!$K$32)^ROUNDDOWN(YEARFRAC(DK$6,Assumptions!$F$38),0),0)</f>
        <v>-1970.1862892728498</v>
      </c>
      <c r="DL55" s="242">
        <f>-IF(DL$6&gt;=Assumptions!$F$38,Assumptions!$L27/12*(1+Assumptions!$K$32)^ROUNDDOWN(YEARFRAC(DL$6,Assumptions!$F$38),0),0)</f>
        <v>-1970.1862892728498</v>
      </c>
      <c r="DM55" s="242">
        <f>-IF(DM$6&gt;=Assumptions!$F$38,Assumptions!$L27/12*(1+Assumptions!$K$32)^ROUNDDOWN(YEARFRAC(DM$6,Assumptions!$F$38),0),0)</f>
        <v>-1970.1862892728498</v>
      </c>
      <c r="DN55" s="242">
        <f>-IF(DN$6&gt;=Assumptions!$F$38,Assumptions!$L27/12*(1+Assumptions!$K$32)^ROUNDDOWN(YEARFRAC(DN$6,Assumptions!$F$38),0),0)</f>
        <v>-1970.1862892728498</v>
      </c>
      <c r="DO55" s="242">
        <f>-IF(DO$6&gt;=Assumptions!$F$38,Assumptions!$L27/12*(1+Assumptions!$K$32)^ROUNDDOWN(YEARFRAC(DO$6,Assumptions!$F$38),0),0)</f>
        <v>-1970.1862892728498</v>
      </c>
      <c r="DP55" s="242">
        <f>-IF(DP$6&gt;=Assumptions!$F$38,Assumptions!$L27/12*(1+Assumptions!$K$32)^ROUNDDOWN(YEARFRAC(DP$6,Assumptions!$F$38),0),0)</f>
        <v>-1970.1862892728498</v>
      </c>
      <c r="DQ55" s="242">
        <f>-IF(DQ$6&gt;=Assumptions!$F$38,Assumptions!$L27/12*(1+Assumptions!$K$32)^ROUNDDOWN(YEARFRAC(DQ$6,Assumptions!$F$38),0),0)</f>
        <v>-1970.1862892728498</v>
      </c>
      <c r="DR55" s="242">
        <f>-IF(DR$6&gt;=Assumptions!$F$38,Assumptions!$L27/12*(1+Assumptions!$K$32)^ROUNDDOWN(YEARFRAC(DR$6,Assumptions!$F$38),0),0)</f>
        <v>-1970.1862892728498</v>
      </c>
      <c r="DS55" s="242">
        <f>-IF(DS$6&gt;=Assumptions!$F$38,Assumptions!$L27/12*(1+Assumptions!$K$32)^ROUNDDOWN(YEARFRAC(DS$6,Assumptions!$F$38),0),0)</f>
        <v>-1970.1862892728498</v>
      </c>
      <c r="DT55" s="242">
        <f>-IF(DT$6&gt;=Assumptions!$F$38,Assumptions!$L27/12*(1+Assumptions!$K$32)^ROUNDDOWN(YEARFRAC(DT$6,Assumptions!$F$38),0),0)</f>
        <v>-1970.1862892728498</v>
      </c>
      <c r="DU55" s="242">
        <f>-IF(DU$6&gt;=Assumptions!$F$38,Assumptions!$L27/12*(1+Assumptions!$K$32)^ROUNDDOWN(YEARFRAC(DU$6,Assumptions!$F$38),0),0)</f>
        <v>-2029.2918779510355</v>
      </c>
      <c r="DV55" s="242">
        <f>-IF(DV$6&gt;=Assumptions!$F$38,Assumptions!$L27/12*(1+Assumptions!$K$32)^ROUNDDOWN(YEARFRAC(DV$6,Assumptions!$F$38),0),0)</f>
        <v>-2029.2918779510355</v>
      </c>
      <c r="DW55" s="242">
        <f>-IF(DW$6&gt;=Assumptions!$F$38,Assumptions!$L27/12*(1+Assumptions!$K$32)^ROUNDDOWN(YEARFRAC(DW$6,Assumptions!$F$38),0),0)</f>
        <v>-2029.2918779510355</v>
      </c>
      <c r="DX55" s="242">
        <f>-IF(DX$6&gt;=Assumptions!$F$38,Assumptions!$L27/12*(1+Assumptions!$K$32)^ROUNDDOWN(YEARFRAC(DX$6,Assumptions!$F$38),0),0)</f>
        <v>-2029.2918779510355</v>
      </c>
      <c r="DY55" s="242">
        <f>-IF(DY$6&gt;=Assumptions!$F$38,Assumptions!$L27/12*(1+Assumptions!$K$32)^ROUNDDOWN(YEARFRAC(DY$6,Assumptions!$F$38),0),0)</f>
        <v>-2029.2918779510355</v>
      </c>
      <c r="DZ55" s="242">
        <f>-IF(DZ$6&gt;=Assumptions!$F$38,Assumptions!$L27/12*(1+Assumptions!$K$32)^ROUNDDOWN(YEARFRAC(DZ$6,Assumptions!$F$38),0),0)</f>
        <v>-2029.2918779510355</v>
      </c>
      <c r="EA55" s="242">
        <f>-IF(EA$6&gt;=Assumptions!$F$38,Assumptions!$L27/12*(1+Assumptions!$K$32)^ROUNDDOWN(YEARFRAC(EA$6,Assumptions!$F$38),0),0)</f>
        <v>-2029.2918779510355</v>
      </c>
      <c r="EB55" s="242">
        <f>-IF(EB$6&gt;=Assumptions!$F$38,Assumptions!$L27/12*(1+Assumptions!$K$32)^ROUNDDOWN(YEARFRAC(EB$6,Assumptions!$F$38),0),0)</f>
        <v>-2029.2918779510355</v>
      </c>
      <c r="EC55" s="242">
        <f>-IF(EC$6&gt;=Assumptions!$F$38,Assumptions!$L27/12*(1+Assumptions!$K$32)^ROUNDDOWN(YEARFRAC(EC$6,Assumptions!$F$38),0),0)</f>
        <v>-2029.2918779510355</v>
      </c>
      <c r="ED55" s="242">
        <f>-IF(ED$6&gt;=Assumptions!$F$38,Assumptions!$L27/12*(1+Assumptions!$K$32)^ROUNDDOWN(YEARFRAC(ED$6,Assumptions!$F$38),0),0)</f>
        <v>-2029.2918779510355</v>
      </c>
      <c r="EE55" s="242">
        <f>-IF(EE$6&gt;=Assumptions!$F$38,Assumptions!$L27/12*(1+Assumptions!$K$32)^ROUNDDOWN(YEARFRAC(EE$6,Assumptions!$F$38),0),0)</f>
        <v>-2029.2918779510355</v>
      </c>
      <c r="EF55" s="242">
        <f>-IF(EF$6&gt;=Assumptions!$F$38,Assumptions!$L27/12*(1+Assumptions!$K$32)^ROUNDDOWN(YEARFRAC(EF$6,Assumptions!$F$38),0),0)</f>
        <v>-2029.2918779510355</v>
      </c>
      <c r="EG55" s="242">
        <f>-IF(EG$6&gt;=Assumptions!$F$38,Assumptions!$L27/12*(1+Assumptions!$K$32)^ROUNDDOWN(YEARFRAC(EG$6,Assumptions!$F$38),0),0)</f>
        <v>-2090.1706342895664</v>
      </c>
      <c r="EH55" s="242">
        <f>-IF(EH$6&gt;=Assumptions!$F$38,Assumptions!$L27/12*(1+Assumptions!$K$32)^ROUNDDOWN(YEARFRAC(EH$6,Assumptions!$F$38),0),0)</f>
        <v>-2090.1706342895664</v>
      </c>
      <c r="EI55" s="242">
        <f>-IF(EI$6&gt;=Assumptions!$F$38,Assumptions!$L27/12*(1+Assumptions!$K$32)^ROUNDDOWN(YEARFRAC(EI$6,Assumptions!$F$38),0),0)</f>
        <v>-2090.1706342895664</v>
      </c>
      <c r="EJ55" s="242">
        <f>-IF(EJ$6&gt;=Assumptions!$F$38,Assumptions!$L27/12*(1+Assumptions!$K$32)^ROUNDDOWN(YEARFRAC(EJ$6,Assumptions!$F$38),0),0)</f>
        <v>-2090.1706342895664</v>
      </c>
      <c r="EK55" s="242">
        <f>-IF(EK$6&gt;=Assumptions!$F$38,Assumptions!$L27/12*(1+Assumptions!$K$32)^ROUNDDOWN(YEARFRAC(EK$6,Assumptions!$F$38),0),0)</f>
        <v>-2090.1706342895664</v>
      </c>
      <c r="EL55" s="242">
        <f>-IF(EL$6&gt;=Assumptions!$F$38,Assumptions!$L27/12*(1+Assumptions!$K$32)^ROUNDDOWN(YEARFRAC(EL$6,Assumptions!$F$38),0),0)</f>
        <v>-2090.1706342895664</v>
      </c>
      <c r="EM55" s="242">
        <f>-IF(EM$6&gt;=Assumptions!$F$38,Assumptions!$L27/12*(1+Assumptions!$K$32)^ROUNDDOWN(YEARFRAC(EM$6,Assumptions!$F$38),0),0)</f>
        <v>-2090.1706342895664</v>
      </c>
      <c r="EN55" s="242">
        <f>-IF(EN$6&gt;=Assumptions!$F$38,Assumptions!$L27/12*(1+Assumptions!$K$32)^ROUNDDOWN(YEARFRAC(EN$6,Assumptions!$F$38),0),0)</f>
        <v>-2090.1706342895664</v>
      </c>
      <c r="EO55" s="242">
        <f>-IF(EO$6&gt;=Assumptions!$F$38,Assumptions!$L27/12*(1+Assumptions!$K$32)^ROUNDDOWN(YEARFRAC(EO$6,Assumptions!$F$38),0),0)</f>
        <v>-2090.1706342895664</v>
      </c>
      <c r="EP55" s="242">
        <f>-IF(EP$6&gt;=Assumptions!$F$38,Assumptions!$L27/12*(1+Assumptions!$K$32)^ROUNDDOWN(YEARFRAC(EP$6,Assumptions!$F$38),0),0)</f>
        <v>-2090.1706342895664</v>
      </c>
      <c r="EQ55" s="242">
        <f>-IF(EQ$6&gt;=Assumptions!$F$38,Assumptions!$L27/12*(1+Assumptions!$K$32)^ROUNDDOWN(YEARFRAC(EQ$6,Assumptions!$F$38),0),0)</f>
        <v>-2090.1706342895664</v>
      </c>
      <c r="ER55" s="242">
        <f>-IF(ER$6&gt;=Assumptions!$F$38,Assumptions!$L27/12*(1+Assumptions!$K$32)^ROUNDDOWN(YEARFRAC(ER$6,Assumptions!$F$38),0),0)</f>
        <v>-2090.1706342895664</v>
      </c>
      <c r="ES55" s="242">
        <f>-IF(ES$6&gt;=Assumptions!$F$38,Assumptions!$L27/12*(1+Assumptions!$K$32)^ROUNDDOWN(YEARFRAC(ES$6,Assumptions!$F$38),0),0)</f>
        <v>-2152.8757533182534</v>
      </c>
      <c r="ET55" s="242">
        <f>-IF(ET$6&gt;=Assumptions!$F$38,Assumptions!$L27/12*(1+Assumptions!$K$32)^ROUNDDOWN(YEARFRAC(ET$6,Assumptions!$F$38),0),0)</f>
        <v>-2152.8757533182534</v>
      </c>
    </row>
    <row r="56" spans="2:150" x14ac:dyDescent="0.2">
      <c r="B56" t="s">
        <v>75</v>
      </c>
      <c r="D56" s="242">
        <f t="shared" si="510"/>
        <v>0</v>
      </c>
      <c r="F56" s="242">
        <f>-IF(F$6&gt;=Assumptions!$F$38,Assumptions!$L28/12*(1+Assumptions!$K$32)^ROUNDDOWN(YEARFRAC(F$6,Assumptions!$F$38),0),0)</f>
        <v>0</v>
      </c>
      <c r="G56" s="242">
        <f>-IF(G$6&gt;=Assumptions!$F$38,Assumptions!$L28/12*(1+Assumptions!$K$32)^ROUNDDOWN(YEARFRAC(G$6,Assumptions!$F$38),0),0)</f>
        <v>0</v>
      </c>
      <c r="H56" s="242">
        <f>-IF(H$6&gt;=Assumptions!$F$38,Assumptions!$L28/12*(1+Assumptions!$K$32)^ROUNDDOWN(YEARFRAC(H$6,Assumptions!$F$38),0),0)</f>
        <v>0</v>
      </c>
      <c r="I56" s="242">
        <f>-IF(I$6&gt;=Assumptions!$F$38,Assumptions!$L28/12*(1+Assumptions!$K$32)^ROUNDDOWN(YEARFRAC(I$6,Assumptions!$F$38),0),0)</f>
        <v>0</v>
      </c>
      <c r="J56" s="242">
        <f>-IF(J$6&gt;=Assumptions!$F$38,Assumptions!$L28/12*(1+Assumptions!$K$32)^ROUNDDOWN(YEARFRAC(J$6,Assumptions!$F$38),0),0)</f>
        <v>0</v>
      </c>
      <c r="K56" s="242">
        <f>-IF(K$6&gt;=Assumptions!$F$38,Assumptions!$L28/12*(1+Assumptions!$K$32)^ROUNDDOWN(YEARFRAC(K$6,Assumptions!$F$38),0),0)</f>
        <v>0</v>
      </c>
      <c r="L56" s="242">
        <f>-IF(L$6&gt;=Assumptions!$F$38,Assumptions!$L28/12*(1+Assumptions!$K$32)^ROUNDDOWN(YEARFRAC(L$6,Assumptions!$F$38),0),0)</f>
        <v>0</v>
      </c>
      <c r="M56" s="242">
        <f>-IF(M$6&gt;=Assumptions!$F$38,Assumptions!$L28/12*(1+Assumptions!$K$32)^ROUNDDOWN(YEARFRAC(M$6,Assumptions!$F$38),0),0)</f>
        <v>0</v>
      </c>
      <c r="N56" s="242">
        <f>-IF(N$6&gt;=Assumptions!$F$38,Assumptions!$L28/12*(1+Assumptions!$K$32)^ROUNDDOWN(YEARFRAC(N$6,Assumptions!$F$38),0),0)</f>
        <v>0</v>
      </c>
      <c r="O56" s="242">
        <f>-IF(O$6&gt;=Assumptions!$F$38,Assumptions!$L28/12*(1+Assumptions!$K$32)^ROUNDDOWN(YEARFRAC(O$6,Assumptions!$F$38),0),0)</f>
        <v>0</v>
      </c>
      <c r="P56" s="242">
        <f>-IF(P$6&gt;=Assumptions!$F$38,Assumptions!$L28/12*(1+Assumptions!$K$32)^ROUNDDOWN(YEARFRAC(P$6,Assumptions!$F$38),0),0)</f>
        <v>0</v>
      </c>
      <c r="Q56" s="242">
        <f>-IF(Q$6&gt;=Assumptions!$F$38,Assumptions!$L28/12*(1+Assumptions!$K$32)^ROUNDDOWN(YEARFRAC(Q$6,Assumptions!$F$38),0),0)</f>
        <v>0</v>
      </c>
      <c r="R56" s="242">
        <f>-IF(R$6&gt;=Assumptions!$F$38,Assumptions!$L28/12*(1+Assumptions!$K$32)^ROUNDDOWN(YEARFRAC(R$6,Assumptions!$F$38),0),0)</f>
        <v>0</v>
      </c>
      <c r="S56" s="242">
        <f>-IF(S$6&gt;=Assumptions!$F$38,Assumptions!$L28/12*(1+Assumptions!$K$32)^ROUNDDOWN(YEARFRAC(S$6,Assumptions!$F$38),0),0)</f>
        <v>0</v>
      </c>
      <c r="T56" s="242">
        <f>-IF(T$6&gt;=Assumptions!$F$38,Assumptions!$L28/12*(1+Assumptions!$K$32)^ROUNDDOWN(YEARFRAC(T$6,Assumptions!$F$38),0),0)</f>
        <v>0</v>
      </c>
      <c r="U56" s="242">
        <f>-IF(U$6&gt;=Assumptions!$F$38,Assumptions!$L28/12*(1+Assumptions!$K$32)^ROUNDDOWN(YEARFRAC(U$6,Assumptions!$F$38),0),0)</f>
        <v>0</v>
      </c>
      <c r="V56" s="242">
        <f>-IF(V$6&gt;=Assumptions!$F$38,Assumptions!$L28/12*(1+Assumptions!$K$32)^ROUNDDOWN(YEARFRAC(V$6,Assumptions!$F$38),0),0)</f>
        <v>0</v>
      </c>
      <c r="W56" s="242">
        <f>-IF(W$6&gt;=Assumptions!$F$38,Assumptions!$L28/12*(1+Assumptions!$K$32)^ROUNDDOWN(YEARFRAC(W$6,Assumptions!$F$38),0),0)</f>
        <v>0</v>
      </c>
      <c r="X56" s="242">
        <f>-IF(X$6&gt;=Assumptions!$F$38,Assumptions!$L28/12*(1+Assumptions!$K$32)^ROUNDDOWN(YEARFRAC(X$6,Assumptions!$F$38),0),0)</f>
        <v>0</v>
      </c>
      <c r="Y56" s="242">
        <f>-IF(Y$6&gt;=Assumptions!$F$38,Assumptions!$L28/12*(1+Assumptions!$K$32)^ROUNDDOWN(YEARFRAC(Y$6,Assumptions!$F$38),0),0)</f>
        <v>0</v>
      </c>
      <c r="Z56" s="242">
        <f>-IF(Z$6&gt;=Assumptions!$F$38,Assumptions!$L28/12*(1+Assumptions!$K$32)^ROUNDDOWN(YEARFRAC(Z$6,Assumptions!$F$38),0),0)</f>
        <v>0</v>
      </c>
      <c r="AA56" s="242">
        <f>-IF(AA$6&gt;=Assumptions!$F$38,Assumptions!$L28/12*(1+Assumptions!$K$32)^ROUNDDOWN(YEARFRAC(AA$6,Assumptions!$F$38),0),0)</f>
        <v>0</v>
      </c>
      <c r="AB56" s="242">
        <f>-IF(AB$6&gt;=Assumptions!$F$38,Assumptions!$L28/12*(1+Assumptions!$K$32)^ROUNDDOWN(YEARFRAC(AB$6,Assumptions!$F$38),0),0)</f>
        <v>0</v>
      </c>
      <c r="AC56" s="242">
        <f>-IF(AC$6&gt;=Assumptions!$F$38,Assumptions!$L28/12*(1+Assumptions!$K$32)^ROUNDDOWN(YEARFRAC(AC$6,Assumptions!$F$38),0),0)</f>
        <v>0</v>
      </c>
      <c r="AD56" s="242">
        <f>-IF(AD$6&gt;=Assumptions!$F$38,Assumptions!$L28/12*(1+Assumptions!$K$32)^ROUNDDOWN(YEARFRAC(AD$6,Assumptions!$F$38),0),0)</f>
        <v>0</v>
      </c>
      <c r="AE56" s="242">
        <f>-IF(AE$6&gt;=Assumptions!$F$38,Assumptions!$L28/12*(1+Assumptions!$K$32)^ROUNDDOWN(YEARFRAC(AE$6,Assumptions!$F$38),0),0)</f>
        <v>0</v>
      </c>
      <c r="AF56" s="242">
        <f>-IF(AF$6&gt;=Assumptions!$F$38,Assumptions!$L28/12*(1+Assumptions!$K$32)^ROUNDDOWN(YEARFRAC(AF$6,Assumptions!$F$38),0),0)</f>
        <v>0</v>
      </c>
      <c r="AG56" s="242">
        <f>-IF(AG$6&gt;=Assumptions!$F$38,Assumptions!$L28/12*(1+Assumptions!$K$32)^ROUNDDOWN(YEARFRAC(AG$6,Assumptions!$F$38),0),0)</f>
        <v>0</v>
      </c>
      <c r="AH56" s="242">
        <f>-IF(AH$6&gt;=Assumptions!$F$38,Assumptions!$L28/12*(1+Assumptions!$K$32)^ROUNDDOWN(YEARFRAC(AH$6,Assumptions!$F$38),0),0)</f>
        <v>0</v>
      </c>
      <c r="AI56" s="242">
        <f>-IF(AI$6&gt;=Assumptions!$F$38,Assumptions!$L28/12*(1+Assumptions!$K$32)^ROUNDDOWN(YEARFRAC(AI$6,Assumptions!$F$38),0),0)</f>
        <v>0</v>
      </c>
      <c r="AJ56" s="242">
        <f>-IF(AJ$6&gt;=Assumptions!$F$38,Assumptions!$L28/12*(1+Assumptions!$K$32)^ROUNDDOWN(YEARFRAC(AJ$6,Assumptions!$F$38),0),0)</f>
        <v>0</v>
      </c>
      <c r="AK56" s="242">
        <f>-IF(AK$6&gt;=Assumptions!$F$38,Assumptions!$L28/12*(1+Assumptions!$K$32)^ROUNDDOWN(YEARFRAC(AK$6,Assumptions!$F$38),0),0)</f>
        <v>0</v>
      </c>
      <c r="AL56" s="242">
        <f>-IF(AL$6&gt;=Assumptions!$F$38,Assumptions!$L28/12*(1+Assumptions!$K$32)^ROUNDDOWN(YEARFRAC(AL$6,Assumptions!$F$38),0),0)</f>
        <v>0</v>
      </c>
      <c r="AM56" s="242">
        <f>-IF(AM$6&gt;=Assumptions!$F$38,Assumptions!$L28/12*(1+Assumptions!$K$32)^ROUNDDOWN(YEARFRAC(AM$6,Assumptions!$F$38),0),0)</f>
        <v>0</v>
      </c>
      <c r="AN56" s="242">
        <f>-IF(AN$6&gt;=Assumptions!$F$38,Assumptions!$L28/12*(1+Assumptions!$K$32)^ROUNDDOWN(YEARFRAC(AN$6,Assumptions!$F$38),0),0)</f>
        <v>0</v>
      </c>
      <c r="AO56" s="242">
        <f>-IF(AO$6&gt;=Assumptions!$F$38,Assumptions!$L28/12*(1+Assumptions!$K$32)^ROUNDDOWN(YEARFRAC(AO$6,Assumptions!$F$38),0),0)</f>
        <v>0</v>
      </c>
      <c r="AP56" s="242">
        <f>-IF(AP$6&gt;=Assumptions!$F$38,Assumptions!$L28/12*(1+Assumptions!$K$32)^ROUNDDOWN(YEARFRAC(AP$6,Assumptions!$F$38),0),0)</f>
        <v>0</v>
      </c>
      <c r="AQ56" s="242">
        <f>-IF(AQ$6&gt;=Assumptions!$F$38,Assumptions!$L28/12*(1+Assumptions!$K$32)^ROUNDDOWN(YEARFRAC(AQ$6,Assumptions!$F$38),0),0)</f>
        <v>0</v>
      </c>
      <c r="AR56" s="242">
        <f>-IF(AR$6&gt;=Assumptions!$F$38,Assumptions!$L28/12*(1+Assumptions!$K$32)^ROUNDDOWN(YEARFRAC(AR$6,Assumptions!$F$38),0),0)</f>
        <v>0</v>
      </c>
      <c r="AS56" s="242">
        <f>-IF(AS$6&gt;=Assumptions!$F$38,Assumptions!$L28/12*(1+Assumptions!$K$32)^ROUNDDOWN(YEARFRAC(AS$6,Assumptions!$F$38),0),0)</f>
        <v>0</v>
      </c>
      <c r="AT56" s="242">
        <f>-IF(AT$6&gt;=Assumptions!$F$38,Assumptions!$L28/12*(1+Assumptions!$K$32)^ROUNDDOWN(YEARFRAC(AT$6,Assumptions!$F$38),0),0)</f>
        <v>0</v>
      </c>
      <c r="AU56" s="242">
        <f>-IF(AU$6&gt;=Assumptions!$F$38,Assumptions!$L28/12*(1+Assumptions!$K$32)^ROUNDDOWN(YEARFRAC(AU$6,Assumptions!$F$38),0),0)</f>
        <v>0</v>
      </c>
      <c r="AV56" s="242">
        <f>-IF(AV$6&gt;=Assumptions!$F$38,Assumptions!$L28/12*(1+Assumptions!$K$32)^ROUNDDOWN(YEARFRAC(AV$6,Assumptions!$F$38),0),0)</f>
        <v>0</v>
      </c>
      <c r="AW56" s="242">
        <f>-IF(AW$6&gt;=Assumptions!$F$38,Assumptions!$L28/12*(1+Assumptions!$K$32)^ROUNDDOWN(YEARFRAC(AW$6,Assumptions!$F$38),0),0)</f>
        <v>0</v>
      </c>
      <c r="AX56" s="242">
        <f>-IF(AX$6&gt;=Assumptions!$F$38,Assumptions!$L28/12*(1+Assumptions!$K$32)^ROUNDDOWN(YEARFRAC(AX$6,Assumptions!$F$38),0),0)</f>
        <v>0</v>
      </c>
      <c r="AY56" s="242">
        <f>-IF(AY$6&gt;=Assumptions!$F$38,Assumptions!$L28/12*(1+Assumptions!$K$32)^ROUNDDOWN(YEARFRAC(AY$6,Assumptions!$F$38),0),0)</f>
        <v>0</v>
      </c>
      <c r="AZ56" s="242">
        <f>-IF(AZ$6&gt;=Assumptions!$F$38,Assumptions!$L28/12*(1+Assumptions!$K$32)^ROUNDDOWN(YEARFRAC(AZ$6,Assumptions!$F$38),0),0)</f>
        <v>0</v>
      </c>
      <c r="BA56" s="242">
        <f>-IF(BA$6&gt;=Assumptions!$F$38,Assumptions!$L28/12*(1+Assumptions!$K$32)^ROUNDDOWN(YEARFRAC(BA$6,Assumptions!$F$38),0),0)</f>
        <v>0</v>
      </c>
      <c r="BB56" s="242">
        <f>-IF(BB$6&gt;=Assumptions!$F$38,Assumptions!$L28/12*(1+Assumptions!$K$32)^ROUNDDOWN(YEARFRAC(BB$6,Assumptions!$F$38),0),0)</f>
        <v>0</v>
      </c>
      <c r="BC56" s="242">
        <f>-IF(BC$6&gt;=Assumptions!$F$38,Assumptions!$L28/12*(1+Assumptions!$K$32)^ROUNDDOWN(YEARFRAC(BC$6,Assumptions!$F$38),0),0)</f>
        <v>0</v>
      </c>
      <c r="BD56" s="242">
        <f>-IF(BD$6&gt;=Assumptions!$F$38,Assumptions!$L28/12*(1+Assumptions!$K$32)^ROUNDDOWN(YEARFRAC(BD$6,Assumptions!$F$38),0),0)</f>
        <v>0</v>
      </c>
      <c r="BE56" s="242">
        <f>-IF(BE$6&gt;=Assumptions!$F$38,Assumptions!$L28/12*(1+Assumptions!$K$32)^ROUNDDOWN(YEARFRAC(BE$6,Assumptions!$F$38),0),0)</f>
        <v>0</v>
      </c>
      <c r="BF56" s="242">
        <f>-IF(BF$6&gt;=Assumptions!$F$38,Assumptions!$L28/12*(1+Assumptions!$K$32)^ROUNDDOWN(YEARFRAC(BF$6,Assumptions!$F$38),0),0)</f>
        <v>0</v>
      </c>
      <c r="BG56" s="242">
        <f>-IF(BG$6&gt;=Assumptions!$F$38,Assumptions!$L28/12*(1+Assumptions!$K$32)^ROUNDDOWN(YEARFRAC(BG$6,Assumptions!$F$38),0),0)</f>
        <v>0</v>
      </c>
      <c r="BH56" s="242">
        <f>-IF(BH$6&gt;=Assumptions!$F$38,Assumptions!$L28/12*(1+Assumptions!$K$32)^ROUNDDOWN(YEARFRAC(BH$6,Assumptions!$F$38),0),0)</f>
        <v>0</v>
      </c>
      <c r="BI56" s="242">
        <f>-IF(BI$6&gt;=Assumptions!$F$38,Assumptions!$L28/12*(1+Assumptions!$K$32)^ROUNDDOWN(YEARFRAC(BI$6,Assumptions!$F$38),0),0)</f>
        <v>0</v>
      </c>
      <c r="BJ56" s="242">
        <f>-IF(BJ$6&gt;=Assumptions!$F$38,Assumptions!$L28/12*(1+Assumptions!$K$32)^ROUNDDOWN(YEARFRAC(BJ$6,Assumptions!$F$38),0),0)</f>
        <v>0</v>
      </c>
      <c r="BK56" s="242">
        <f>-IF(BK$6&gt;=Assumptions!$F$38,Assumptions!$L28/12*(1+Assumptions!$K$32)^ROUNDDOWN(YEARFRAC(BK$6,Assumptions!$F$38),0),0)</f>
        <v>0</v>
      </c>
      <c r="BL56" s="242">
        <f>-IF(BL$6&gt;=Assumptions!$F$38,Assumptions!$L28/12*(1+Assumptions!$K$32)^ROUNDDOWN(YEARFRAC(BL$6,Assumptions!$F$38),0),0)</f>
        <v>0</v>
      </c>
      <c r="BM56" s="242">
        <f>-IF(BM$6&gt;=Assumptions!$F$38,Assumptions!$L28/12*(1+Assumptions!$K$32)^ROUNDDOWN(YEARFRAC(BM$6,Assumptions!$F$38),0),0)</f>
        <v>0</v>
      </c>
      <c r="BN56" s="242">
        <f>-IF(BN$6&gt;=Assumptions!$F$38,Assumptions!$L28/12*(1+Assumptions!$K$32)^ROUNDDOWN(YEARFRAC(BN$6,Assumptions!$F$38),0),0)</f>
        <v>0</v>
      </c>
      <c r="BO56" s="242">
        <f>-IF(BO$6&gt;=Assumptions!$F$38,Assumptions!$L28/12*(1+Assumptions!$K$32)^ROUNDDOWN(YEARFRAC(BO$6,Assumptions!$F$38),0),0)</f>
        <v>0</v>
      </c>
      <c r="BP56" s="242">
        <f>-IF(BP$6&gt;=Assumptions!$F$38,Assumptions!$L28/12*(1+Assumptions!$K$32)^ROUNDDOWN(YEARFRAC(BP$6,Assumptions!$F$38),0),0)</f>
        <v>0</v>
      </c>
      <c r="BQ56" s="242">
        <f>-IF(BQ$6&gt;=Assumptions!$F$38,Assumptions!$L28/12*(1+Assumptions!$K$32)^ROUNDDOWN(YEARFRAC(BQ$6,Assumptions!$F$38),0),0)</f>
        <v>0</v>
      </c>
      <c r="BR56" s="242">
        <f>-IF(BR$6&gt;=Assumptions!$F$38,Assumptions!$L28/12*(1+Assumptions!$K$32)^ROUNDDOWN(YEARFRAC(BR$6,Assumptions!$F$38),0),0)</f>
        <v>0</v>
      </c>
      <c r="BS56" s="242">
        <f>-IF(BS$6&gt;=Assumptions!$F$38,Assumptions!$L28/12*(1+Assumptions!$K$32)^ROUNDDOWN(YEARFRAC(BS$6,Assumptions!$F$38),0),0)</f>
        <v>0</v>
      </c>
      <c r="BT56" s="242">
        <f>-IF(BT$6&gt;=Assumptions!$F$38,Assumptions!$L28/12*(1+Assumptions!$K$32)^ROUNDDOWN(YEARFRAC(BT$6,Assumptions!$F$38),0),0)</f>
        <v>0</v>
      </c>
      <c r="BU56" s="242">
        <f>-IF(BU$6&gt;=Assumptions!$F$38,Assumptions!$L28/12*(1+Assumptions!$K$32)^ROUNDDOWN(YEARFRAC(BU$6,Assumptions!$F$38),0),0)</f>
        <v>0</v>
      </c>
      <c r="BV56" s="242">
        <f>-IF(BV$6&gt;=Assumptions!$F$38,Assumptions!$L28/12*(1+Assumptions!$K$32)^ROUNDDOWN(YEARFRAC(BV$6,Assumptions!$F$38),0),0)</f>
        <v>0</v>
      </c>
      <c r="BW56" s="242">
        <f>-IF(BW$6&gt;=Assumptions!$F$38,Assumptions!$L28/12*(1+Assumptions!$K$32)^ROUNDDOWN(YEARFRAC(BW$6,Assumptions!$F$38),0),0)</f>
        <v>0</v>
      </c>
      <c r="BX56" s="242">
        <f>-IF(BX$6&gt;=Assumptions!$F$38,Assumptions!$L28/12*(1+Assumptions!$K$32)^ROUNDDOWN(YEARFRAC(BX$6,Assumptions!$F$38),0),0)</f>
        <v>0</v>
      </c>
      <c r="BY56" s="242">
        <f>-IF(BY$6&gt;=Assumptions!$F$38,Assumptions!$L28/12*(1+Assumptions!$K$32)^ROUNDDOWN(YEARFRAC(BY$6,Assumptions!$F$38),0),0)</f>
        <v>0</v>
      </c>
      <c r="BZ56" s="242">
        <f>-IF(BZ$6&gt;=Assumptions!$F$38,Assumptions!$L28/12*(1+Assumptions!$K$32)^ROUNDDOWN(YEARFRAC(BZ$6,Assumptions!$F$38),0),0)</f>
        <v>0</v>
      </c>
      <c r="CA56" s="242">
        <f>-IF(CA$6&gt;=Assumptions!$F$38,Assumptions!$L28/12*(1+Assumptions!$K$32)^ROUNDDOWN(YEARFRAC(CA$6,Assumptions!$F$38),0),0)</f>
        <v>0</v>
      </c>
      <c r="CB56" s="242">
        <f>-IF(CB$6&gt;=Assumptions!$F$38,Assumptions!$L28/12*(1+Assumptions!$K$32)^ROUNDDOWN(YEARFRAC(CB$6,Assumptions!$F$38),0),0)</f>
        <v>0</v>
      </c>
      <c r="CC56" s="242">
        <f>-IF(CC$6&gt;=Assumptions!$F$38,Assumptions!$L28/12*(1+Assumptions!$K$32)^ROUNDDOWN(YEARFRAC(CC$6,Assumptions!$F$38),0),0)</f>
        <v>0</v>
      </c>
      <c r="CD56" s="242">
        <f>-IF(CD$6&gt;=Assumptions!$F$38,Assumptions!$L28/12*(1+Assumptions!$K$32)^ROUNDDOWN(YEARFRAC(CD$6,Assumptions!$F$38),0),0)</f>
        <v>0</v>
      </c>
      <c r="CE56" s="242">
        <f>-IF(CE$6&gt;=Assumptions!$F$38,Assumptions!$L28/12*(1+Assumptions!$K$32)^ROUNDDOWN(YEARFRAC(CE$6,Assumptions!$F$38),0),0)</f>
        <v>0</v>
      </c>
      <c r="CF56" s="242">
        <f>-IF(CF$6&gt;=Assumptions!$F$38,Assumptions!$L28/12*(1+Assumptions!$K$32)^ROUNDDOWN(YEARFRAC(CF$6,Assumptions!$F$38),0),0)</f>
        <v>0</v>
      </c>
      <c r="CG56" s="242">
        <f>-IF(CG$6&gt;=Assumptions!$F$38,Assumptions!$L28/12*(1+Assumptions!$K$32)^ROUNDDOWN(YEARFRAC(CG$6,Assumptions!$F$38),0),0)</f>
        <v>0</v>
      </c>
      <c r="CH56" s="242">
        <f>-IF(CH$6&gt;=Assumptions!$F$38,Assumptions!$L28/12*(1+Assumptions!$K$32)^ROUNDDOWN(YEARFRAC(CH$6,Assumptions!$F$38),0),0)</f>
        <v>0</v>
      </c>
      <c r="CI56" s="242">
        <f>-IF(CI$6&gt;=Assumptions!$F$38,Assumptions!$L28/12*(1+Assumptions!$K$32)^ROUNDDOWN(YEARFRAC(CI$6,Assumptions!$F$38),0),0)</f>
        <v>0</v>
      </c>
      <c r="CJ56" s="242">
        <f>-IF(CJ$6&gt;=Assumptions!$F$38,Assumptions!$L28/12*(1+Assumptions!$K$32)^ROUNDDOWN(YEARFRAC(CJ$6,Assumptions!$F$38),0),0)</f>
        <v>0</v>
      </c>
      <c r="CK56" s="242">
        <f>-IF(CK$6&gt;=Assumptions!$F$38,Assumptions!$L28/12*(1+Assumptions!$K$32)^ROUNDDOWN(YEARFRAC(CK$6,Assumptions!$F$38),0),0)</f>
        <v>0</v>
      </c>
      <c r="CL56" s="242">
        <f>-IF(CL$6&gt;=Assumptions!$F$38,Assumptions!$L28/12*(1+Assumptions!$K$32)^ROUNDDOWN(YEARFRAC(CL$6,Assumptions!$F$38),0),0)</f>
        <v>0</v>
      </c>
      <c r="CM56" s="242">
        <f>-IF(CM$6&gt;=Assumptions!$F$38,Assumptions!$L28/12*(1+Assumptions!$K$32)^ROUNDDOWN(YEARFRAC(CM$6,Assumptions!$F$38),0),0)</f>
        <v>0</v>
      </c>
      <c r="CN56" s="242">
        <f>-IF(CN$6&gt;=Assumptions!$F$38,Assumptions!$L28/12*(1+Assumptions!$K$32)^ROUNDDOWN(YEARFRAC(CN$6,Assumptions!$F$38),0),0)</f>
        <v>0</v>
      </c>
      <c r="CO56" s="242">
        <f>-IF(CO$6&gt;=Assumptions!$F$38,Assumptions!$L28/12*(1+Assumptions!$K$32)^ROUNDDOWN(YEARFRAC(CO$6,Assumptions!$F$38),0),0)</f>
        <v>0</v>
      </c>
      <c r="CP56" s="242">
        <f>-IF(CP$6&gt;=Assumptions!$F$38,Assumptions!$L28/12*(1+Assumptions!$K$32)^ROUNDDOWN(YEARFRAC(CP$6,Assumptions!$F$38),0),0)</f>
        <v>0</v>
      </c>
      <c r="CQ56" s="242">
        <f>-IF(CQ$6&gt;=Assumptions!$F$38,Assumptions!$L28/12*(1+Assumptions!$K$32)^ROUNDDOWN(YEARFRAC(CQ$6,Assumptions!$F$38),0),0)</f>
        <v>0</v>
      </c>
      <c r="CR56" s="242">
        <f>-IF(CR$6&gt;=Assumptions!$F$38,Assumptions!$L28/12*(1+Assumptions!$K$32)^ROUNDDOWN(YEARFRAC(CR$6,Assumptions!$F$38),0),0)</f>
        <v>0</v>
      </c>
      <c r="CS56" s="242">
        <f>-IF(CS$6&gt;=Assumptions!$F$38,Assumptions!$L28/12*(1+Assumptions!$K$32)^ROUNDDOWN(YEARFRAC(CS$6,Assumptions!$F$38),0),0)</f>
        <v>0</v>
      </c>
      <c r="CT56" s="242">
        <f>-IF(CT$6&gt;=Assumptions!$F$38,Assumptions!$L28/12*(1+Assumptions!$K$32)^ROUNDDOWN(YEARFRAC(CT$6,Assumptions!$F$38),0),0)</f>
        <v>0</v>
      </c>
      <c r="CU56" s="242">
        <f>-IF(CU$6&gt;=Assumptions!$F$38,Assumptions!$L28/12*(1+Assumptions!$K$32)^ROUNDDOWN(YEARFRAC(CU$6,Assumptions!$F$38),0),0)</f>
        <v>0</v>
      </c>
      <c r="CV56" s="242">
        <f>-IF(CV$6&gt;=Assumptions!$F$38,Assumptions!$L28/12*(1+Assumptions!$K$32)^ROUNDDOWN(YEARFRAC(CV$6,Assumptions!$F$38),0),0)</f>
        <v>0</v>
      </c>
      <c r="CW56" s="242">
        <f>-IF(CW$6&gt;=Assumptions!$F$38,Assumptions!$L28/12*(1+Assumptions!$K$32)^ROUNDDOWN(YEARFRAC(CW$6,Assumptions!$F$38),0),0)</f>
        <v>0</v>
      </c>
      <c r="CX56" s="242">
        <f>-IF(CX$6&gt;=Assumptions!$F$38,Assumptions!$L28/12*(1+Assumptions!$K$32)^ROUNDDOWN(YEARFRAC(CX$6,Assumptions!$F$38),0),0)</f>
        <v>0</v>
      </c>
      <c r="CY56" s="242">
        <f>-IF(CY$6&gt;=Assumptions!$F$38,Assumptions!$L28/12*(1+Assumptions!$K$32)^ROUNDDOWN(YEARFRAC(CY$6,Assumptions!$F$38),0),0)</f>
        <v>0</v>
      </c>
      <c r="CZ56" s="242">
        <f>-IF(CZ$6&gt;=Assumptions!$F$38,Assumptions!$L28/12*(1+Assumptions!$K$32)^ROUNDDOWN(YEARFRAC(CZ$6,Assumptions!$F$38),0),0)</f>
        <v>0</v>
      </c>
      <c r="DA56" s="242">
        <f>-IF(DA$6&gt;=Assumptions!$F$38,Assumptions!$L28/12*(1+Assumptions!$K$32)^ROUNDDOWN(YEARFRAC(DA$6,Assumptions!$F$38),0),0)</f>
        <v>0</v>
      </c>
      <c r="DB56" s="242">
        <f>-IF(DB$6&gt;=Assumptions!$F$38,Assumptions!$L28/12*(1+Assumptions!$K$32)^ROUNDDOWN(YEARFRAC(DB$6,Assumptions!$F$38),0),0)</f>
        <v>0</v>
      </c>
      <c r="DC56" s="242">
        <f>-IF(DC$6&gt;=Assumptions!$F$38,Assumptions!$L28/12*(1+Assumptions!$K$32)^ROUNDDOWN(YEARFRAC(DC$6,Assumptions!$F$38),0),0)</f>
        <v>0</v>
      </c>
      <c r="DD56" s="242">
        <f>-IF(DD$6&gt;=Assumptions!$F$38,Assumptions!$L28/12*(1+Assumptions!$K$32)^ROUNDDOWN(YEARFRAC(DD$6,Assumptions!$F$38),0),0)</f>
        <v>0</v>
      </c>
      <c r="DE56" s="242">
        <f>-IF(DE$6&gt;=Assumptions!$F$38,Assumptions!$L28/12*(1+Assumptions!$K$32)^ROUNDDOWN(YEARFRAC(DE$6,Assumptions!$F$38),0),0)</f>
        <v>0</v>
      </c>
      <c r="DF56" s="242">
        <f>-IF(DF$6&gt;=Assumptions!$F$38,Assumptions!$L28/12*(1+Assumptions!$K$32)^ROUNDDOWN(YEARFRAC(DF$6,Assumptions!$F$38),0),0)</f>
        <v>0</v>
      </c>
      <c r="DG56" s="242">
        <f>-IF(DG$6&gt;=Assumptions!$F$38,Assumptions!$L28/12*(1+Assumptions!$K$32)^ROUNDDOWN(YEARFRAC(DG$6,Assumptions!$F$38),0),0)</f>
        <v>0</v>
      </c>
      <c r="DH56" s="242">
        <f>-IF(DH$6&gt;=Assumptions!$F$38,Assumptions!$L28/12*(1+Assumptions!$K$32)^ROUNDDOWN(YEARFRAC(DH$6,Assumptions!$F$38),0),0)</f>
        <v>0</v>
      </c>
      <c r="DI56" s="242">
        <f>-IF(DI$6&gt;=Assumptions!$F$38,Assumptions!$L28/12*(1+Assumptions!$K$32)^ROUNDDOWN(YEARFRAC(DI$6,Assumptions!$F$38),0),0)</f>
        <v>0</v>
      </c>
      <c r="DJ56" s="242">
        <f>-IF(DJ$6&gt;=Assumptions!$F$38,Assumptions!$L28/12*(1+Assumptions!$K$32)^ROUNDDOWN(YEARFRAC(DJ$6,Assumptions!$F$38),0),0)</f>
        <v>0</v>
      </c>
      <c r="DK56" s="242">
        <f>-IF(DK$6&gt;=Assumptions!$F$38,Assumptions!$L28/12*(1+Assumptions!$K$32)^ROUNDDOWN(YEARFRAC(DK$6,Assumptions!$F$38),0),0)</f>
        <v>0</v>
      </c>
      <c r="DL56" s="242">
        <f>-IF(DL$6&gt;=Assumptions!$F$38,Assumptions!$L28/12*(1+Assumptions!$K$32)^ROUNDDOWN(YEARFRAC(DL$6,Assumptions!$F$38),0),0)</f>
        <v>0</v>
      </c>
      <c r="DM56" s="242">
        <f>-IF(DM$6&gt;=Assumptions!$F$38,Assumptions!$L28/12*(1+Assumptions!$K$32)^ROUNDDOWN(YEARFRAC(DM$6,Assumptions!$F$38),0),0)</f>
        <v>0</v>
      </c>
      <c r="DN56" s="242">
        <f>-IF(DN$6&gt;=Assumptions!$F$38,Assumptions!$L28/12*(1+Assumptions!$K$32)^ROUNDDOWN(YEARFRAC(DN$6,Assumptions!$F$38),0),0)</f>
        <v>0</v>
      </c>
      <c r="DO56" s="242">
        <f>-IF(DO$6&gt;=Assumptions!$F$38,Assumptions!$L28/12*(1+Assumptions!$K$32)^ROUNDDOWN(YEARFRAC(DO$6,Assumptions!$F$38),0),0)</f>
        <v>0</v>
      </c>
      <c r="DP56" s="242">
        <f>-IF(DP$6&gt;=Assumptions!$F$38,Assumptions!$L28/12*(1+Assumptions!$K$32)^ROUNDDOWN(YEARFRAC(DP$6,Assumptions!$F$38),0),0)</f>
        <v>0</v>
      </c>
      <c r="DQ56" s="242">
        <f>-IF(DQ$6&gt;=Assumptions!$F$38,Assumptions!$L28/12*(1+Assumptions!$K$32)^ROUNDDOWN(YEARFRAC(DQ$6,Assumptions!$F$38),0),0)</f>
        <v>0</v>
      </c>
      <c r="DR56" s="242">
        <f>-IF(DR$6&gt;=Assumptions!$F$38,Assumptions!$L28/12*(1+Assumptions!$K$32)^ROUNDDOWN(YEARFRAC(DR$6,Assumptions!$F$38),0),0)</f>
        <v>0</v>
      </c>
      <c r="DS56" s="242">
        <f>-IF(DS$6&gt;=Assumptions!$F$38,Assumptions!$L28/12*(1+Assumptions!$K$32)^ROUNDDOWN(YEARFRAC(DS$6,Assumptions!$F$38),0),0)</f>
        <v>0</v>
      </c>
      <c r="DT56" s="242">
        <f>-IF(DT$6&gt;=Assumptions!$F$38,Assumptions!$L28/12*(1+Assumptions!$K$32)^ROUNDDOWN(YEARFRAC(DT$6,Assumptions!$F$38),0),0)</f>
        <v>0</v>
      </c>
      <c r="DU56" s="242">
        <f>-IF(DU$6&gt;=Assumptions!$F$38,Assumptions!$L28/12*(1+Assumptions!$K$32)^ROUNDDOWN(YEARFRAC(DU$6,Assumptions!$F$38),0),0)</f>
        <v>0</v>
      </c>
      <c r="DV56" s="242">
        <f>-IF(DV$6&gt;=Assumptions!$F$38,Assumptions!$L28/12*(1+Assumptions!$K$32)^ROUNDDOWN(YEARFRAC(DV$6,Assumptions!$F$38),0),0)</f>
        <v>0</v>
      </c>
      <c r="DW56" s="242">
        <f>-IF(DW$6&gt;=Assumptions!$F$38,Assumptions!$L28/12*(1+Assumptions!$K$32)^ROUNDDOWN(YEARFRAC(DW$6,Assumptions!$F$38),0),0)</f>
        <v>0</v>
      </c>
      <c r="DX56" s="242">
        <f>-IF(DX$6&gt;=Assumptions!$F$38,Assumptions!$L28/12*(1+Assumptions!$K$32)^ROUNDDOWN(YEARFRAC(DX$6,Assumptions!$F$38),0),0)</f>
        <v>0</v>
      </c>
      <c r="DY56" s="242">
        <f>-IF(DY$6&gt;=Assumptions!$F$38,Assumptions!$L28/12*(1+Assumptions!$K$32)^ROUNDDOWN(YEARFRAC(DY$6,Assumptions!$F$38),0),0)</f>
        <v>0</v>
      </c>
      <c r="DZ56" s="242">
        <f>-IF(DZ$6&gt;=Assumptions!$F$38,Assumptions!$L28/12*(1+Assumptions!$K$32)^ROUNDDOWN(YEARFRAC(DZ$6,Assumptions!$F$38),0),0)</f>
        <v>0</v>
      </c>
      <c r="EA56" s="242">
        <f>-IF(EA$6&gt;=Assumptions!$F$38,Assumptions!$L28/12*(1+Assumptions!$K$32)^ROUNDDOWN(YEARFRAC(EA$6,Assumptions!$F$38),0),0)</f>
        <v>0</v>
      </c>
      <c r="EB56" s="242">
        <f>-IF(EB$6&gt;=Assumptions!$F$38,Assumptions!$L28/12*(1+Assumptions!$K$32)^ROUNDDOWN(YEARFRAC(EB$6,Assumptions!$F$38),0),0)</f>
        <v>0</v>
      </c>
      <c r="EC56" s="242">
        <f>-IF(EC$6&gt;=Assumptions!$F$38,Assumptions!$L28/12*(1+Assumptions!$K$32)^ROUNDDOWN(YEARFRAC(EC$6,Assumptions!$F$38),0),0)</f>
        <v>0</v>
      </c>
      <c r="ED56" s="242">
        <f>-IF(ED$6&gt;=Assumptions!$F$38,Assumptions!$L28/12*(1+Assumptions!$K$32)^ROUNDDOWN(YEARFRAC(ED$6,Assumptions!$F$38),0),0)</f>
        <v>0</v>
      </c>
      <c r="EE56" s="242">
        <f>-IF(EE$6&gt;=Assumptions!$F$38,Assumptions!$L28/12*(1+Assumptions!$K$32)^ROUNDDOWN(YEARFRAC(EE$6,Assumptions!$F$38),0),0)</f>
        <v>0</v>
      </c>
      <c r="EF56" s="242">
        <f>-IF(EF$6&gt;=Assumptions!$F$38,Assumptions!$L28/12*(1+Assumptions!$K$32)^ROUNDDOWN(YEARFRAC(EF$6,Assumptions!$F$38),0),0)</f>
        <v>0</v>
      </c>
      <c r="EG56" s="242">
        <f>-IF(EG$6&gt;=Assumptions!$F$38,Assumptions!$L28/12*(1+Assumptions!$K$32)^ROUNDDOWN(YEARFRAC(EG$6,Assumptions!$F$38),0),0)</f>
        <v>0</v>
      </c>
      <c r="EH56" s="242">
        <f>-IF(EH$6&gt;=Assumptions!$F$38,Assumptions!$L28/12*(1+Assumptions!$K$32)^ROUNDDOWN(YEARFRAC(EH$6,Assumptions!$F$38),0),0)</f>
        <v>0</v>
      </c>
      <c r="EI56" s="242">
        <f>-IF(EI$6&gt;=Assumptions!$F$38,Assumptions!$L28/12*(1+Assumptions!$K$32)^ROUNDDOWN(YEARFRAC(EI$6,Assumptions!$F$38),0),0)</f>
        <v>0</v>
      </c>
      <c r="EJ56" s="242">
        <f>-IF(EJ$6&gt;=Assumptions!$F$38,Assumptions!$L28/12*(1+Assumptions!$K$32)^ROUNDDOWN(YEARFRAC(EJ$6,Assumptions!$F$38),0),0)</f>
        <v>0</v>
      </c>
      <c r="EK56" s="242">
        <f>-IF(EK$6&gt;=Assumptions!$F$38,Assumptions!$L28/12*(1+Assumptions!$K$32)^ROUNDDOWN(YEARFRAC(EK$6,Assumptions!$F$38),0),0)</f>
        <v>0</v>
      </c>
      <c r="EL56" s="242">
        <f>-IF(EL$6&gt;=Assumptions!$F$38,Assumptions!$L28/12*(1+Assumptions!$K$32)^ROUNDDOWN(YEARFRAC(EL$6,Assumptions!$F$38),0),0)</f>
        <v>0</v>
      </c>
      <c r="EM56" s="242">
        <f>-IF(EM$6&gt;=Assumptions!$F$38,Assumptions!$L28/12*(1+Assumptions!$K$32)^ROUNDDOWN(YEARFRAC(EM$6,Assumptions!$F$38),0),0)</f>
        <v>0</v>
      </c>
      <c r="EN56" s="242">
        <f>-IF(EN$6&gt;=Assumptions!$F$38,Assumptions!$L28/12*(1+Assumptions!$K$32)^ROUNDDOWN(YEARFRAC(EN$6,Assumptions!$F$38),0),0)</f>
        <v>0</v>
      </c>
      <c r="EO56" s="242">
        <f>-IF(EO$6&gt;=Assumptions!$F$38,Assumptions!$L28/12*(1+Assumptions!$K$32)^ROUNDDOWN(YEARFRAC(EO$6,Assumptions!$F$38),0),0)</f>
        <v>0</v>
      </c>
      <c r="EP56" s="242">
        <f>-IF(EP$6&gt;=Assumptions!$F$38,Assumptions!$L28/12*(1+Assumptions!$K$32)^ROUNDDOWN(YEARFRAC(EP$6,Assumptions!$F$38),0),0)</f>
        <v>0</v>
      </c>
      <c r="EQ56" s="242">
        <f>-IF(EQ$6&gt;=Assumptions!$F$38,Assumptions!$L28/12*(1+Assumptions!$K$32)^ROUNDDOWN(YEARFRAC(EQ$6,Assumptions!$F$38),0),0)</f>
        <v>0</v>
      </c>
      <c r="ER56" s="242">
        <f>-IF(ER$6&gt;=Assumptions!$F$38,Assumptions!$L28/12*(1+Assumptions!$K$32)^ROUNDDOWN(YEARFRAC(ER$6,Assumptions!$F$38),0),0)</f>
        <v>0</v>
      </c>
      <c r="ES56" s="242">
        <f>-IF(ES$6&gt;=Assumptions!$F$38,Assumptions!$L28/12*(1+Assumptions!$K$32)^ROUNDDOWN(YEARFRAC(ES$6,Assumptions!$F$38),0),0)</f>
        <v>0</v>
      </c>
      <c r="ET56" s="242">
        <f>-IF(ET$6&gt;=Assumptions!$F$38,Assumptions!$L28/12*(1+Assumptions!$K$32)^ROUNDDOWN(YEARFRAC(ET$6,Assumptions!$F$38),0),0)</f>
        <v>0</v>
      </c>
    </row>
    <row r="57" spans="2:150" x14ac:dyDescent="0.2">
      <c r="B57" t="s">
        <v>79</v>
      </c>
      <c r="D57" s="242">
        <f t="shared" si="510"/>
        <v>-425309.8729444982</v>
      </c>
      <c r="F57" s="242">
        <f>-F49*Assumptions!$K$30</f>
        <v>0</v>
      </c>
      <c r="G57" s="242">
        <f>-G49*Assumptions!$K$30</f>
        <v>0</v>
      </c>
      <c r="H57" s="242">
        <f>-H49*Assumptions!$K$30</f>
        <v>0</v>
      </c>
      <c r="I57" s="242">
        <f>-I49*Assumptions!$K$30</f>
        <v>0</v>
      </c>
      <c r="J57" s="242">
        <f>-J49*Assumptions!$K$30</f>
        <v>0</v>
      </c>
      <c r="K57" s="242">
        <f>-K49*Assumptions!$K$30</f>
        <v>0</v>
      </c>
      <c r="L57" s="242">
        <f>-L49*Assumptions!$K$30</f>
        <v>0</v>
      </c>
      <c r="M57" s="242">
        <f>-M49*Assumptions!$K$30</f>
        <v>0</v>
      </c>
      <c r="N57" s="242">
        <f>-N49*Assumptions!$K$30</f>
        <v>0</v>
      </c>
      <c r="O57" s="242">
        <f>-O49*Assumptions!$K$30</f>
        <v>0</v>
      </c>
      <c r="P57" s="242">
        <f>-P49*Assumptions!$K$30</f>
        <v>0</v>
      </c>
      <c r="Q57" s="242">
        <f>-Q49*Assumptions!$K$30</f>
        <v>0</v>
      </c>
      <c r="R57" s="242">
        <f>-R49*Assumptions!$K$30</f>
        <v>0</v>
      </c>
      <c r="S57" s="242">
        <f>-S49*Assumptions!$K$30</f>
        <v>0</v>
      </c>
      <c r="T57" s="242">
        <f>-T49*Assumptions!$K$30</f>
        <v>0</v>
      </c>
      <c r="U57" s="242">
        <f>-U49*Assumptions!$K$30</f>
        <v>0</v>
      </c>
      <c r="V57" s="242">
        <f>-V49*Assumptions!$K$30</f>
        <v>0</v>
      </c>
      <c r="W57" s="242">
        <f>-W49*Assumptions!$K$30</f>
        <v>0</v>
      </c>
      <c r="X57" s="242">
        <f>-X49*Assumptions!$K$30</f>
        <v>0</v>
      </c>
      <c r="Y57" s="242">
        <f>-Y49*Assumptions!$K$30</f>
        <v>0</v>
      </c>
      <c r="Z57" s="242">
        <f>-Z49*Assumptions!$K$30</f>
        <v>0</v>
      </c>
      <c r="AA57" s="242">
        <f>-AA49*Assumptions!$K$30</f>
        <v>0</v>
      </c>
      <c r="AB57" s="242">
        <f>-AB49*Assumptions!$K$30</f>
        <v>0</v>
      </c>
      <c r="AC57" s="242">
        <f>-AC49*Assumptions!$K$30</f>
        <v>0</v>
      </c>
      <c r="AD57" s="242">
        <f>-AD49*Assumptions!$K$30</f>
        <v>0</v>
      </c>
      <c r="AE57" s="242">
        <f>-AE49*Assumptions!$K$30</f>
        <v>0</v>
      </c>
      <c r="AF57" s="242">
        <f>-AF49*Assumptions!$K$30</f>
        <v>0</v>
      </c>
      <c r="AG57" s="242">
        <f>-AG49*Assumptions!$K$30</f>
        <v>0</v>
      </c>
      <c r="AH57" s="242">
        <f>-AH49*Assumptions!$K$30</f>
        <v>0</v>
      </c>
      <c r="AI57" s="242">
        <f>-AI49*Assumptions!$K$30</f>
        <v>0</v>
      </c>
      <c r="AJ57" s="242">
        <f>-AJ49*Assumptions!$K$30</f>
        <v>0</v>
      </c>
      <c r="AK57" s="242">
        <f>-AK49*Assumptions!$K$30</f>
        <v>0</v>
      </c>
      <c r="AL57" s="242">
        <f>-AL49*Assumptions!$K$30</f>
        <v>0</v>
      </c>
      <c r="AM57" s="242">
        <f>-AM49*Assumptions!$K$30</f>
        <v>0</v>
      </c>
      <c r="AN57" s="242">
        <f>-AN49*Assumptions!$K$30</f>
        <v>0</v>
      </c>
      <c r="AO57" s="242">
        <f>-AO49*Assumptions!$K$30</f>
        <v>-1148.5495123666667</v>
      </c>
      <c r="AP57" s="242">
        <f>-AP49*Assumptions!$K$30</f>
        <v>-1518.5574613770002</v>
      </c>
      <c r="AQ57" s="242">
        <f>-AQ49*Assumptions!$K$30</f>
        <v>-1856.0146750163333</v>
      </c>
      <c r="AR57" s="242">
        <f>-AR49*Assumptions!$K$30</f>
        <v>-2193.471888655667</v>
      </c>
      <c r="AS57" s="242">
        <f>-AS49*Assumptions!$K$30</f>
        <v>-2530.9291022949997</v>
      </c>
      <c r="AT57" s="242">
        <f>-AT49*Assumptions!$K$30</f>
        <v>-2868.3863159343332</v>
      </c>
      <c r="AU57" s="242">
        <f>-AU49*Assumptions!$K$30</f>
        <v>-3205.8435295736667</v>
      </c>
      <c r="AV57" s="242">
        <f>-AV49*Assumptions!$K$30</f>
        <v>-3497.2838504440001</v>
      </c>
      <c r="AW57" s="242">
        <f>-AW49*Assumptions!$K$30</f>
        <v>-3497.2838504440001</v>
      </c>
      <c r="AX57" s="242">
        <f>-AX49*Assumptions!$K$30</f>
        <v>-3497.2838504440001</v>
      </c>
      <c r="AY57" s="242">
        <f>-AY49*Assumptions!$K$30</f>
        <v>-3497.2838504440001</v>
      </c>
      <c r="AZ57" s="242">
        <f>-AZ49*Assumptions!$K$30</f>
        <v>-3497.2838504440001</v>
      </c>
      <c r="BA57" s="242">
        <f>-BA49*Assumptions!$K$30</f>
        <v>-3502.9268504440006</v>
      </c>
      <c r="BB57" s="242">
        <f>-BB49*Assumptions!$K$30</f>
        <v>-3602.2023659573206</v>
      </c>
      <c r="BC57" s="242">
        <f>-BC49*Assumptions!$K$30</f>
        <v>-3602.2023659573206</v>
      </c>
      <c r="BD57" s="242">
        <f>-BD49*Assumptions!$K$30</f>
        <v>-3602.2023659573206</v>
      </c>
      <c r="BE57" s="242">
        <f>-BE49*Assumptions!$K$30</f>
        <v>-3602.2023659573206</v>
      </c>
      <c r="BF57" s="242">
        <f>-BF49*Assumptions!$K$30</f>
        <v>-3602.2023659573206</v>
      </c>
      <c r="BG57" s="242">
        <f>-BG49*Assumptions!$K$30</f>
        <v>-3602.2023659573206</v>
      </c>
      <c r="BH57" s="242">
        <f>-BH49*Assumptions!$K$30</f>
        <v>-3602.2023659573206</v>
      </c>
      <c r="BI57" s="242">
        <f>-BI49*Assumptions!$K$30</f>
        <v>-3602.2023659573206</v>
      </c>
      <c r="BJ57" s="242">
        <f>-BJ49*Assumptions!$K$30</f>
        <v>-3602.2023659573206</v>
      </c>
      <c r="BK57" s="242">
        <f>-BK49*Assumptions!$K$30</f>
        <v>-3602.2023659573206</v>
      </c>
      <c r="BL57" s="242">
        <f>-BL49*Assumptions!$K$30</f>
        <v>-3602.2023659573206</v>
      </c>
      <c r="BM57" s="242">
        <f>-BM49*Assumptions!$K$30</f>
        <v>-3608.0146559573204</v>
      </c>
      <c r="BN57" s="242">
        <f>-BN49*Assumptions!$K$30</f>
        <v>-3710.2684369360395</v>
      </c>
      <c r="BO57" s="242">
        <f>-BO49*Assumptions!$K$30</f>
        <v>-3710.2684369360395</v>
      </c>
      <c r="BP57" s="242">
        <f>-BP49*Assumptions!$K$30</f>
        <v>-3710.2684369360395</v>
      </c>
      <c r="BQ57" s="242">
        <f>-BQ49*Assumptions!$K$30</f>
        <v>-3710.2684369360395</v>
      </c>
      <c r="BR57" s="242">
        <f>-BR49*Assumptions!$K$30</f>
        <v>-3710.2684369360395</v>
      </c>
      <c r="BS57" s="242">
        <f>-BS49*Assumptions!$K$30</f>
        <v>-3710.2684369360395</v>
      </c>
      <c r="BT57" s="242">
        <f>-BT49*Assumptions!$K$30</f>
        <v>-3710.2684369360395</v>
      </c>
      <c r="BU57" s="242">
        <f>-BU49*Assumptions!$K$30</f>
        <v>-3710.2684369360395</v>
      </c>
      <c r="BV57" s="242">
        <f>-BV49*Assumptions!$K$30</f>
        <v>-3710.2684369360395</v>
      </c>
      <c r="BW57" s="242">
        <f>-BW49*Assumptions!$K$30</f>
        <v>-3710.2684369360395</v>
      </c>
      <c r="BX57" s="242">
        <f>-BX49*Assumptions!$K$30</f>
        <v>-3710.2684369360395</v>
      </c>
      <c r="BY57" s="242">
        <f>-BY49*Assumptions!$K$30</f>
        <v>-3716.2550956360392</v>
      </c>
      <c r="BZ57" s="242">
        <f>-BZ49*Assumptions!$K$30</f>
        <v>-3821.57649004412</v>
      </c>
      <c r="CA57" s="242">
        <f>-CA49*Assumptions!$K$30</f>
        <v>-3821.57649004412</v>
      </c>
      <c r="CB57" s="242">
        <f>-CB49*Assumptions!$K$30</f>
        <v>-3821.57649004412</v>
      </c>
      <c r="CC57" s="242">
        <f>-CC49*Assumptions!$K$30</f>
        <v>-3821.57649004412</v>
      </c>
      <c r="CD57" s="242">
        <f>-CD49*Assumptions!$K$30</f>
        <v>-3821.57649004412</v>
      </c>
      <c r="CE57" s="242">
        <f>-CE49*Assumptions!$K$30</f>
        <v>-3821.57649004412</v>
      </c>
      <c r="CF57" s="242">
        <f>-CF49*Assumptions!$K$30</f>
        <v>-3821.57649004412</v>
      </c>
      <c r="CG57" s="242">
        <f>-CG49*Assumptions!$K$30</f>
        <v>-3821.57649004412</v>
      </c>
      <c r="CH57" s="242">
        <f>-CH49*Assumptions!$K$30</f>
        <v>-3821.57649004412</v>
      </c>
      <c r="CI57" s="242">
        <f>-CI49*Assumptions!$K$30</f>
        <v>-3821.57649004412</v>
      </c>
      <c r="CJ57" s="242">
        <f>-CJ49*Assumptions!$K$30</f>
        <v>-3821.57649004412</v>
      </c>
      <c r="CK57" s="242">
        <f>-CK49*Assumptions!$K$30</f>
        <v>-3827.7427485051203</v>
      </c>
      <c r="CL57" s="242">
        <f>-CL49*Assumptions!$K$30</f>
        <v>-3936.2237847454444</v>
      </c>
      <c r="CM57" s="242">
        <f>-CM49*Assumptions!$K$30</f>
        <v>-3936.2237847454444</v>
      </c>
      <c r="CN57" s="242">
        <f>-CN49*Assumptions!$K$30</f>
        <v>-3936.2237847454444</v>
      </c>
      <c r="CO57" s="242">
        <f>-CO49*Assumptions!$K$30</f>
        <v>-3936.2237847454444</v>
      </c>
      <c r="CP57" s="242">
        <f>-CP49*Assumptions!$K$30</f>
        <v>-3936.2237847454444</v>
      </c>
      <c r="CQ57" s="242">
        <f>-CQ49*Assumptions!$K$30</f>
        <v>-3936.2237847454444</v>
      </c>
      <c r="CR57" s="242">
        <f>-CR49*Assumptions!$K$30</f>
        <v>-3936.2237847454444</v>
      </c>
      <c r="CS57" s="242">
        <f>-CS49*Assumptions!$K$30</f>
        <v>-3936.2237847454444</v>
      </c>
      <c r="CT57" s="242">
        <f>-CT49*Assumptions!$K$30</f>
        <v>-3936.2237847454444</v>
      </c>
      <c r="CU57" s="242">
        <f>-CU49*Assumptions!$K$30</f>
        <v>-3936.2237847454444</v>
      </c>
      <c r="CV57" s="242">
        <f>-CV49*Assumptions!$K$30</f>
        <v>-3936.2237847454444</v>
      </c>
      <c r="CW57" s="242">
        <f>-CW49*Assumptions!$K$30</f>
        <v>-3942.5750309602749</v>
      </c>
      <c r="CX57" s="242">
        <f>-CX49*Assumptions!$K$30</f>
        <v>-4054.3104982878067</v>
      </c>
      <c r="CY57" s="242">
        <f>-CY49*Assumptions!$K$30</f>
        <v>-4054.3104982878067</v>
      </c>
      <c r="CZ57" s="242">
        <f>-CZ49*Assumptions!$K$30</f>
        <v>-4054.3104982878067</v>
      </c>
      <c r="DA57" s="242">
        <f>-DA49*Assumptions!$K$30</f>
        <v>-4054.3104982878067</v>
      </c>
      <c r="DB57" s="242">
        <f>-DB49*Assumptions!$K$30</f>
        <v>-4054.3104982878067</v>
      </c>
      <c r="DC57" s="242">
        <f>-DC49*Assumptions!$K$30</f>
        <v>-4054.3104982878067</v>
      </c>
      <c r="DD57" s="242">
        <f>-DD49*Assumptions!$K$30</f>
        <v>-4054.3104982878067</v>
      </c>
      <c r="DE57" s="242">
        <f>-DE49*Assumptions!$K$30</f>
        <v>-4054.3104982878067</v>
      </c>
      <c r="DF57" s="242">
        <f>-DF49*Assumptions!$K$30</f>
        <v>-4054.3104982878067</v>
      </c>
      <c r="DG57" s="242">
        <f>-DG49*Assumptions!$K$30</f>
        <v>-4054.3104982878067</v>
      </c>
      <c r="DH57" s="242">
        <f>-DH49*Assumptions!$K$30</f>
        <v>-4054.3104982878067</v>
      </c>
      <c r="DI57" s="242">
        <f>-DI49*Assumptions!$K$30</f>
        <v>-4060.852281889082</v>
      </c>
      <c r="DJ57" s="242">
        <f>-DJ49*Assumptions!$K$30</f>
        <v>-4175.9398132364413</v>
      </c>
      <c r="DK57" s="242">
        <f>-DK49*Assumptions!$K$30</f>
        <v>-4175.9398132364413</v>
      </c>
      <c r="DL57" s="242">
        <f>-DL49*Assumptions!$K$30</f>
        <v>-4175.9398132364413</v>
      </c>
      <c r="DM57" s="242">
        <f>-DM49*Assumptions!$K$30</f>
        <v>-4175.9398132364413</v>
      </c>
      <c r="DN57" s="242">
        <f>-DN49*Assumptions!$K$30</f>
        <v>-4175.9398132364413</v>
      </c>
      <c r="DO57" s="242">
        <f>-DO49*Assumptions!$K$30</f>
        <v>-4175.9398132364413</v>
      </c>
      <c r="DP57" s="242">
        <f>-DP49*Assumptions!$K$30</f>
        <v>-4175.9398132364413</v>
      </c>
      <c r="DQ57" s="242">
        <f>-DQ49*Assumptions!$K$30</f>
        <v>-4175.9398132364413</v>
      </c>
      <c r="DR57" s="242">
        <f>-DR49*Assumptions!$K$30</f>
        <v>-4175.9398132364413</v>
      </c>
      <c r="DS57" s="242">
        <f>-DS49*Assumptions!$K$30</f>
        <v>-4175.9398132364413</v>
      </c>
      <c r="DT57" s="242">
        <f>-DT49*Assumptions!$K$30</f>
        <v>-4175.9398132364413</v>
      </c>
      <c r="DU57" s="242">
        <f>-DU49*Assumptions!$K$30</f>
        <v>-4182.6778503457554</v>
      </c>
      <c r="DV57" s="242">
        <f>-DV49*Assumptions!$K$30</f>
        <v>-4301.2180076335353</v>
      </c>
      <c r="DW57" s="242">
        <f>-DW49*Assumptions!$K$30</f>
        <v>-4301.2180076335353</v>
      </c>
      <c r="DX57" s="242">
        <f>-DX49*Assumptions!$K$30</f>
        <v>-4301.2180076335353</v>
      </c>
      <c r="DY57" s="242">
        <f>-DY49*Assumptions!$K$30</f>
        <v>-4301.2180076335353</v>
      </c>
      <c r="DZ57" s="242">
        <f>-DZ49*Assumptions!$K$30</f>
        <v>-4301.2180076335353</v>
      </c>
      <c r="EA57" s="242">
        <f>-EA49*Assumptions!$K$30</f>
        <v>-4301.2180076335353</v>
      </c>
      <c r="EB57" s="242">
        <f>-EB49*Assumptions!$K$30</f>
        <v>-4301.2180076335353</v>
      </c>
      <c r="EC57" s="242">
        <f>-EC49*Assumptions!$K$30</f>
        <v>-4301.2180076335353</v>
      </c>
      <c r="ED57" s="242">
        <f>-ED49*Assumptions!$K$30</f>
        <v>-4301.2180076335353</v>
      </c>
      <c r="EE57" s="242">
        <f>-EE49*Assumptions!$K$30</f>
        <v>-4301.2180076335353</v>
      </c>
      <c r="EF57" s="242">
        <f>-EF49*Assumptions!$K$30</f>
        <v>-4301.2180076335353</v>
      </c>
      <c r="EG57" s="242">
        <f>-EG49*Assumptions!$K$30</f>
        <v>-4308.1581858561285</v>
      </c>
      <c r="EH57" s="242">
        <f>-EH49*Assumptions!$K$30</f>
        <v>-4430.2545478625416</v>
      </c>
      <c r="EI57" s="242">
        <f>-EI49*Assumptions!$K$30</f>
        <v>-4430.2545478625416</v>
      </c>
      <c r="EJ57" s="242">
        <f>-EJ49*Assumptions!$K$30</f>
        <v>-4430.2545478625416</v>
      </c>
      <c r="EK57" s="242">
        <f>-EK49*Assumptions!$K$30</f>
        <v>-4430.2545478625416</v>
      </c>
      <c r="EL57" s="242">
        <f>-EL49*Assumptions!$K$30</f>
        <v>-4430.2545478625416</v>
      </c>
      <c r="EM57" s="242">
        <f>-EM49*Assumptions!$K$30</f>
        <v>-4430.2545478625416</v>
      </c>
      <c r="EN57" s="242">
        <f>-EN49*Assumptions!$K$30</f>
        <v>-4430.2545478625416</v>
      </c>
      <c r="EO57" s="242">
        <f>-EO49*Assumptions!$K$30</f>
        <v>-4430.2545478625416</v>
      </c>
      <c r="EP57" s="242">
        <f>-EP49*Assumptions!$K$30</f>
        <v>-4430.2545478625416</v>
      </c>
      <c r="EQ57" s="242">
        <f>-EQ49*Assumptions!$K$30</f>
        <v>-4430.2545478625416</v>
      </c>
      <c r="ER57" s="242">
        <f>-ER49*Assumptions!$K$30</f>
        <v>-4430.2545478625416</v>
      </c>
      <c r="ES57" s="242">
        <f>-ES49*Assumptions!$K$30</f>
        <v>-4437.4029314318122</v>
      </c>
      <c r="ET57" s="242">
        <f>-ET49*Assumptions!$K$30</f>
        <v>-4563.1621842984168</v>
      </c>
    </row>
    <row r="58" spans="2:150" x14ac:dyDescent="0.2">
      <c r="B58" t="s">
        <v>78</v>
      </c>
      <c r="D58" s="242">
        <f t="shared" si="510"/>
        <v>-66154.135369531403</v>
      </c>
      <c r="F58" s="242">
        <f>SUM(F50:F57,F70)*Assumptions!$K$31</f>
        <v>0</v>
      </c>
      <c r="G58" s="242">
        <f>SUM(G50:G57,G70)*Assumptions!$K$31</f>
        <v>0</v>
      </c>
      <c r="H58" s="242">
        <f>SUM(H50:H57,H70)*Assumptions!$K$31</f>
        <v>0</v>
      </c>
      <c r="I58" s="242">
        <f>SUM(I50:I57,I70)*Assumptions!$K$31</f>
        <v>0</v>
      </c>
      <c r="J58" s="242">
        <f>SUM(J50:J57,J70)*Assumptions!$K$31</f>
        <v>0</v>
      </c>
      <c r="K58" s="242">
        <f>SUM(K50:K57,K70)*Assumptions!$K$31</f>
        <v>0</v>
      </c>
      <c r="L58" s="242">
        <f>SUM(L50:L57,L70)*Assumptions!$K$31</f>
        <v>0</v>
      </c>
      <c r="M58" s="242">
        <f>SUM(M50:M57,M70)*Assumptions!$K$31</f>
        <v>0</v>
      </c>
      <c r="N58" s="242">
        <f>SUM(N50:N57,N70)*Assumptions!$K$31</f>
        <v>0</v>
      </c>
      <c r="O58" s="242">
        <f>SUM(O50:O57,O70)*Assumptions!$K$31</f>
        <v>0</v>
      </c>
      <c r="P58" s="242">
        <f>SUM(P50:P57,P70)*Assumptions!$K$31</f>
        <v>0</v>
      </c>
      <c r="Q58" s="242">
        <f>SUM(Q50:Q57,Q70)*Assumptions!$K$31</f>
        <v>0</v>
      </c>
      <c r="R58" s="242">
        <f>SUM(R50:R57,R70)*Assumptions!$K$31</f>
        <v>0</v>
      </c>
      <c r="S58" s="242">
        <f>SUM(S50:S57,S70)*Assumptions!$K$31</f>
        <v>0</v>
      </c>
      <c r="T58" s="242">
        <f>SUM(T50:T57,T70)*Assumptions!$K$31</f>
        <v>0</v>
      </c>
      <c r="U58" s="242">
        <f>SUM(U50:U57,U70)*Assumptions!$K$31</f>
        <v>0</v>
      </c>
      <c r="V58" s="242">
        <f>SUM(V50:V57,V70)*Assumptions!$K$31</f>
        <v>0</v>
      </c>
      <c r="W58" s="242">
        <f>SUM(W50:W57,W70)*Assumptions!$K$31</f>
        <v>0</v>
      </c>
      <c r="X58" s="242">
        <f>SUM(X50:X57,X70)*Assumptions!$K$31</f>
        <v>0</v>
      </c>
      <c r="Y58" s="242">
        <f>SUM(Y50:Y57,Y70)*Assumptions!$K$31</f>
        <v>0</v>
      </c>
      <c r="Z58" s="242">
        <f>SUM(Z50:Z57,Z70)*Assumptions!$K$31</f>
        <v>0</v>
      </c>
      <c r="AA58" s="242">
        <f>SUM(AA50:AA57,AA70)*Assumptions!$K$31</f>
        <v>0</v>
      </c>
      <c r="AB58" s="242">
        <f>SUM(AB50:AB57,AB70)*Assumptions!$K$31</f>
        <v>0</v>
      </c>
      <c r="AC58" s="242">
        <f>SUM(AC50:AC57,AC70)*Assumptions!$K$31</f>
        <v>0</v>
      </c>
      <c r="AD58" s="242">
        <f>SUM(AD50:AD57,AD70)*Assumptions!$K$31</f>
        <v>0</v>
      </c>
      <c r="AE58" s="242">
        <f>SUM(AE50:AE57,AE70)*Assumptions!$K$31</f>
        <v>0</v>
      </c>
      <c r="AF58" s="242">
        <f>SUM(AF50:AF57,AF70)*Assumptions!$K$31</f>
        <v>0</v>
      </c>
      <c r="AG58" s="242">
        <f>SUM(AG50:AG57,AG70)*Assumptions!$K$31</f>
        <v>0</v>
      </c>
      <c r="AH58" s="242">
        <f>SUM(AH50:AH57,AH70)*Assumptions!$K$31</f>
        <v>0</v>
      </c>
      <c r="AI58" s="242">
        <f>SUM(AI50:AI57,AI70)*Assumptions!$K$31</f>
        <v>0</v>
      </c>
      <c r="AJ58" s="242">
        <f>SUM(AJ50:AJ57,AJ70)*Assumptions!$K$31</f>
        <v>0</v>
      </c>
      <c r="AK58" s="242">
        <f>SUM(AK50:AK57,AK70)*Assumptions!$K$31</f>
        <v>0</v>
      </c>
      <c r="AL58" s="242">
        <f>SUM(AL50:AL57,AL70)*Assumptions!$K$31</f>
        <v>0</v>
      </c>
      <c r="AM58" s="242">
        <f>SUM(AM50:AM57,AM70)*Assumptions!$K$31</f>
        <v>0</v>
      </c>
      <c r="AN58" s="242">
        <f>SUM(AN50:AN57,AN70)*Assumptions!$K$31</f>
        <v>0</v>
      </c>
      <c r="AO58" s="242">
        <f>SUM(AO50:AO57,AO70)*Assumptions!$K$31</f>
        <v>-471.68373780916664</v>
      </c>
      <c r="AP58" s="242">
        <f>SUM(AP50:AP57,AP70)*Assumptions!$K$31</f>
        <v>-481.82493653442498</v>
      </c>
      <c r="AQ58" s="242">
        <f>SUM(AQ50:AQ57,AQ70)*Assumptions!$K$31</f>
        <v>-491.1523668754084</v>
      </c>
      <c r="AR58" s="242">
        <f>SUM(AR50:AR57,AR70)*Assumptions!$K$31</f>
        <v>-500.47979721639172</v>
      </c>
      <c r="AS58" s="242">
        <f>SUM(AS50:AS57,AS70)*Assumptions!$K$31</f>
        <v>-509.21322755737492</v>
      </c>
      <c r="AT58" s="242">
        <f>SUM(AT50:AT57,AT70)*Assumptions!$K$31</f>
        <v>-517.64965789835833</v>
      </c>
      <c r="AU58" s="242">
        <f>SUM(AU50:AU57,AU70)*Assumptions!$K$31</f>
        <v>-526.08608823934162</v>
      </c>
      <c r="AV58" s="242">
        <f>SUM(AV50:AV57,AV70)*Assumptions!$K$31</f>
        <v>-533.37209626109995</v>
      </c>
      <c r="AW58" s="242">
        <f>SUM(AW50:AW57,AW70)*Assumptions!$K$31</f>
        <v>-533.37209626109995</v>
      </c>
      <c r="AX58" s="242">
        <f>SUM(AX50:AX57,AX70)*Assumptions!$K$31</f>
        <v>-533.37209626109995</v>
      </c>
      <c r="AY58" s="242">
        <f>SUM(AY50:AY57,AY70)*Assumptions!$K$31</f>
        <v>-533.37209626109995</v>
      </c>
      <c r="AZ58" s="242">
        <f>SUM(AZ50:AZ57,AZ70)*Assumptions!$K$31</f>
        <v>-533.37209626109995</v>
      </c>
      <c r="BA58" s="242">
        <f>SUM(BA50:BA57,BA70)*Assumptions!$K$31</f>
        <v>-546.89137126110006</v>
      </c>
      <c r="BB58" s="242">
        <f>SUM(BB50:BB57,BB70)*Assumptions!$K$31</f>
        <v>-549.37325914893302</v>
      </c>
      <c r="BC58" s="242">
        <f>SUM(BC50:BC57,BC70)*Assumptions!$K$31</f>
        <v>-549.37325914893302</v>
      </c>
      <c r="BD58" s="242">
        <f>SUM(BD50:BD57,BD70)*Assumptions!$K$31</f>
        <v>-549.37325914893302</v>
      </c>
      <c r="BE58" s="242">
        <f>SUM(BE50:BE57,BE70)*Assumptions!$K$31</f>
        <v>-549.37325914893302</v>
      </c>
      <c r="BF58" s="242">
        <f>SUM(BF50:BF57,BF70)*Assumptions!$K$31</f>
        <v>-549.37325914893302</v>
      </c>
      <c r="BG58" s="242">
        <f>SUM(BG50:BG57,BG70)*Assumptions!$K$31</f>
        <v>-549.37325914893302</v>
      </c>
      <c r="BH58" s="242">
        <f>SUM(BH50:BH57,BH70)*Assumptions!$K$31</f>
        <v>-549.37325914893302</v>
      </c>
      <c r="BI58" s="242">
        <f>SUM(BI50:BI57,BI70)*Assumptions!$K$31</f>
        <v>-549.37325914893302</v>
      </c>
      <c r="BJ58" s="242">
        <f>SUM(BJ50:BJ57,BJ70)*Assumptions!$K$31</f>
        <v>-549.37325914893302</v>
      </c>
      <c r="BK58" s="242">
        <f>SUM(BK50:BK57,BK70)*Assumptions!$K$31</f>
        <v>-549.37325914893302</v>
      </c>
      <c r="BL58" s="242">
        <f>SUM(BL50:BL57,BL70)*Assumptions!$K$31</f>
        <v>-549.37325914893302</v>
      </c>
      <c r="BM58" s="242">
        <f>SUM(BM50:BM57,BM70)*Assumptions!$K$31</f>
        <v>-563.29811239893309</v>
      </c>
      <c r="BN58" s="242">
        <f>SUM(BN50:BN57,BN70)*Assumptions!$K$31</f>
        <v>-565.85445692340102</v>
      </c>
      <c r="BO58" s="242">
        <f>SUM(BO50:BO57,BO70)*Assumptions!$K$31</f>
        <v>-565.85445692340102</v>
      </c>
      <c r="BP58" s="242">
        <f>SUM(BP50:BP57,BP70)*Assumptions!$K$31</f>
        <v>-565.85445692340102</v>
      </c>
      <c r="BQ58" s="242">
        <f>SUM(BQ50:BQ57,BQ70)*Assumptions!$K$31</f>
        <v>-565.85445692340102</v>
      </c>
      <c r="BR58" s="242">
        <f>SUM(BR50:BR57,BR70)*Assumptions!$K$31</f>
        <v>-565.85445692340102</v>
      </c>
      <c r="BS58" s="242">
        <f>SUM(BS50:BS57,BS70)*Assumptions!$K$31</f>
        <v>-565.85445692340102</v>
      </c>
      <c r="BT58" s="242">
        <f>SUM(BT50:BT57,BT70)*Assumptions!$K$31</f>
        <v>-565.85445692340102</v>
      </c>
      <c r="BU58" s="242">
        <f>SUM(BU50:BU57,BU70)*Assumptions!$K$31</f>
        <v>-565.85445692340102</v>
      </c>
      <c r="BV58" s="242">
        <f>SUM(BV50:BV57,BV70)*Assumptions!$K$31</f>
        <v>-565.85445692340102</v>
      </c>
      <c r="BW58" s="242">
        <f>SUM(BW50:BW57,BW70)*Assumptions!$K$31</f>
        <v>-565.85445692340102</v>
      </c>
      <c r="BX58" s="242">
        <f>SUM(BX50:BX57,BX70)*Assumptions!$K$31</f>
        <v>-565.85445692340102</v>
      </c>
      <c r="BY58" s="242">
        <f>SUM(BY50:BY57,BY70)*Assumptions!$K$31</f>
        <v>-580.19705577090099</v>
      </c>
      <c r="BZ58" s="242">
        <f>SUM(BZ50:BZ57,BZ70)*Assumptions!$K$31</f>
        <v>-582.83009063110308</v>
      </c>
      <c r="CA58" s="242">
        <f>SUM(CA50:CA57,CA70)*Assumptions!$K$31</f>
        <v>-582.83009063110308</v>
      </c>
      <c r="CB58" s="242">
        <f>SUM(CB50:CB57,CB70)*Assumptions!$K$31</f>
        <v>-582.83009063110308</v>
      </c>
      <c r="CC58" s="242">
        <f>SUM(CC50:CC57,CC70)*Assumptions!$K$31</f>
        <v>-582.83009063110308</v>
      </c>
      <c r="CD58" s="242">
        <f>SUM(CD50:CD57,CD70)*Assumptions!$K$31</f>
        <v>-582.83009063110308</v>
      </c>
      <c r="CE58" s="242">
        <f>SUM(CE50:CE57,CE70)*Assumptions!$K$31</f>
        <v>-582.83009063110308</v>
      </c>
      <c r="CF58" s="242">
        <f>SUM(CF50:CF57,CF70)*Assumptions!$K$31</f>
        <v>-582.83009063110308</v>
      </c>
      <c r="CG58" s="242">
        <f>SUM(CG50:CG57,CG70)*Assumptions!$K$31</f>
        <v>-582.83009063110308</v>
      </c>
      <c r="CH58" s="242">
        <f>SUM(CH50:CH57,CH70)*Assumptions!$K$31</f>
        <v>-582.83009063110308</v>
      </c>
      <c r="CI58" s="242">
        <f>SUM(CI50:CI57,CI70)*Assumptions!$K$31</f>
        <v>-582.83009063110308</v>
      </c>
      <c r="CJ58" s="242">
        <f>SUM(CJ50:CJ57,CJ70)*Assumptions!$K$31</f>
        <v>-582.83009063110308</v>
      </c>
      <c r="CK58" s="242">
        <f>SUM(CK50:CK57,CK70)*Assumptions!$K$31</f>
        <v>-597.60296744402797</v>
      </c>
      <c r="CL58" s="242">
        <f>SUM(CL50:CL57,CL70)*Assumptions!$K$31</f>
        <v>-600.31499335003616</v>
      </c>
      <c r="CM58" s="242">
        <f>SUM(CM50:CM57,CM70)*Assumptions!$K$31</f>
        <v>-600.31499335003616</v>
      </c>
      <c r="CN58" s="242">
        <f>SUM(CN50:CN57,CN70)*Assumptions!$K$31</f>
        <v>-600.31499335003616</v>
      </c>
      <c r="CO58" s="242">
        <f>SUM(CO50:CO57,CO70)*Assumptions!$K$31</f>
        <v>-600.31499335003616</v>
      </c>
      <c r="CP58" s="242">
        <f>SUM(CP50:CP57,CP70)*Assumptions!$K$31</f>
        <v>-600.31499335003616</v>
      </c>
      <c r="CQ58" s="242">
        <f>SUM(CQ50:CQ57,CQ70)*Assumptions!$K$31</f>
        <v>-600.31499335003616</v>
      </c>
      <c r="CR58" s="242">
        <f>SUM(CR50:CR57,CR70)*Assumptions!$K$31</f>
        <v>-600.31499335003616</v>
      </c>
      <c r="CS58" s="242">
        <f>SUM(CS50:CS57,CS70)*Assumptions!$K$31</f>
        <v>-600.31499335003616</v>
      </c>
      <c r="CT58" s="242">
        <f>SUM(CT50:CT57,CT70)*Assumptions!$K$31</f>
        <v>-600.31499335003616</v>
      </c>
      <c r="CU58" s="242">
        <f>SUM(CU50:CU57,CU70)*Assumptions!$K$31</f>
        <v>-600.31499335003616</v>
      </c>
      <c r="CV58" s="242">
        <f>SUM(CV50:CV57,CV70)*Assumptions!$K$31</f>
        <v>-600.31499335003616</v>
      </c>
      <c r="CW58" s="242">
        <f>SUM(CW50:CW57,CW70)*Assumptions!$K$31</f>
        <v>-615.53105646734878</v>
      </c>
      <c r="CX58" s="242">
        <f>SUM(CX50:CX57,CX70)*Assumptions!$K$31</f>
        <v>-618.32444315053715</v>
      </c>
      <c r="CY58" s="242">
        <f>SUM(CY50:CY57,CY70)*Assumptions!$K$31</f>
        <v>-618.32444315053715</v>
      </c>
      <c r="CZ58" s="242">
        <f>SUM(CZ50:CZ57,CZ70)*Assumptions!$K$31</f>
        <v>-618.32444315053715</v>
      </c>
      <c r="DA58" s="242">
        <f>SUM(DA50:DA57,DA70)*Assumptions!$K$31</f>
        <v>-618.32444315053715</v>
      </c>
      <c r="DB58" s="242">
        <f>SUM(DB50:DB57,DB70)*Assumptions!$K$31</f>
        <v>-618.32444315053715</v>
      </c>
      <c r="DC58" s="242">
        <f>SUM(DC50:DC57,DC70)*Assumptions!$K$31</f>
        <v>-618.32444315053715</v>
      </c>
      <c r="DD58" s="242">
        <f>SUM(DD50:DD57,DD70)*Assumptions!$K$31</f>
        <v>-618.32444315053715</v>
      </c>
      <c r="DE58" s="242">
        <f>SUM(DE50:DE57,DE70)*Assumptions!$K$31</f>
        <v>-618.32444315053715</v>
      </c>
      <c r="DF58" s="242">
        <f>SUM(DF50:DF57,DF70)*Assumptions!$K$31</f>
        <v>-618.32444315053715</v>
      </c>
      <c r="DG58" s="242">
        <f>SUM(DG50:DG57,DG70)*Assumptions!$K$31</f>
        <v>-618.32444315053715</v>
      </c>
      <c r="DH58" s="242">
        <f>SUM(DH50:DH57,DH70)*Assumptions!$K$31</f>
        <v>-618.32444315053715</v>
      </c>
      <c r="DI58" s="242">
        <f>SUM(DI50:DI57,DI70)*Assumptions!$K$31</f>
        <v>-633.99698816136925</v>
      </c>
      <c r="DJ58" s="242">
        <f>SUM(DJ50:DJ57,DJ70)*Assumptions!$K$31</f>
        <v>-636.87417644505331</v>
      </c>
      <c r="DK58" s="242">
        <f>SUM(DK50:DK57,DK70)*Assumptions!$K$31</f>
        <v>-636.87417644505331</v>
      </c>
      <c r="DL58" s="242">
        <f>SUM(DL50:DL57,DL70)*Assumptions!$K$31</f>
        <v>-636.87417644505331</v>
      </c>
      <c r="DM58" s="242">
        <f>SUM(DM50:DM57,DM70)*Assumptions!$K$31</f>
        <v>-636.87417644505331</v>
      </c>
      <c r="DN58" s="242">
        <f>SUM(DN50:DN57,DN70)*Assumptions!$K$31</f>
        <v>-636.87417644505331</v>
      </c>
      <c r="DO58" s="242">
        <f>SUM(DO50:DO57,DO70)*Assumptions!$K$31</f>
        <v>-636.87417644505331</v>
      </c>
      <c r="DP58" s="242">
        <f>SUM(DP50:DP57,DP70)*Assumptions!$K$31</f>
        <v>-636.87417644505331</v>
      </c>
      <c r="DQ58" s="242">
        <f>SUM(DQ50:DQ57,DQ70)*Assumptions!$K$31</f>
        <v>-636.87417644505331</v>
      </c>
      <c r="DR58" s="242">
        <f>SUM(DR50:DR57,DR70)*Assumptions!$K$31</f>
        <v>-636.87417644505331</v>
      </c>
      <c r="DS58" s="242">
        <f>SUM(DS50:DS57,DS70)*Assumptions!$K$31</f>
        <v>-636.87417644505331</v>
      </c>
      <c r="DT58" s="242">
        <f>SUM(DT50:DT57,DT70)*Assumptions!$K$31</f>
        <v>-636.87417644505331</v>
      </c>
      <c r="DU58" s="242">
        <f>SUM(DU50:DU57,DU70)*Assumptions!$K$31</f>
        <v>-653.01689780621041</v>
      </c>
      <c r="DV58" s="242">
        <f>SUM(DV50:DV57,DV70)*Assumptions!$K$31</f>
        <v>-655.98040173840491</v>
      </c>
      <c r="DW58" s="242">
        <f>SUM(DW50:DW57,DW70)*Assumptions!$K$31</f>
        <v>-655.98040173840491</v>
      </c>
      <c r="DX58" s="242">
        <f>SUM(DX50:DX57,DX70)*Assumptions!$K$31</f>
        <v>-655.98040173840491</v>
      </c>
      <c r="DY58" s="242">
        <f>SUM(DY50:DY57,DY70)*Assumptions!$K$31</f>
        <v>-655.98040173840491</v>
      </c>
      <c r="DZ58" s="242">
        <f>SUM(DZ50:DZ57,DZ70)*Assumptions!$K$31</f>
        <v>-655.98040173840491</v>
      </c>
      <c r="EA58" s="242">
        <f>SUM(EA50:EA57,EA70)*Assumptions!$K$31</f>
        <v>-655.98040173840491</v>
      </c>
      <c r="EB58" s="242">
        <f>SUM(EB50:EB57,EB70)*Assumptions!$K$31</f>
        <v>-655.98040173840491</v>
      </c>
      <c r="EC58" s="242">
        <f>SUM(EC50:EC57,EC70)*Assumptions!$K$31</f>
        <v>-655.98040173840491</v>
      </c>
      <c r="ED58" s="242">
        <f>SUM(ED50:ED57,ED70)*Assumptions!$K$31</f>
        <v>-655.98040173840491</v>
      </c>
      <c r="EE58" s="242">
        <f>SUM(EE50:EE57,EE70)*Assumptions!$K$31</f>
        <v>-655.98040173840491</v>
      </c>
      <c r="EF58" s="242">
        <f>SUM(EF50:EF57,EF70)*Assumptions!$K$31</f>
        <v>-655.98040173840491</v>
      </c>
      <c r="EG58" s="242">
        <f>SUM(EG50:EG57,EG70)*Assumptions!$K$31</f>
        <v>-672.60740474039676</v>
      </c>
      <c r="EH58" s="242">
        <f>SUM(EH50:EH57,EH70)*Assumptions!$K$31</f>
        <v>-675.659813790557</v>
      </c>
      <c r="EI58" s="242">
        <f>SUM(EI50:EI57,EI70)*Assumptions!$K$31</f>
        <v>-675.659813790557</v>
      </c>
      <c r="EJ58" s="242">
        <f>SUM(EJ50:EJ57,EJ70)*Assumptions!$K$31</f>
        <v>-675.659813790557</v>
      </c>
      <c r="EK58" s="242">
        <f>SUM(EK50:EK57,EK70)*Assumptions!$K$31</f>
        <v>-675.659813790557</v>
      </c>
      <c r="EL58" s="242">
        <f>SUM(EL50:EL57,EL70)*Assumptions!$K$31</f>
        <v>-675.659813790557</v>
      </c>
      <c r="EM58" s="242">
        <f>SUM(EM50:EM57,EM70)*Assumptions!$K$31</f>
        <v>-675.659813790557</v>
      </c>
      <c r="EN58" s="242">
        <f>SUM(EN50:EN57,EN70)*Assumptions!$K$31</f>
        <v>-675.659813790557</v>
      </c>
      <c r="EO58" s="242">
        <f>SUM(EO50:EO57,EO70)*Assumptions!$K$31</f>
        <v>-675.659813790557</v>
      </c>
      <c r="EP58" s="242">
        <f>SUM(EP50:EP57,EP70)*Assumptions!$K$31</f>
        <v>-675.659813790557</v>
      </c>
      <c r="EQ58" s="242">
        <f>SUM(EQ50:EQ57,EQ70)*Assumptions!$K$31</f>
        <v>-675.659813790557</v>
      </c>
      <c r="ER58" s="242">
        <f>SUM(ER50:ER57,ER70)*Assumptions!$K$31</f>
        <v>-675.659813790557</v>
      </c>
      <c r="ES58" s="242">
        <f>SUM(ES50:ES57,ES70)*Assumptions!$K$31</f>
        <v>-692.78562688260865</v>
      </c>
      <c r="ET58" s="242">
        <f>SUM(ET50:ET57,ET70)*Assumptions!$K$31</f>
        <v>-695.92960820427379</v>
      </c>
    </row>
    <row r="59" spans="2:150" x14ac:dyDescent="0.2">
      <c r="B59" t="s">
        <v>80</v>
      </c>
      <c r="D59" s="242">
        <f t="shared" ca="1" si="510"/>
        <v>-3963663.4061165019</v>
      </c>
      <c r="F59" s="242">
        <f>IF(F49&gt;0, -(Taxes!$E$11/12)*(Taxes!$E$26/100), 0)</f>
        <v>0</v>
      </c>
      <c r="G59" s="242">
        <f>IF(G49&gt;0, -(Taxes!$E$11/12)*(Taxes!$E$26/100), 0)</f>
        <v>0</v>
      </c>
      <c r="H59" s="242">
        <f>IF(H49&gt;0, -(Taxes!$E$11/12)*(Taxes!$E$26/100), 0)</f>
        <v>0</v>
      </c>
      <c r="I59" s="242">
        <f>IF(I49&gt;0, -(Taxes!$E$11/12)*(Taxes!$E$26/100), 0)</f>
        <v>0</v>
      </c>
      <c r="J59" s="242">
        <f>IF(J49&gt;0, -(Taxes!$E$11/12)*(Taxes!$E$26/100), 0)</f>
        <v>0</v>
      </c>
      <c r="K59" s="242">
        <f>IF(K49&gt;0, -(Taxes!$E$11/12)*(Taxes!$E$26/100), 0)</f>
        <v>0</v>
      </c>
      <c r="L59" s="242">
        <f>IF(L49&gt;0, -(Taxes!$E$11/12)*(Taxes!$E$26/100), 0)</f>
        <v>0</v>
      </c>
      <c r="M59" s="242">
        <f>IF(M49&gt;0, -(Taxes!$E$11/12)*(Taxes!$E$26/100), 0)</f>
        <v>0</v>
      </c>
      <c r="N59" s="242">
        <f>IF(N49&gt;0, -(Taxes!$E$11/12)*(Taxes!$E$26/100), 0)</f>
        <v>0</v>
      </c>
      <c r="O59" s="242">
        <f>IF(O49&gt;0, -(Taxes!$E$11/12)*(Taxes!$E$26/100), 0)</f>
        <v>0</v>
      </c>
      <c r="P59" s="242">
        <f>IF(P49&gt;0, -(Taxes!$E$11/12)*(Taxes!$E$26/100), 0)</f>
        <v>0</v>
      </c>
      <c r="Q59" s="242">
        <f>IF(Q49&gt;0, -(Taxes!$E$11/12)*(Taxes!$E$26/100), 0)</f>
        <v>0</v>
      </c>
      <c r="R59" s="242">
        <f>IF(R49&gt;0, -(Taxes!$E$11/12)*(Taxes!$E$26/100), 0)</f>
        <v>0</v>
      </c>
      <c r="S59" s="242">
        <f>IF(S49&gt;0, -(Taxes!$E$11/12)*(Taxes!$E$26/100), 0)</f>
        <v>0</v>
      </c>
      <c r="T59" s="242">
        <f>IF(T49&gt;0, -(Taxes!$E$11/12)*(Taxes!$E$26/100), 0)</f>
        <v>0</v>
      </c>
      <c r="U59" s="242">
        <f>IF(U49&gt;0, -(Taxes!$E$11/12)*(Taxes!$E$26/100), 0)</f>
        <v>0</v>
      </c>
      <c r="V59" s="242">
        <f>IF(V49&gt;0, -(Taxes!$E$11/12)*(Taxes!$E$26/100), 0)</f>
        <v>0</v>
      </c>
      <c r="W59" s="242">
        <f>IF(W49&gt;0, -(Taxes!$E$11/12)*(Taxes!$E$26/100), 0)</f>
        <v>0</v>
      </c>
      <c r="X59" s="242">
        <f>IF(X49&gt;0, -(Taxes!$E$11/12)*(Taxes!$E$26/100), 0)</f>
        <v>0</v>
      </c>
      <c r="Y59" s="242">
        <f>IF(Y49&gt;0, -(Taxes!$E$11/12)*(Taxes!$E$26/100), 0)</f>
        <v>0</v>
      </c>
      <c r="Z59" s="242">
        <f>IF(Z49&gt;0, -(Taxes!$E$11/12)*(Taxes!$E$26/100), 0)</f>
        <v>0</v>
      </c>
      <c r="AA59" s="242">
        <f>IF(AA49&gt;0, -(Taxes!$E$11/12)*(Taxes!$E$26/100), 0)</f>
        <v>0</v>
      </c>
      <c r="AB59" s="242">
        <f>IF(AB49&gt;0, -(Taxes!$E$11/12)*(Taxes!$E$26/100), 0)</f>
        <v>0</v>
      </c>
      <c r="AC59" s="242">
        <f>IF(AC49&gt;0, -(Taxes!$E$11/12)*(Taxes!$E$26/100), 0)</f>
        <v>0</v>
      </c>
      <c r="AD59" s="242">
        <f>IF(AD49&gt;0, -(Taxes!$E$11/12)*(Taxes!$E$26/100), 0)</f>
        <v>0</v>
      </c>
      <c r="AE59" s="242">
        <f>IF(AE49&gt;0, -(Taxes!$E$11/12)*(Taxes!$E$26/100), 0)</f>
        <v>0</v>
      </c>
      <c r="AF59" s="242">
        <f>IF(AF49&gt;0, -(Taxes!$E$11/12)*(Taxes!$E$26/100), 0)</f>
        <v>0</v>
      </c>
      <c r="AG59" s="242">
        <f>IF(AG49&gt;0, -(Taxes!$E$11/12)*(Taxes!$E$26/100), 0)</f>
        <v>0</v>
      </c>
      <c r="AH59" s="242">
        <f>IF(AH49&gt;0, -(Taxes!$E$11/12)*(Taxes!$E$26/100), 0)</f>
        <v>0</v>
      </c>
      <c r="AI59" s="242">
        <f>IF(AI49&gt;0, -(Taxes!$E$11/12)*(Taxes!$E$26/100), 0)</f>
        <v>0</v>
      </c>
      <c r="AJ59" s="242">
        <f>IF(AJ49&gt;0, -(Taxes!$E$11/12)*(Taxes!$E$26/100), 0)</f>
        <v>0</v>
      </c>
      <c r="AK59" s="242">
        <f>IF(AK49&gt;0, -(Taxes!$E$11/12)*(Taxes!$E$26/100), 0)</f>
        <v>0</v>
      </c>
      <c r="AL59" s="242">
        <f>IF(AL49&gt;0, -(Taxes!$E$11/12)*(Taxes!$E$26/100), 0)</f>
        <v>0</v>
      </c>
      <c r="AM59" s="242">
        <f>IF(AM49&gt;0, -(Taxes!$E$11/12)*(Taxes!$E$26/100), 0)</f>
        <v>0</v>
      </c>
      <c r="AN59" s="242">
        <f>IF(AN49&gt;0, -(Taxes!$E$11/12)*(Taxes!$E$26/100), 0)</f>
        <v>0</v>
      </c>
      <c r="AO59" s="242">
        <f ca="1">IF(AO49&gt;0, -(Taxes!$E$11/12)*(Taxes!$E$26/100), 0)</f>
        <v>-36033.303691968802</v>
      </c>
      <c r="AP59" s="242">
        <f ca="1">IF(AP49&gt;0, -(Taxes!$E$11/12)*(Taxes!$E$26/100), 0)</f>
        <v>-36033.303691968802</v>
      </c>
      <c r="AQ59" s="242">
        <f ca="1">IF(AQ49&gt;0, -(Taxes!$E$11/12)*(Taxes!$E$26/100), 0)</f>
        <v>-36033.303691968802</v>
      </c>
      <c r="AR59" s="242">
        <f ca="1">IF(AR49&gt;0, -(Taxes!$E$11/12)*(Taxes!$E$26/100), 0)</f>
        <v>-36033.303691968802</v>
      </c>
      <c r="AS59" s="242">
        <f ca="1">IF(AS49&gt;0, -(Taxes!$E$11/12)*(Taxes!$E$26/100), 0)</f>
        <v>-36033.303691968802</v>
      </c>
      <c r="AT59" s="242">
        <f ca="1">IF(AT49&gt;0, -(Taxes!$E$11/12)*(Taxes!$E$26/100), 0)</f>
        <v>-36033.303691968802</v>
      </c>
      <c r="AU59" s="242">
        <f ca="1">IF(AU49&gt;0, -(Taxes!$E$11/12)*(Taxes!$E$26/100), 0)</f>
        <v>-36033.303691968802</v>
      </c>
      <c r="AV59" s="242">
        <f ca="1">IF(AV49&gt;0, -(Taxes!$E$11/12)*(Taxes!$E$26/100), 0)</f>
        <v>-36033.303691968802</v>
      </c>
      <c r="AW59" s="242">
        <f ca="1">IF(AW49&gt;0, -(Taxes!$E$11/12)*(Taxes!$E$26/100), 0)</f>
        <v>-36033.303691968802</v>
      </c>
      <c r="AX59" s="242">
        <f ca="1">IF(AX49&gt;0, -(Taxes!$E$11/12)*(Taxes!$E$26/100), 0)</f>
        <v>-36033.303691968802</v>
      </c>
      <c r="AY59" s="242">
        <f ca="1">IF(AY49&gt;0, -(Taxes!$E$11/12)*(Taxes!$E$26/100), 0)</f>
        <v>-36033.303691968802</v>
      </c>
      <c r="AZ59" s="242">
        <f ca="1">IF(AZ49&gt;0, -(Taxes!$E$11/12)*(Taxes!$E$26/100), 0)</f>
        <v>-36033.303691968802</v>
      </c>
      <c r="BA59" s="242">
        <f ca="1">IF(BA49&gt;0, -(Taxes!$E$11/12)*(Taxes!$E$26/100), 0)</f>
        <v>-36033.303691968802</v>
      </c>
      <c r="BB59" s="242">
        <f ca="1">IF(BB49&gt;0, -(Taxes!$E$11/12)*(Taxes!$E$26/100), 0)</f>
        <v>-36033.303691968802</v>
      </c>
      <c r="BC59" s="242">
        <f ca="1">IF(BC49&gt;0, -(Taxes!$E$11/12)*(Taxes!$E$26/100), 0)</f>
        <v>-36033.303691968802</v>
      </c>
      <c r="BD59" s="242">
        <f ca="1">IF(BD49&gt;0, -(Taxes!$E$11/12)*(Taxes!$E$26/100), 0)</f>
        <v>-36033.303691968802</v>
      </c>
      <c r="BE59" s="242">
        <f ca="1">IF(BE49&gt;0, -(Taxes!$E$11/12)*(Taxes!$E$26/100), 0)</f>
        <v>-36033.303691968802</v>
      </c>
      <c r="BF59" s="242">
        <f ca="1">IF(BF49&gt;0, -(Taxes!$E$11/12)*(Taxes!$E$26/100), 0)</f>
        <v>-36033.303691968802</v>
      </c>
      <c r="BG59" s="242">
        <f ca="1">IF(BG49&gt;0, -(Taxes!$E$11/12)*(Taxes!$E$26/100), 0)</f>
        <v>-36033.303691968802</v>
      </c>
      <c r="BH59" s="242">
        <f ca="1">IF(BH49&gt;0, -(Taxes!$E$11/12)*(Taxes!$E$26/100), 0)</f>
        <v>-36033.303691968802</v>
      </c>
      <c r="BI59" s="242">
        <f ca="1">IF(BI49&gt;0, -(Taxes!$E$11/12)*(Taxes!$E$26/100), 0)</f>
        <v>-36033.303691968802</v>
      </c>
      <c r="BJ59" s="242">
        <f ca="1">IF(BJ49&gt;0, -(Taxes!$E$11/12)*(Taxes!$E$26/100), 0)</f>
        <v>-36033.303691968802</v>
      </c>
      <c r="BK59" s="242">
        <f ca="1">IF(BK49&gt;0, -(Taxes!$E$11/12)*(Taxes!$E$26/100), 0)</f>
        <v>-36033.303691968802</v>
      </c>
      <c r="BL59" s="242">
        <f ca="1">IF(BL49&gt;0, -(Taxes!$E$11/12)*(Taxes!$E$26/100), 0)</f>
        <v>-36033.303691968802</v>
      </c>
      <c r="BM59" s="242">
        <f ca="1">IF(BM49&gt;0, -(Taxes!$E$11/12)*(Taxes!$E$26/100), 0)</f>
        <v>-36033.303691968802</v>
      </c>
      <c r="BN59" s="242">
        <f ca="1">IF(BN49&gt;0, -(Taxes!$E$11/12)*(Taxes!$E$26/100), 0)</f>
        <v>-36033.303691968802</v>
      </c>
      <c r="BO59" s="242">
        <f ca="1">IF(BO49&gt;0, -(Taxes!$E$11/12)*(Taxes!$E$26/100), 0)</f>
        <v>-36033.303691968802</v>
      </c>
      <c r="BP59" s="242">
        <f ca="1">IF(BP49&gt;0, -(Taxes!$E$11/12)*(Taxes!$E$26/100), 0)</f>
        <v>-36033.303691968802</v>
      </c>
      <c r="BQ59" s="242">
        <f ca="1">IF(BQ49&gt;0, -(Taxes!$E$11/12)*(Taxes!$E$26/100), 0)</f>
        <v>-36033.303691968802</v>
      </c>
      <c r="BR59" s="242">
        <f ca="1">IF(BR49&gt;0, -(Taxes!$E$11/12)*(Taxes!$E$26/100), 0)</f>
        <v>-36033.303691968802</v>
      </c>
      <c r="BS59" s="242">
        <f ca="1">IF(BS49&gt;0, -(Taxes!$E$11/12)*(Taxes!$E$26/100), 0)</f>
        <v>-36033.303691968802</v>
      </c>
      <c r="BT59" s="242">
        <f ca="1">IF(BT49&gt;0, -(Taxes!$E$11/12)*(Taxes!$E$26/100), 0)</f>
        <v>-36033.303691968802</v>
      </c>
      <c r="BU59" s="242">
        <f ca="1">IF(BU49&gt;0, -(Taxes!$E$11/12)*(Taxes!$E$26/100), 0)</f>
        <v>-36033.303691968802</v>
      </c>
      <c r="BV59" s="242">
        <f ca="1">IF(BV49&gt;0, -(Taxes!$E$11/12)*(Taxes!$E$26/100), 0)</f>
        <v>-36033.303691968802</v>
      </c>
      <c r="BW59" s="242">
        <f ca="1">IF(BW49&gt;0, -(Taxes!$E$11/12)*(Taxes!$E$26/100), 0)</f>
        <v>-36033.303691968802</v>
      </c>
      <c r="BX59" s="242">
        <f ca="1">IF(BX49&gt;0, -(Taxes!$E$11/12)*(Taxes!$E$26/100), 0)</f>
        <v>-36033.303691968802</v>
      </c>
      <c r="BY59" s="242">
        <f ca="1">IF(BY49&gt;0, -(Taxes!$E$11/12)*(Taxes!$E$26/100), 0)</f>
        <v>-36033.303691968802</v>
      </c>
      <c r="BZ59" s="242">
        <f ca="1">IF(BZ49&gt;0, -(Taxes!$E$11/12)*(Taxes!$E$26/100), 0)</f>
        <v>-36033.303691968802</v>
      </c>
      <c r="CA59" s="242">
        <f ca="1">IF(CA49&gt;0, -(Taxes!$E$11/12)*(Taxes!$E$26/100), 0)</f>
        <v>-36033.303691968802</v>
      </c>
      <c r="CB59" s="242">
        <f ca="1">IF(CB49&gt;0, -(Taxes!$E$11/12)*(Taxes!$E$26/100), 0)</f>
        <v>-36033.303691968802</v>
      </c>
      <c r="CC59" s="242">
        <f ca="1">IF(CC49&gt;0, -(Taxes!$E$11/12)*(Taxes!$E$26/100), 0)</f>
        <v>-36033.303691968802</v>
      </c>
      <c r="CD59" s="242">
        <f ca="1">IF(CD49&gt;0, -(Taxes!$E$11/12)*(Taxes!$E$26/100), 0)</f>
        <v>-36033.303691968802</v>
      </c>
      <c r="CE59" s="242">
        <f ca="1">IF(CE49&gt;0, -(Taxes!$E$11/12)*(Taxes!$E$26/100), 0)</f>
        <v>-36033.303691968802</v>
      </c>
      <c r="CF59" s="242">
        <f ca="1">IF(CF49&gt;0, -(Taxes!$E$11/12)*(Taxes!$E$26/100), 0)</f>
        <v>-36033.303691968802</v>
      </c>
      <c r="CG59" s="242">
        <f ca="1">IF(CG49&gt;0, -(Taxes!$E$11/12)*(Taxes!$E$26/100), 0)</f>
        <v>-36033.303691968802</v>
      </c>
      <c r="CH59" s="242">
        <f ca="1">IF(CH49&gt;0, -(Taxes!$E$11/12)*(Taxes!$E$26/100), 0)</f>
        <v>-36033.303691968802</v>
      </c>
      <c r="CI59" s="242">
        <f ca="1">IF(CI49&gt;0, -(Taxes!$E$11/12)*(Taxes!$E$26/100), 0)</f>
        <v>-36033.303691968802</v>
      </c>
      <c r="CJ59" s="242">
        <f ca="1">IF(CJ49&gt;0, -(Taxes!$E$11/12)*(Taxes!$E$26/100), 0)</f>
        <v>-36033.303691968802</v>
      </c>
      <c r="CK59" s="242">
        <f ca="1">IF(CK49&gt;0, -(Taxes!$E$11/12)*(Taxes!$E$26/100), 0)</f>
        <v>-36033.303691968802</v>
      </c>
      <c r="CL59" s="242">
        <f ca="1">IF(CL49&gt;0, -(Taxes!$E$11/12)*(Taxes!$E$26/100), 0)</f>
        <v>-36033.303691968802</v>
      </c>
      <c r="CM59" s="242">
        <f ca="1">IF(CM49&gt;0, -(Taxes!$E$11/12)*(Taxes!$E$26/100), 0)</f>
        <v>-36033.303691968802</v>
      </c>
      <c r="CN59" s="242">
        <f ca="1">IF(CN49&gt;0, -(Taxes!$E$11/12)*(Taxes!$E$26/100), 0)</f>
        <v>-36033.303691968802</v>
      </c>
      <c r="CO59" s="242">
        <f ca="1">IF(CO49&gt;0, -(Taxes!$E$11/12)*(Taxes!$E$26/100), 0)</f>
        <v>-36033.303691968802</v>
      </c>
      <c r="CP59" s="242">
        <f ca="1">IF(CP49&gt;0, -(Taxes!$E$11/12)*(Taxes!$E$26/100), 0)</f>
        <v>-36033.303691968802</v>
      </c>
      <c r="CQ59" s="242">
        <f ca="1">IF(CQ49&gt;0, -(Taxes!$E$11/12)*(Taxes!$E$26/100), 0)</f>
        <v>-36033.303691968802</v>
      </c>
      <c r="CR59" s="242">
        <f ca="1">IF(CR49&gt;0, -(Taxes!$E$11/12)*(Taxes!$E$26/100), 0)</f>
        <v>-36033.303691968802</v>
      </c>
      <c r="CS59" s="242">
        <f ca="1">IF(CS49&gt;0, -(Taxes!$E$11/12)*(Taxes!$E$26/100), 0)</f>
        <v>-36033.303691968802</v>
      </c>
      <c r="CT59" s="242">
        <f ca="1">IF(CT49&gt;0, -(Taxes!$E$11/12)*(Taxes!$E$26/100), 0)</f>
        <v>-36033.303691968802</v>
      </c>
      <c r="CU59" s="242">
        <f ca="1">IF(CU49&gt;0, -(Taxes!$E$11/12)*(Taxes!$E$26/100), 0)</f>
        <v>-36033.303691968802</v>
      </c>
      <c r="CV59" s="242">
        <f ca="1">IF(CV49&gt;0, -(Taxes!$E$11/12)*(Taxes!$E$26/100), 0)</f>
        <v>-36033.303691968802</v>
      </c>
      <c r="CW59" s="242">
        <f ca="1">IF(CW49&gt;0, -(Taxes!$E$11/12)*(Taxes!$E$26/100), 0)</f>
        <v>-36033.303691968802</v>
      </c>
      <c r="CX59" s="242">
        <f ca="1">IF(CX49&gt;0, -(Taxes!$E$11/12)*(Taxes!$E$26/100), 0)</f>
        <v>-36033.303691968802</v>
      </c>
      <c r="CY59" s="242">
        <f ca="1">IF(CY49&gt;0, -(Taxes!$E$11/12)*(Taxes!$E$26/100), 0)</f>
        <v>-36033.303691968802</v>
      </c>
      <c r="CZ59" s="242">
        <f ca="1">IF(CZ49&gt;0, -(Taxes!$E$11/12)*(Taxes!$E$26/100), 0)</f>
        <v>-36033.303691968802</v>
      </c>
      <c r="DA59" s="242">
        <f ca="1">IF(DA49&gt;0, -(Taxes!$E$11/12)*(Taxes!$E$26/100), 0)</f>
        <v>-36033.303691968802</v>
      </c>
      <c r="DB59" s="242">
        <f ca="1">IF(DB49&gt;0, -(Taxes!$E$11/12)*(Taxes!$E$26/100), 0)</f>
        <v>-36033.303691968802</v>
      </c>
      <c r="DC59" s="242">
        <f ca="1">IF(DC49&gt;0, -(Taxes!$E$11/12)*(Taxes!$E$26/100), 0)</f>
        <v>-36033.303691968802</v>
      </c>
      <c r="DD59" s="242">
        <f ca="1">IF(DD49&gt;0, -(Taxes!$E$11/12)*(Taxes!$E$26/100), 0)</f>
        <v>-36033.303691968802</v>
      </c>
      <c r="DE59" s="242">
        <f ca="1">IF(DE49&gt;0, -(Taxes!$E$11/12)*(Taxes!$E$26/100), 0)</f>
        <v>-36033.303691968802</v>
      </c>
      <c r="DF59" s="242">
        <f ca="1">IF(DF49&gt;0, -(Taxes!$E$11/12)*(Taxes!$E$26/100), 0)</f>
        <v>-36033.303691968802</v>
      </c>
      <c r="DG59" s="242">
        <f ca="1">IF(DG49&gt;0, -(Taxes!$E$11/12)*(Taxes!$E$26/100), 0)</f>
        <v>-36033.303691968802</v>
      </c>
      <c r="DH59" s="242">
        <f ca="1">IF(DH49&gt;0, -(Taxes!$E$11/12)*(Taxes!$E$26/100), 0)</f>
        <v>-36033.303691968802</v>
      </c>
      <c r="DI59" s="242">
        <f ca="1">IF(DI49&gt;0, -(Taxes!$E$11/12)*(Taxes!$E$26/100), 0)</f>
        <v>-36033.303691968802</v>
      </c>
      <c r="DJ59" s="242">
        <f ca="1">IF(DJ49&gt;0, -(Taxes!$E$11/12)*(Taxes!$E$26/100), 0)</f>
        <v>-36033.303691968802</v>
      </c>
      <c r="DK59" s="242">
        <f ca="1">IF(DK49&gt;0, -(Taxes!$E$11/12)*(Taxes!$E$26/100), 0)</f>
        <v>-36033.303691968802</v>
      </c>
      <c r="DL59" s="242">
        <f ca="1">IF(DL49&gt;0, -(Taxes!$E$11/12)*(Taxes!$E$26/100), 0)</f>
        <v>-36033.303691968802</v>
      </c>
      <c r="DM59" s="242">
        <f ca="1">IF(DM49&gt;0, -(Taxes!$E$11/12)*(Taxes!$E$26/100), 0)</f>
        <v>-36033.303691968802</v>
      </c>
      <c r="DN59" s="242">
        <f ca="1">IF(DN49&gt;0, -(Taxes!$E$11/12)*(Taxes!$E$26/100), 0)</f>
        <v>-36033.303691968802</v>
      </c>
      <c r="DO59" s="242">
        <f ca="1">IF(DO49&gt;0, -(Taxes!$E$11/12)*(Taxes!$E$26/100), 0)</f>
        <v>-36033.303691968802</v>
      </c>
      <c r="DP59" s="242">
        <f ca="1">IF(DP49&gt;0, -(Taxes!$E$11/12)*(Taxes!$E$26/100), 0)</f>
        <v>-36033.303691968802</v>
      </c>
      <c r="DQ59" s="242">
        <f ca="1">IF(DQ49&gt;0, -(Taxes!$E$11/12)*(Taxes!$E$26/100), 0)</f>
        <v>-36033.303691968802</v>
      </c>
      <c r="DR59" s="242">
        <f ca="1">IF(DR49&gt;0, -(Taxes!$E$11/12)*(Taxes!$E$26/100), 0)</f>
        <v>-36033.303691968802</v>
      </c>
      <c r="DS59" s="242">
        <f ca="1">IF(DS49&gt;0, -(Taxes!$E$11/12)*(Taxes!$E$26/100), 0)</f>
        <v>-36033.303691968802</v>
      </c>
      <c r="DT59" s="242">
        <f ca="1">IF(DT49&gt;0, -(Taxes!$E$11/12)*(Taxes!$E$26/100), 0)</f>
        <v>-36033.303691968802</v>
      </c>
      <c r="DU59" s="242">
        <f ca="1">IF(DU49&gt;0, -(Taxes!$E$11/12)*(Taxes!$E$26/100), 0)</f>
        <v>-36033.303691968802</v>
      </c>
      <c r="DV59" s="242">
        <f ca="1">IF(DV49&gt;0, -(Taxes!$E$11/12)*(Taxes!$E$26/100), 0)</f>
        <v>-36033.303691968802</v>
      </c>
      <c r="DW59" s="242">
        <f ca="1">IF(DW49&gt;0, -(Taxes!$E$11/12)*(Taxes!$E$26/100), 0)</f>
        <v>-36033.303691968802</v>
      </c>
      <c r="DX59" s="242">
        <f ca="1">IF(DX49&gt;0, -(Taxes!$E$11/12)*(Taxes!$E$26/100), 0)</f>
        <v>-36033.303691968802</v>
      </c>
      <c r="DY59" s="242">
        <f ca="1">IF(DY49&gt;0, -(Taxes!$E$11/12)*(Taxes!$E$26/100), 0)</f>
        <v>-36033.303691968802</v>
      </c>
      <c r="DZ59" s="242">
        <f ca="1">IF(DZ49&gt;0, -(Taxes!$E$11/12)*(Taxes!$E$26/100), 0)</f>
        <v>-36033.303691968802</v>
      </c>
      <c r="EA59" s="242">
        <f ca="1">IF(EA49&gt;0, -(Taxes!$E$11/12)*(Taxes!$E$26/100), 0)</f>
        <v>-36033.303691968802</v>
      </c>
      <c r="EB59" s="242">
        <f ca="1">IF(EB49&gt;0, -(Taxes!$E$11/12)*(Taxes!$E$26/100), 0)</f>
        <v>-36033.303691968802</v>
      </c>
      <c r="EC59" s="242">
        <f ca="1">IF(EC49&gt;0, -(Taxes!$E$11/12)*(Taxes!$E$26/100), 0)</f>
        <v>-36033.303691968802</v>
      </c>
      <c r="ED59" s="242">
        <f ca="1">IF(ED49&gt;0, -(Taxes!$E$11/12)*(Taxes!$E$26/100), 0)</f>
        <v>-36033.303691968802</v>
      </c>
      <c r="EE59" s="242">
        <f ca="1">IF(EE49&gt;0, -(Taxes!$E$11/12)*(Taxes!$E$26/100), 0)</f>
        <v>-36033.303691968802</v>
      </c>
      <c r="EF59" s="242">
        <f ca="1">IF(EF49&gt;0, -(Taxes!$E$11/12)*(Taxes!$E$26/100), 0)</f>
        <v>-36033.303691968802</v>
      </c>
      <c r="EG59" s="242">
        <f ca="1">IF(EG49&gt;0, -(Taxes!$E$11/12)*(Taxes!$E$26/100), 0)</f>
        <v>-36033.303691968802</v>
      </c>
      <c r="EH59" s="242">
        <f ca="1">IF(EH49&gt;0, -(Taxes!$E$11/12)*(Taxes!$E$26/100), 0)</f>
        <v>-36033.303691968802</v>
      </c>
      <c r="EI59" s="242">
        <f ca="1">IF(EI49&gt;0, -(Taxes!$E$11/12)*(Taxes!$E$26/100), 0)</f>
        <v>-36033.303691968802</v>
      </c>
      <c r="EJ59" s="242">
        <f ca="1">IF(EJ49&gt;0, -(Taxes!$E$11/12)*(Taxes!$E$26/100), 0)</f>
        <v>-36033.303691968802</v>
      </c>
      <c r="EK59" s="242">
        <f ca="1">IF(EK49&gt;0, -(Taxes!$E$11/12)*(Taxes!$E$26/100), 0)</f>
        <v>-36033.303691968802</v>
      </c>
      <c r="EL59" s="242">
        <f ca="1">IF(EL49&gt;0, -(Taxes!$E$11/12)*(Taxes!$E$26/100), 0)</f>
        <v>-36033.303691968802</v>
      </c>
      <c r="EM59" s="242">
        <f ca="1">IF(EM49&gt;0, -(Taxes!$E$11/12)*(Taxes!$E$26/100), 0)</f>
        <v>-36033.303691968802</v>
      </c>
      <c r="EN59" s="242">
        <f ca="1">IF(EN49&gt;0, -(Taxes!$E$11/12)*(Taxes!$E$26/100), 0)</f>
        <v>-36033.303691968802</v>
      </c>
      <c r="EO59" s="242">
        <f ca="1">IF(EO49&gt;0, -(Taxes!$E$11/12)*(Taxes!$E$26/100), 0)</f>
        <v>-36033.303691968802</v>
      </c>
      <c r="EP59" s="242">
        <f ca="1">IF(EP49&gt;0, -(Taxes!$E$11/12)*(Taxes!$E$26/100), 0)</f>
        <v>-36033.303691968802</v>
      </c>
      <c r="EQ59" s="242">
        <f ca="1">IF(EQ49&gt;0, -(Taxes!$E$11/12)*(Taxes!$E$26/100), 0)</f>
        <v>-36033.303691968802</v>
      </c>
      <c r="ER59" s="242">
        <f ca="1">IF(ER49&gt;0, -(Taxes!$E$11/12)*(Taxes!$E$26/100), 0)</f>
        <v>-36033.303691968802</v>
      </c>
      <c r="ES59" s="242">
        <f ca="1">IF(ES49&gt;0, -(Taxes!$E$11/12)*(Taxes!$E$26/100), 0)</f>
        <v>-36033.303691968802</v>
      </c>
      <c r="ET59" s="242">
        <f ca="1">IF(ET49&gt;0, -(Taxes!$E$11/12)*(Taxes!$E$26/100), 0)</f>
        <v>-36033.303691968802</v>
      </c>
    </row>
    <row r="60" spans="2:150" x14ac:dyDescent="0.2">
      <c r="B60" t="s">
        <v>154</v>
      </c>
      <c r="D60" s="242">
        <f t="shared" si="510"/>
        <v>-68485.350944645965</v>
      </c>
      <c r="F60" s="242">
        <f>-IF(F$6&gt;=Assumptions!$F$38,Assumptions!$L$29/12*(1+Assumptions!$K$32)^ROUNDDOWN(YEARFRAC(F$6,Assumptions!$F$38),0),0)</f>
        <v>0</v>
      </c>
      <c r="G60" s="242">
        <f>-IF(G$6&gt;=Assumptions!$F$38,Assumptions!$L$29/12*(1+Assumptions!$K$32)^ROUNDDOWN(YEARFRAC(G$6,Assumptions!$F$38),0),0)</f>
        <v>0</v>
      </c>
      <c r="H60" s="242">
        <f>-IF(H$6&gt;=Assumptions!$F$38,Assumptions!$L$29/12*(1+Assumptions!$K$32)^ROUNDDOWN(YEARFRAC(H$6,Assumptions!$F$38),0),0)</f>
        <v>0</v>
      </c>
      <c r="I60" s="242">
        <f>-IF(I$6&gt;=Assumptions!$F$38,Assumptions!$L$29/12*(1+Assumptions!$K$32)^ROUNDDOWN(YEARFRAC(I$6,Assumptions!$F$38),0),0)</f>
        <v>0</v>
      </c>
      <c r="J60" s="242">
        <f>-IF(J$6&gt;=Assumptions!$F$38,Assumptions!$L$29/12*(1+Assumptions!$K$32)^ROUNDDOWN(YEARFRAC(J$6,Assumptions!$F$38),0),0)</f>
        <v>0</v>
      </c>
      <c r="K60" s="242">
        <f>-IF(K$6&gt;=Assumptions!$F$38,Assumptions!$L$29/12*(1+Assumptions!$K$32)^ROUNDDOWN(YEARFRAC(K$6,Assumptions!$F$38),0),0)</f>
        <v>0</v>
      </c>
      <c r="L60" s="242">
        <f>-IF(L$6&gt;=Assumptions!$F$38,Assumptions!$L$29/12*(1+Assumptions!$K$32)^ROUNDDOWN(YEARFRAC(L$6,Assumptions!$F$38),0),0)</f>
        <v>0</v>
      </c>
      <c r="M60" s="242">
        <f>-IF(M$6&gt;=Assumptions!$F$38,Assumptions!$L$29/12*(1+Assumptions!$K$32)^ROUNDDOWN(YEARFRAC(M$6,Assumptions!$F$38),0),0)</f>
        <v>0</v>
      </c>
      <c r="N60" s="242">
        <f>-IF(N$6&gt;=Assumptions!$F$38,Assumptions!$L$29/12*(1+Assumptions!$K$32)^ROUNDDOWN(YEARFRAC(N$6,Assumptions!$F$38),0),0)</f>
        <v>0</v>
      </c>
      <c r="O60" s="242">
        <f>-IF(O$6&gt;=Assumptions!$F$38,Assumptions!$L$29/12*(1+Assumptions!$K$32)^ROUNDDOWN(YEARFRAC(O$6,Assumptions!$F$38),0),0)</f>
        <v>0</v>
      </c>
      <c r="P60" s="242">
        <f>-IF(P$6&gt;=Assumptions!$F$38,Assumptions!$L$29/12*(1+Assumptions!$K$32)^ROUNDDOWN(YEARFRAC(P$6,Assumptions!$F$38),0),0)</f>
        <v>0</v>
      </c>
      <c r="Q60" s="242">
        <f>-IF(Q$6&gt;=Assumptions!$F$38,Assumptions!$L$29/12*(1+Assumptions!$K$32)^ROUNDDOWN(YEARFRAC(Q$6,Assumptions!$F$38),0),0)</f>
        <v>0</v>
      </c>
      <c r="R60" s="242">
        <f>-IF(R$6&gt;=Assumptions!$F$38,Assumptions!$L$29/12*(1+Assumptions!$K$32)^ROUNDDOWN(YEARFRAC(R$6,Assumptions!$F$38),0),0)</f>
        <v>0</v>
      </c>
      <c r="S60" s="242">
        <f>-IF(S$6&gt;=Assumptions!$F$38,Assumptions!$L$29/12*(1+Assumptions!$K$32)^ROUNDDOWN(YEARFRAC(S$6,Assumptions!$F$38),0),0)</f>
        <v>0</v>
      </c>
      <c r="T60" s="242">
        <f>-IF(T$6&gt;=Assumptions!$F$38,Assumptions!$L$29/12*(1+Assumptions!$K$32)^ROUNDDOWN(YEARFRAC(T$6,Assumptions!$F$38),0),0)</f>
        <v>0</v>
      </c>
      <c r="U60" s="242">
        <f>-IF(U$6&gt;=Assumptions!$F$38,Assumptions!$L$29/12*(1+Assumptions!$K$32)^ROUNDDOWN(YEARFRAC(U$6,Assumptions!$F$38),0),0)</f>
        <v>0</v>
      </c>
      <c r="V60" s="242">
        <f>-IF(V$6&gt;=Assumptions!$F$38,Assumptions!$L$29/12*(1+Assumptions!$K$32)^ROUNDDOWN(YEARFRAC(V$6,Assumptions!$F$38),0),0)</f>
        <v>0</v>
      </c>
      <c r="W60" s="242">
        <f>-IF(W$6&gt;=Assumptions!$F$38,Assumptions!$L$29/12*(1+Assumptions!$K$32)^ROUNDDOWN(YEARFRAC(W$6,Assumptions!$F$38),0),0)</f>
        <v>0</v>
      </c>
      <c r="X60" s="242">
        <f>-IF(X$6&gt;=Assumptions!$F$38,Assumptions!$L$29/12*(1+Assumptions!$K$32)^ROUNDDOWN(YEARFRAC(X$6,Assumptions!$F$38),0),0)</f>
        <v>0</v>
      </c>
      <c r="Y60" s="242">
        <f>-IF(Y$6&gt;=Assumptions!$F$38,Assumptions!$L$29/12*(1+Assumptions!$K$32)^ROUNDDOWN(YEARFRAC(Y$6,Assumptions!$F$38),0),0)</f>
        <v>0</v>
      </c>
      <c r="Z60" s="242">
        <f>-IF(Z$6&gt;=Assumptions!$F$38,Assumptions!$L$29/12*(1+Assumptions!$K$32)^ROUNDDOWN(YEARFRAC(Z$6,Assumptions!$F$38),0),0)</f>
        <v>0</v>
      </c>
      <c r="AA60" s="242">
        <f>-IF(AA$6&gt;=Assumptions!$F$38,Assumptions!$L$29/12*(1+Assumptions!$K$32)^ROUNDDOWN(YEARFRAC(AA$6,Assumptions!$F$38),0),0)</f>
        <v>0</v>
      </c>
      <c r="AB60" s="242">
        <f>-IF(AB$6&gt;=Assumptions!$F$38,Assumptions!$L$29/12*(1+Assumptions!$K$32)^ROUNDDOWN(YEARFRAC(AB$6,Assumptions!$F$38),0),0)</f>
        <v>0</v>
      </c>
      <c r="AC60" s="242">
        <f>-IF(AC$6&gt;=Assumptions!$F$38,Assumptions!$L$29/12*(1+Assumptions!$K$32)^ROUNDDOWN(YEARFRAC(AC$6,Assumptions!$F$38),0),0)</f>
        <v>0</v>
      </c>
      <c r="AD60" s="242">
        <f>-IF(AD$6&gt;=Assumptions!$F$38,Assumptions!$L$29/12*(1+Assumptions!$K$32)^ROUNDDOWN(YEARFRAC(AD$6,Assumptions!$F$38),0),0)</f>
        <v>0</v>
      </c>
      <c r="AE60" s="242">
        <f>-IF(AE$6&gt;=Assumptions!$F$38,Assumptions!$L$29/12*(1+Assumptions!$K$32)^ROUNDDOWN(YEARFRAC(AE$6,Assumptions!$F$38),0),0)</f>
        <v>0</v>
      </c>
      <c r="AF60" s="242">
        <f>-IF(AF$6&gt;=Assumptions!$F$38,Assumptions!$L$29/12*(1+Assumptions!$K$32)^ROUNDDOWN(YEARFRAC(AF$6,Assumptions!$F$38),0),0)</f>
        <v>0</v>
      </c>
      <c r="AG60" s="242">
        <f>-IF(AG$6&gt;=Assumptions!$F$38,Assumptions!$L$29/12*(1+Assumptions!$K$32)^ROUNDDOWN(YEARFRAC(AG$6,Assumptions!$F$38),0),0)</f>
        <v>0</v>
      </c>
      <c r="AH60" s="242">
        <f>-IF(AH$6&gt;=Assumptions!$F$38,Assumptions!$L$29/12*(1+Assumptions!$K$32)^ROUNDDOWN(YEARFRAC(AH$6,Assumptions!$F$38),0),0)</f>
        <v>0</v>
      </c>
      <c r="AI60" s="242">
        <f>-IF(AI$6&gt;=Assumptions!$F$38,Assumptions!$L$29/12*(1+Assumptions!$K$32)^ROUNDDOWN(YEARFRAC(AI$6,Assumptions!$F$38),0),0)</f>
        <v>0</v>
      </c>
      <c r="AJ60" s="242">
        <f>-IF(AJ$6&gt;=Assumptions!$F$38,Assumptions!$L$29/12*(1+Assumptions!$K$32)^ROUNDDOWN(YEARFRAC(AJ$6,Assumptions!$F$38),0),0)</f>
        <v>0</v>
      </c>
      <c r="AK60" s="242">
        <f>-IF(AK$6&gt;=Assumptions!$F$38,Assumptions!$L$29/12*(1+Assumptions!$K$32)^ROUNDDOWN(YEARFRAC(AK$6,Assumptions!$F$38),0),0)</f>
        <v>0</v>
      </c>
      <c r="AL60" s="242">
        <f>-IF(AL$6&gt;=Assumptions!$F$38,Assumptions!$L$29/12*(1+Assumptions!$K$32)^ROUNDDOWN(YEARFRAC(AL$6,Assumptions!$F$38),0),0)</f>
        <v>0</v>
      </c>
      <c r="AM60" s="242">
        <f>-IF(AM$6&gt;=Assumptions!$F$38,Assumptions!$L$29/12*(1+Assumptions!$K$32)^ROUNDDOWN(YEARFRAC(AM$6,Assumptions!$F$38),0),0)</f>
        <v>0</v>
      </c>
      <c r="AN60" s="242">
        <f>-IF(AN$6&gt;=Assumptions!$F$38,Assumptions!$L$29/12*(1+Assumptions!$K$32)^ROUNDDOWN(YEARFRAC(AN$6,Assumptions!$F$38),0),0)</f>
        <v>0</v>
      </c>
      <c r="AO60" s="242">
        <f>-IF(AO$6&gt;=Assumptions!$F$38,Assumptions!$L$29/12*(1+Assumptions!$K$32)^ROUNDDOWN(YEARFRAC(AO$6,Assumptions!$F$38),0),0)</f>
        <v>-550</v>
      </c>
      <c r="AP60" s="242">
        <f>-IF(AP$6&gt;=Assumptions!$F$38,Assumptions!$L$29/12*(1+Assumptions!$K$32)^ROUNDDOWN(YEARFRAC(AP$6,Assumptions!$F$38),0),0)</f>
        <v>-550</v>
      </c>
      <c r="AQ60" s="242">
        <f>-IF(AQ$6&gt;=Assumptions!$F$38,Assumptions!$L$29/12*(1+Assumptions!$K$32)^ROUNDDOWN(YEARFRAC(AQ$6,Assumptions!$F$38),0),0)</f>
        <v>-550</v>
      </c>
      <c r="AR60" s="242">
        <f>-IF(AR$6&gt;=Assumptions!$F$38,Assumptions!$L$29/12*(1+Assumptions!$K$32)^ROUNDDOWN(YEARFRAC(AR$6,Assumptions!$F$38),0),0)</f>
        <v>-550</v>
      </c>
      <c r="AS60" s="242">
        <f>-IF(AS$6&gt;=Assumptions!$F$38,Assumptions!$L$29/12*(1+Assumptions!$K$32)^ROUNDDOWN(YEARFRAC(AS$6,Assumptions!$F$38),0),0)</f>
        <v>-550</v>
      </c>
      <c r="AT60" s="242">
        <f>-IF(AT$6&gt;=Assumptions!$F$38,Assumptions!$L$29/12*(1+Assumptions!$K$32)^ROUNDDOWN(YEARFRAC(AT$6,Assumptions!$F$38),0),0)</f>
        <v>-550</v>
      </c>
      <c r="AU60" s="242">
        <f>-IF(AU$6&gt;=Assumptions!$F$38,Assumptions!$L$29/12*(1+Assumptions!$K$32)^ROUNDDOWN(YEARFRAC(AU$6,Assumptions!$F$38),0),0)</f>
        <v>-550</v>
      </c>
      <c r="AV60" s="242">
        <f>-IF(AV$6&gt;=Assumptions!$F$38,Assumptions!$L$29/12*(1+Assumptions!$K$32)^ROUNDDOWN(YEARFRAC(AV$6,Assumptions!$F$38),0),0)</f>
        <v>-550</v>
      </c>
      <c r="AW60" s="242">
        <f>-IF(AW$6&gt;=Assumptions!$F$38,Assumptions!$L$29/12*(1+Assumptions!$K$32)^ROUNDDOWN(YEARFRAC(AW$6,Assumptions!$F$38),0),0)</f>
        <v>-550</v>
      </c>
      <c r="AX60" s="242">
        <f>-IF(AX$6&gt;=Assumptions!$F$38,Assumptions!$L$29/12*(1+Assumptions!$K$32)^ROUNDDOWN(YEARFRAC(AX$6,Assumptions!$F$38),0),0)</f>
        <v>-550</v>
      </c>
      <c r="AY60" s="242">
        <f>-IF(AY$6&gt;=Assumptions!$F$38,Assumptions!$L$29/12*(1+Assumptions!$K$32)^ROUNDDOWN(YEARFRAC(AY$6,Assumptions!$F$38),0),0)</f>
        <v>-550</v>
      </c>
      <c r="AZ60" s="242">
        <f>-IF(AZ$6&gt;=Assumptions!$F$38,Assumptions!$L$29/12*(1+Assumptions!$K$32)^ROUNDDOWN(YEARFRAC(AZ$6,Assumptions!$F$38),0),0)</f>
        <v>-550</v>
      </c>
      <c r="BA60" s="242">
        <f>-IF(BA$6&gt;=Assumptions!$F$38,Assumptions!$L$29/12*(1+Assumptions!$K$32)^ROUNDDOWN(YEARFRAC(BA$6,Assumptions!$F$38),0),0)</f>
        <v>-566.5</v>
      </c>
      <c r="BB60" s="242">
        <f>-IF(BB$6&gt;=Assumptions!$F$38,Assumptions!$L$29/12*(1+Assumptions!$K$32)^ROUNDDOWN(YEARFRAC(BB$6,Assumptions!$F$38),0),0)</f>
        <v>-566.5</v>
      </c>
      <c r="BC60" s="242">
        <f>-IF(BC$6&gt;=Assumptions!$F$38,Assumptions!$L$29/12*(1+Assumptions!$K$32)^ROUNDDOWN(YEARFRAC(BC$6,Assumptions!$F$38),0),0)</f>
        <v>-566.5</v>
      </c>
      <c r="BD60" s="242">
        <f>-IF(BD$6&gt;=Assumptions!$F$38,Assumptions!$L$29/12*(1+Assumptions!$K$32)^ROUNDDOWN(YEARFRAC(BD$6,Assumptions!$F$38),0),0)</f>
        <v>-566.5</v>
      </c>
      <c r="BE60" s="242">
        <f>-IF(BE$6&gt;=Assumptions!$F$38,Assumptions!$L$29/12*(1+Assumptions!$K$32)^ROUNDDOWN(YEARFRAC(BE$6,Assumptions!$F$38),0),0)</f>
        <v>-566.5</v>
      </c>
      <c r="BF60" s="242">
        <f>-IF(BF$6&gt;=Assumptions!$F$38,Assumptions!$L$29/12*(1+Assumptions!$K$32)^ROUNDDOWN(YEARFRAC(BF$6,Assumptions!$F$38),0),0)</f>
        <v>-566.5</v>
      </c>
      <c r="BG60" s="242">
        <f>-IF(BG$6&gt;=Assumptions!$F$38,Assumptions!$L$29/12*(1+Assumptions!$K$32)^ROUNDDOWN(YEARFRAC(BG$6,Assumptions!$F$38),0),0)</f>
        <v>-566.5</v>
      </c>
      <c r="BH60" s="242">
        <f>-IF(BH$6&gt;=Assumptions!$F$38,Assumptions!$L$29/12*(1+Assumptions!$K$32)^ROUNDDOWN(YEARFRAC(BH$6,Assumptions!$F$38),0),0)</f>
        <v>-566.5</v>
      </c>
      <c r="BI60" s="242">
        <f>-IF(BI$6&gt;=Assumptions!$F$38,Assumptions!$L$29/12*(1+Assumptions!$K$32)^ROUNDDOWN(YEARFRAC(BI$6,Assumptions!$F$38),0),0)</f>
        <v>-566.5</v>
      </c>
      <c r="BJ60" s="242">
        <f>-IF(BJ$6&gt;=Assumptions!$F$38,Assumptions!$L$29/12*(1+Assumptions!$K$32)^ROUNDDOWN(YEARFRAC(BJ$6,Assumptions!$F$38),0),0)</f>
        <v>-566.5</v>
      </c>
      <c r="BK60" s="242">
        <f>-IF(BK$6&gt;=Assumptions!$F$38,Assumptions!$L$29/12*(1+Assumptions!$K$32)^ROUNDDOWN(YEARFRAC(BK$6,Assumptions!$F$38),0),0)</f>
        <v>-566.5</v>
      </c>
      <c r="BL60" s="242">
        <f>-IF(BL$6&gt;=Assumptions!$F$38,Assumptions!$L$29/12*(1+Assumptions!$K$32)^ROUNDDOWN(YEARFRAC(BL$6,Assumptions!$F$38),0),0)</f>
        <v>-566.5</v>
      </c>
      <c r="BM60" s="242">
        <f>-IF(BM$6&gt;=Assumptions!$F$38,Assumptions!$L$29/12*(1+Assumptions!$K$32)^ROUNDDOWN(YEARFRAC(BM$6,Assumptions!$F$38),0),0)</f>
        <v>-583.495</v>
      </c>
      <c r="BN60" s="242">
        <f>-IF(BN$6&gt;=Assumptions!$F$38,Assumptions!$L$29/12*(1+Assumptions!$K$32)^ROUNDDOWN(YEARFRAC(BN$6,Assumptions!$F$38),0),0)</f>
        <v>-583.495</v>
      </c>
      <c r="BO60" s="242">
        <f>-IF(BO$6&gt;=Assumptions!$F$38,Assumptions!$L$29/12*(1+Assumptions!$K$32)^ROUNDDOWN(YEARFRAC(BO$6,Assumptions!$F$38),0),0)</f>
        <v>-583.495</v>
      </c>
      <c r="BP60" s="242">
        <f>-IF(BP$6&gt;=Assumptions!$F$38,Assumptions!$L$29/12*(1+Assumptions!$K$32)^ROUNDDOWN(YEARFRAC(BP$6,Assumptions!$F$38),0),0)</f>
        <v>-583.495</v>
      </c>
      <c r="BQ60" s="242">
        <f>-IF(BQ$6&gt;=Assumptions!$F$38,Assumptions!$L$29/12*(1+Assumptions!$K$32)^ROUNDDOWN(YEARFRAC(BQ$6,Assumptions!$F$38),0),0)</f>
        <v>-583.495</v>
      </c>
      <c r="BR60" s="242">
        <f>-IF(BR$6&gt;=Assumptions!$F$38,Assumptions!$L$29/12*(1+Assumptions!$K$32)^ROUNDDOWN(YEARFRAC(BR$6,Assumptions!$F$38),0),0)</f>
        <v>-583.495</v>
      </c>
      <c r="BS60" s="242">
        <f>-IF(BS$6&gt;=Assumptions!$F$38,Assumptions!$L$29/12*(1+Assumptions!$K$32)^ROUNDDOWN(YEARFRAC(BS$6,Assumptions!$F$38),0),0)</f>
        <v>-583.495</v>
      </c>
      <c r="BT60" s="242">
        <f>-IF(BT$6&gt;=Assumptions!$F$38,Assumptions!$L$29/12*(1+Assumptions!$K$32)^ROUNDDOWN(YEARFRAC(BT$6,Assumptions!$F$38),0),0)</f>
        <v>-583.495</v>
      </c>
      <c r="BU60" s="242">
        <f>-IF(BU$6&gt;=Assumptions!$F$38,Assumptions!$L$29/12*(1+Assumptions!$K$32)^ROUNDDOWN(YEARFRAC(BU$6,Assumptions!$F$38),0),0)</f>
        <v>-583.495</v>
      </c>
      <c r="BV60" s="242">
        <f>-IF(BV$6&gt;=Assumptions!$F$38,Assumptions!$L$29/12*(1+Assumptions!$K$32)^ROUNDDOWN(YEARFRAC(BV$6,Assumptions!$F$38),0),0)</f>
        <v>-583.495</v>
      </c>
      <c r="BW60" s="242">
        <f>-IF(BW$6&gt;=Assumptions!$F$38,Assumptions!$L$29/12*(1+Assumptions!$K$32)^ROUNDDOWN(YEARFRAC(BW$6,Assumptions!$F$38),0),0)</f>
        <v>-583.495</v>
      </c>
      <c r="BX60" s="242">
        <f>-IF(BX$6&gt;=Assumptions!$F$38,Assumptions!$L$29/12*(1+Assumptions!$K$32)^ROUNDDOWN(YEARFRAC(BX$6,Assumptions!$F$38),0),0)</f>
        <v>-583.495</v>
      </c>
      <c r="BY60" s="242">
        <f>-IF(BY$6&gt;=Assumptions!$F$38,Assumptions!$L$29/12*(1+Assumptions!$K$32)^ROUNDDOWN(YEARFRAC(BY$6,Assumptions!$F$38),0),0)</f>
        <v>-600.99985000000004</v>
      </c>
      <c r="BZ60" s="242">
        <f>-IF(BZ$6&gt;=Assumptions!$F$38,Assumptions!$L$29/12*(1+Assumptions!$K$32)^ROUNDDOWN(YEARFRAC(BZ$6,Assumptions!$F$38),0),0)</f>
        <v>-600.99985000000004</v>
      </c>
      <c r="CA60" s="242">
        <f>-IF(CA$6&gt;=Assumptions!$F$38,Assumptions!$L$29/12*(1+Assumptions!$K$32)^ROUNDDOWN(YEARFRAC(CA$6,Assumptions!$F$38),0),0)</f>
        <v>-600.99985000000004</v>
      </c>
      <c r="CB60" s="242">
        <f>-IF(CB$6&gt;=Assumptions!$F$38,Assumptions!$L$29/12*(1+Assumptions!$K$32)^ROUNDDOWN(YEARFRAC(CB$6,Assumptions!$F$38),0),0)</f>
        <v>-600.99985000000004</v>
      </c>
      <c r="CC60" s="242">
        <f>-IF(CC$6&gt;=Assumptions!$F$38,Assumptions!$L$29/12*(1+Assumptions!$K$32)^ROUNDDOWN(YEARFRAC(CC$6,Assumptions!$F$38),0),0)</f>
        <v>-600.99985000000004</v>
      </c>
      <c r="CD60" s="242">
        <f>-IF(CD$6&gt;=Assumptions!$F$38,Assumptions!$L$29/12*(1+Assumptions!$K$32)^ROUNDDOWN(YEARFRAC(CD$6,Assumptions!$F$38),0),0)</f>
        <v>-600.99985000000004</v>
      </c>
      <c r="CE60" s="242">
        <f>-IF(CE$6&gt;=Assumptions!$F$38,Assumptions!$L$29/12*(1+Assumptions!$K$32)^ROUNDDOWN(YEARFRAC(CE$6,Assumptions!$F$38),0),0)</f>
        <v>-600.99985000000004</v>
      </c>
      <c r="CF60" s="242">
        <f>-IF(CF$6&gt;=Assumptions!$F$38,Assumptions!$L$29/12*(1+Assumptions!$K$32)^ROUNDDOWN(YEARFRAC(CF$6,Assumptions!$F$38),0),0)</f>
        <v>-600.99985000000004</v>
      </c>
      <c r="CG60" s="242">
        <f>-IF(CG$6&gt;=Assumptions!$F$38,Assumptions!$L$29/12*(1+Assumptions!$K$32)^ROUNDDOWN(YEARFRAC(CG$6,Assumptions!$F$38),0),0)</f>
        <v>-600.99985000000004</v>
      </c>
      <c r="CH60" s="242">
        <f>-IF(CH$6&gt;=Assumptions!$F$38,Assumptions!$L$29/12*(1+Assumptions!$K$32)^ROUNDDOWN(YEARFRAC(CH$6,Assumptions!$F$38),0),0)</f>
        <v>-600.99985000000004</v>
      </c>
      <c r="CI60" s="242">
        <f>-IF(CI$6&gt;=Assumptions!$F$38,Assumptions!$L$29/12*(1+Assumptions!$K$32)^ROUNDDOWN(YEARFRAC(CI$6,Assumptions!$F$38),0),0)</f>
        <v>-600.99985000000004</v>
      </c>
      <c r="CJ60" s="242">
        <f>-IF(CJ$6&gt;=Assumptions!$F$38,Assumptions!$L$29/12*(1+Assumptions!$K$32)^ROUNDDOWN(YEARFRAC(CJ$6,Assumptions!$F$38),0),0)</f>
        <v>-600.99985000000004</v>
      </c>
      <c r="CK60" s="242">
        <f>-IF(CK$6&gt;=Assumptions!$F$38,Assumptions!$L$29/12*(1+Assumptions!$K$32)^ROUNDDOWN(YEARFRAC(CK$6,Assumptions!$F$38),0),0)</f>
        <v>-619.02984549999996</v>
      </c>
      <c r="CL60" s="242">
        <f>-IF(CL$6&gt;=Assumptions!$F$38,Assumptions!$L$29/12*(1+Assumptions!$K$32)^ROUNDDOWN(YEARFRAC(CL$6,Assumptions!$F$38),0),0)</f>
        <v>-619.02984549999996</v>
      </c>
      <c r="CM60" s="242">
        <f>-IF(CM$6&gt;=Assumptions!$F$38,Assumptions!$L$29/12*(1+Assumptions!$K$32)^ROUNDDOWN(YEARFRAC(CM$6,Assumptions!$F$38),0),0)</f>
        <v>-619.02984549999996</v>
      </c>
      <c r="CN60" s="242">
        <f>-IF(CN$6&gt;=Assumptions!$F$38,Assumptions!$L$29/12*(1+Assumptions!$K$32)^ROUNDDOWN(YEARFRAC(CN$6,Assumptions!$F$38),0),0)</f>
        <v>-619.02984549999996</v>
      </c>
      <c r="CO60" s="242">
        <f>-IF(CO$6&gt;=Assumptions!$F$38,Assumptions!$L$29/12*(1+Assumptions!$K$32)^ROUNDDOWN(YEARFRAC(CO$6,Assumptions!$F$38),0),0)</f>
        <v>-619.02984549999996</v>
      </c>
      <c r="CP60" s="242">
        <f>-IF(CP$6&gt;=Assumptions!$F$38,Assumptions!$L$29/12*(1+Assumptions!$K$32)^ROUNDDOWN(YEARFRAC(CP$6,Assumptions!$F$38),0),0)</f>
        <v>-619.02984549999996</v>
      </c>
      <c r="CQ60" s="242">
        <f>-IF(CQ$6&gt;=Assumptions!$F$38,Assumptions!$L$29/12*(1+Assumptions!$K$32)^ROUNDDOWN(YEARFRAC(CQ$6,Assumptions!$F$38),0),0)</f>
        <v>-619.02984549999996</v>
      </c>
      <c r="CR60" s="242">
        <f>-IF(CR$6&gt;=Assumptions!$F$38,Assumptions!$L$29/12*(1+Assumptions!$K$32)^ROUNDDOWN(YEARFRAC(CR$6,Assumptions!$F$38),0),0)</f>
        <v>-619.02984549999996</v>
      </c>
      <c r="CS60" s="242">
        <f>-IF(CS$6&gt;=Assumptions!$F$38,Assumptions!$L$29/12*(1+Assumptions!$K$32)^ROUNDDOWN(YEARFRAC(CS$6,Assumptions!$F$38),0),0)</f>
        <v>-619.02984549999996</v>
      </c>
      <c r="CT60" s="242">
        <f>-IF(CT$6&gt;=Assumptions!$F$38,Assumptions!$L$29/12*(1+Assumptions!$K$32)^ROUNDDOWN(YEARFRAC(CT$6,Assumptions!$F$38),0),0)</f>
        <v>-619.02984549999996</v>
      </c>
      <c r="CU60" s="242">
        <f>-IF(CU$6&gt;=Assumptions!$F$38,Assumptions!$L$29/12*(1+Assumptions!$K$32)^ROUNDDOWN(YEARFRAC(CU$6,Assumptions!$F$38),0),0)</f>
        <v>-619.02984549999996</v>
      </c>
      <c r="CV60" s="242">
        <f>-IF(CV$6&gt;=Assumptions!$F$38,Assumptions!$L$29/12*(1+Assumptions!$K$32)^ROUNDDOWN(YEARFRAC(CV$6,Assumptions!$F$38),0),0)</f>
        <v>-619.02984549999996</v>
      </c>
      <c r="CW60" s="242">
        <f>-IF(CW$6&gt;=Assumptions!$F$38,Assumptions!$L$29/12*(1+Assumptions!$K$32)^ROUNDDOWN(YEARFRAC(CW$6,Assumptions!$F$38),0),0)</f>
        <v>-637.60074086499992</v>
      </c>
      <c r="CX60" s="242">
        <f>-IF(CX$6&gt;=Assumptions!$F$38,Assumptions!$L$29/12*(1+Assumptions!$K$32)^ROUNDDOWN(YEARFRAC(CX$6,Assumptions!$F$38),0),0)</f>
        <v>-637.60074086499992</v>
      </c>
      <c r="CY60" s="242">
        <f>-IF(CY$6&gt;=Assumptions!$F$38,Assumptions!$L$29/12*(1+Assumptions!$K$32)^ROUNDDOWN(YEARFRAC(CY$6,Assumptions!$F$38),0),0)</f>
        <v>-637.60074086499992</v>
      </c>
      <c r="CZ60" s="242">
        <f>-IF(CZ$6&gt;=Assumptions!$F$38,Assumptions!$L$29/12*(1+Assumptions!$K$32)^ROUNDDOWN(YEARFRAC(CZ$6,Assumptions!$F$38),0),0)</f>
        <v>-637.60074086499992</v>
      </c>
      <c r="DA60" s="242">
        <f>-IF(DA$6&gt;=Assumptions!$F$38,Assumptions!$L$29/12*(1+Assumptions!$K$32)^ROUNDDOWN(YEARFRAC(DA$6,Assumptions!$F$38),0),0)</f>
        <v>-637.60074086499992</v>
      </c>
      <c r="DB60" s="242">
        <f>-IF(DB$6&gt;=Assumptions!$F$38,Assumptions!$L$29/12*(1+Assumptions!$K$32)^ROUNDDOWN(YEARFRAC(DB$6,Assumptions!$F$38),0),0)</f>
        <v>-637.60074086499992</v>
      </c>
      <c r="DC60" s="242">
        <f>-IF(DC$6&gt;=Assumptions!$F$38,Assumptions!$L$29/12*(1+Assumptions!$K$32)^ROUNDDOWN(YEARFRAC(DC$6,Assumptions!$F$38),0),0)</f>
        <v>-637.60074086499992</v>
      </c>
      <c r="DD60" s="242">
        <f>-IF(DD$6&gt;=Assumptions!$F$38,Assumptions!$L$29/12*(1+Assumptions!$K$32)^ROUNDDOWN(YEARFRAC(DD$6,Assumptions!$F$38),0),0)</f>
        <v>-637.60074086499992</v>
      </c>
      <c r="DE60" s="242">
        <f>-IF(DE$6&gt;=Assumptions!$F$38,Assumptions!$L$29/12*(1+Assumptions!$K$32)^ROUNDDOWN(YEARFRAC(DE$6,Assumptions!$F$38),0),0)</f>
        <v>-637.60074086499992</v>
      </c>
      <c r="DF60" s="242">
        <f>-IF(DF$6&gt;=Assumptions!$F$38,Assumptions!$L$29/12*(1+Assumptions!$K$32)^ROUNDDOWN(YEARFRAC(DF$6,Assumptions!$F$38),0),0)</f>
        <v>-637.60074086499992</v>
      </c>
      <c r="DG60" s="242">
        <f>-IF(DG$6&gt;=Assumptions!$F$38,Assumptions!$L$29/12*(1+Assumptions!$K$32)^ROUNDDOWN(YEARFRAC(DG$6,Assumptions!$F$38),0),0)</f>
        <v>-637.60074086499992</v>
      </c>
      <c r="DH60" s="242">
        <f>-IF(DH$6&gt;=Assumptions!$F$38,Assumptions!$L$29/12*(1+Assumptions!$K$32)^ROUNDDOWN(YEARFRAC(DH$6,Assumptions!$F$38),0),0)</f>
        <v>-637.60074086499992</v>
      </c>
      <c r="DI60" s="242">
        <f>-IF(DI$6&gt;=Assumptions!$F$38,Assumptions!$L$29/12*(1+Assumptions!$K$32)^ROUNDDOWN(YEARFRAC(DI$6,Assumptions!$F$38),0),0)</f>
        <v>-656.72876309095</v>
      </c>
      <c r="DJ60" s="242">
        <f>-IF(DJ$6&gt;=Assumptions!$F$38,Assumptions!$L$29/12*(1+Assumptions!$K$32)^ROUNDDOWN(YEARFRAC(DJ$6,Assumptions!$F$38),0),0)</f>
        <v>-656.72876309095</v>
      </c>
      <c r="DK60" s="242">
        <f>-IF(DK$6&gt;=Assumptions!$F$38,Assumptions!$L$29/12*(1+Assumptions!$K$32)^ROUNDDOWN(YEARFRAC(DK$6,Assumptions!$F$38),0),0)</f>
        <v>-656.72876309095</v>
      </c>
      <c r="DL60" s="242">
        <f>-IF(DL$6&gt;=Assumptions!$F$38,Assumptions!$L$29/12*(1+Assumptions!$K$32)^ROUNDDOWN(YEARFRAC(DL$6,Assumptions!$F$38),0),0)</f>
        <v>-656.72876309095</v>
      </c>
      <c r="DM60" s="242">
        <f>-IF(DM$6&gt;=Assumptions!$F$38,Assumptions!$L$29/12*(1+Assumptions!$K$32)^ROUNDDOWN(YEARFRAC(DM$6,Assumptions!$F$38),0),0)</f>
        <v>-656.72876309095</v>
      </c>
      <c r="DN60" s="242">
        <f>-IF(DN$6&gt;=Assumptions!$F$38,Assumptions!$L$29/12*(1+Assumptions!$K$32)^ROUNDDOWN(YEARFRAC(DN$6,Assumptions!$F$38),0),0)</f>
        <v>-656.72876309095</v>
      </c>
      <c r="DO60" s="242">
        <f>-IF(DO$6&gt;=Assumptions!$F$38,Assumptions!$L$29/12*(1+Assumptions!$K$32)^ROUNDDOWN(YEARFRAC(DO$6,Assumptions!$F$38),0),0)</f>
        <v>-656.72876309095</v>
      </c>
      <c r="DP60" s="242">
        <f>-IF(DP$6&gt;=Assumptions!$F$38,Assumptions!$L$29/12*(1+Assumptions!$K$32)^ROUNDDOWN(YEARFRAC(DP$6,Assumptions!$F$38),0),0)</f>
        <v>-656.72876309095</v>
      </c>
      <c r="DQ60" s="242">
        <f>-IF(DQ$6&gt;=Assumptions!$F$38,Assumptions!$L$29/12*(1+Assumptions!$K$32)^ROUNDDOWN(YEARFRAC(DQ$6,Assumptions!$F$38),0),0)</f>
        <v>-656.72876309095</v>
      </c>
      <c r="DR60" s="242">
        <f>-IF(DR$6&gt;=Assumptions!$F$38,Assumptions!$L$29/12*(1+Assumptions!$K$32)^ROUNDDOWN(YEARFRAC(DR$6,Assumptions!$F$38),0),0)</f>
        <v>-656.72876309095</v>
      </c>
      <c r="DS60" s="242">
        <f>-IF(DS$6&gt;=Assumptions!$F$38,Assumptions!$L$29/12*(1+Assumptions!$K$32)^ROUNDDOWN(YEARFRAC(DS$6,Assumptions!$F$38),0),0)</f>
        <v>-656.72876309095</v>
      </c>
      <c r="DT60" s="242">
        <f>-IF(DT$6&gt;=Assumptions!$F$38,Assumptions!$L$29/12*(1+Assumptions!$K$32)^ROUNDDOWN(YEARFRAC(DT$6,Assumptions!$F$38),0),0)</f>
        <v>-656.72876309095</v>
      </c>
      <c r="DU60" s="242">
        <f>-IF(DU$6&gt;=Assumptions!$F$38,Assumptions!$L$29/12*(1+Assumptions!$K$32)^ROUNDDOWN(YEARFRAC(DU$6,Assumptions!$F$38),0),0)</f>
        <v>-676.43062598367851</v>
      </c>
      <c r="DV60" s="242">
        <f>-IF(DV$6&gt;=Assumptions!$F$38,Assumptions!$L$29/12*(1+Assumptions!$K$32)^ROUNDDOWN(YEARFRAC(DV$6,Assumptions!$F$38),0),0)</f>
        <v>-676.43062598367851</v>
      </c>
      <c r="DW60" s="242">
        <f>-IF(DW$6&gt;=Assumptions!$F$38,Assumptions!$L$29/12*(1+Assumptions!$K$32)^ROUNDDOWN(YEARFRAC(DW$6,Assumptions!$F$38),0),0)</f>
        <v>-676.43062598367851</v>
      </c>
      <c r="DX60" s="242">
        <f>-IF(DX$6&gt;=Assumptions!$F$38,Assumptions!$L$29/12*(1+Assumptions!$K$32)^ROUNDDOWN(YEARFRAC(DX$6,Assumptions!$F$38),0),0)</f>
        <v>-676.43062598367851</v>
      </c>
      <c r="DY60" s="242">
        <f>-IF(DY$6&gt;=Assumptions!$F$38,Assumptions!$L$29/12*(1+Assumptions!$K$32)^ROUNDDOWN(YEARFRAC(DY$6,Assumptions!$F$38),0),0)</f>
        <v>-676.43062598367851</v>
      </c>
      <c r="DZ60" s="242">
        <f>-IF(DZ$6&gt;=Assumptions!$F$38,Assumptions!$L$29/12*(1+Assumptions!$K$32)^ROUNDDOWN(YEARFRAC(DZ$6,Assumptions!$F$38),0),0)</f>
        <v>-676.43062598367851</v>
      </c>
      <c r="EA60" s="242">
        <f>-IF(EA$6&gt;=Assumptions!$F$38,Assumptions!$L$29/12*(1+Assumptions!$K$32)^ROUNDDOWN(YEARFRAC(EA$6,Assumptions!$F$38),0),0)</f>
        <v>-676.43062598367851</v>
      </c>
      <c r="EB60" s="242">
        <f>-IF(EB$6&gt;=Assumptions!$F$38,Assumptions!$L$29/12*(1+Assumptions!$K$32)^ROUNDDOWN(YEARFRAC(EB$6,Assumptions!$F$38),0),0)</f>
        <v>-676.43062598367851</v>
      </c>
      <c r="EC60" s="242">
        <f>-IF(EC$6&gt;=Assumptions!$F$38,Assumptions!$L$29/12*(1+Assumptions!$K$32)^ROUNDDOWN(YEARFRAC(EC$6,Assumptions!$F$38),0),0)</f>
        <v>-676.43062598367851</v>
      </c>
      <c r="ED60" s="242">
        <f>-IF(ED$6&gt;=Assumptions!$F$38,Assumptions!$L$29/12*(1+Assumptions!$K$32)^ROUNDDOWN(YEARFRAC(ED$6,Assumptions!$F$38),0),0)</f>
        <v>-676.43062598367851</v>
      </c>
      <c r="EE60" s="242">
        <f>-IF(EE$6&gt;=Assumptions!$F$38,Assumptions!$L$29/12*(1+Assumptions!$K$32)^ROUNDDOWN(YEARFRAC(EE$6,Assumptions!$F$38),0),0)</f>
        <v>-676.43062598367851</v>
      </c>
      <c r="EF60" s="242">
        <f>-IF(EF$6&gt;=Assumptions!$F$38,Assumptions!$L$29/12*(1+Assumptions!$K$32)^ROUNDDOWN(YEARFRAC(EF$6,Assumptions!$F$38),0),0)</f>
        <v>-676.43062598367851</v>
      </c>
      <c r="EG60" s="242">
        <f>-IF(EG$6&gt;=Assumptions!$F$38,Assumptions!$L$29/12*(1+Assumptions!$K$32)^ROUNDDOWN(YEARFRAC(EG$6,Assumptions!$F$38),0),0)</f>
        <v>-696.72354476318878</v>
      </c>
      <c r="EH60" s="242">
        <f>-IF(EH$6&gt;=Assumptions!$F$38,Assumptions!$L$29/12*(1+Assumptions!$K$32)^ROUNDDOWN(YEARFRAC(EH$6,Assumptions!$F$38),0),0)</f>
        <v>-696.72354476318878</v>
      </c>
      <c r="EI60" s="242">
        <f>-IF(EI$6&gt;=Assumptions!$F$38,Assumptions!$L$29/12*(1+Assumptions!$K$32)^ROUNDDOWN(YEARFRAC(EI$6,Assumptions!$F$38),0),0)</f>
        <v>-696.72354476318878</v>
      </c>
      <c r="EJ60" s="242">
        <f>-IF(EJ$6&gt;=Assumptions!$F$38,Assumptions!$L$29/12*(1+Assumptions!$K$32)^ROUNDDOWN(YEARFRAC(EJ$6,Assumptions!$F$38),0),0)</f>
        <v>-696.72354476318878</v>
      </c>
      <c r="EK60" s="242">
        <f>-IF(EK$6&gt;=Assumptions!$F$38,Assumptions!$L$29/12*(1+Assumptions!$K$32)^ROUNDDOWN(YEARFRAC(EK$6,Assumptions!$F$38),0),0)</f>
        <v>-696.72354476318878</v>
      </c>
      <c r="EL60" s="242">
        <f>-IF(EL$6&gt;=Assumptions!$F$38,Assumptions!$L$29/12*(1+Assumptions!$K$32)^ROUNDDOWN(YEARFRAC(EL$6,Assumptions!$F$38),0),0)</f>
        <v>-696.72354476318878</v>
      </c>
      <c r="EM60" s="242">
        <f>-IF(EM$6&gt;=Assumptions!$F$38,Assumptions!$L$29/12*(1+Assumptions!$K$32)^ROUNDDOWN(YEARFRAC(EM$6,Assumptions!$F$38),0),0)</f>
        <v>-696.72354476318878</v>
      </c>
      <c r="EN60" s="242">
        <f>-IF(EN$6&gt;=Assumptions!$F$38,Assumptions!$L$29/12*(1+Assumptions!$K$32)^ROUNDDOWN(YEARFRAC(EN$6,Assumptions!$F$38),0),0)</f>
        <v>-696.72354476318878</v>
      </c>
      <c r="EO60" s="242">
        <f>-IF(EO$6&gt;=Assumptions!$F$38,Assumptions!$L$29/12*(1+Assumptions!$K$32)^ROUNDDOWN(YEARFRAC(EO$6,Assumptions!$F$38),0),0)</f>
        <v>-696.72354476318878</v>
      </c>
      <c r="EP60" s="242">
        <f>-IF(EP$6&gt;=Assumptions!$F$38,Assumptions!$L$29/12*(1+Assumptions!$K$32)^ROUNDDOWN(YEARFRAC(EP$6,Assumptions!$F$38),0),0)</f>
        <v>-696.72354476318878</v>
      </c>
      <c r="EQ60" s="242">
        <f>-IF(EQ$6&gt;=Assumptions!$F$38,Assumptions!$L$29/12*(1+Assumptions!$K$32)^ROUNDDOWN(YEARFRAC(EQ$6,Assumptions!$F$38),0),0)</f>
        <v>-696.72354476318878</v>
      </c>
      <c r="ER60" s="242">
        <f>-IF(ER$6&gt;=Assumptions!$F$38,Assumptions!$L$29/12*(1+Assumptions!$K$32)^ROUNDDOWN(YEARFRAC(ER$6,Assumptions!$F$38),0),0)</f>
        <v>-696.72354476318878</v>
      </c>
      <c r="ES60" s="242">
        <f>-IF(ES$6&gt;=Assumptions!$F$38,Assumptions!$L$29/12*(1+Assumptions!$K$32)^ROUNDDOWN(YEARFRAC(ES$6,Assumptions!$F$38),0),0)</f>
        <v>-717.62525110608442</v>
      </c>
      <c r="ET60" s="242">
        <f>-IF(ET$6&gt;=Assumptions!$F$38,Assumptions!$L$29/12*(1+Assumptions!$K$32)^ROUNDDOWN(YEARFRAC(ET$6,Assumptions!$F$38),0),0)</f>
        <v>-717.62525110608442</v>
      </c>
    </row>
    <row r="61" spans="2:150" x14ac:dyDescent="0.2">
      <c r="B61" t="s">
        <v>348</v>
      </c>
      <c r="D61" s="242">
        <f t="shared" ca="1" si="510"/>
        <v>-84968.815655146696</v>
      </c>
      <c r="F61" s="242">
        <f>IF(F6&gt;Assumptions!$F$40,0,IF(SUM(F49:F60)&gt;0,-MIN(F49*Assumptions!$K$33,SUM(F49:F60)),0))</f>
        <v>0</v>
      </c>
      <c r="G61" s="242">
        <f>IF(G6&gt;Assumptions!$F$40,0,IF(SUM(G49:G60)&gt;0,-MIN(G49*Assumptions!$K$33,SUM(G49:G60)),0))</f>
        <v>0</v>
      </c>
      <c r="H61" s="242">
        <f>IF(H6&gt;Assumptions!$F$40,0,IF(SUM(H49:H60)&gt;0,-MIN(H49*Assumptions!$K$33,SUM(H49:H60)),0))</f>
        <v>0</v>
      </c>
      <c r="I61" s="242">
        <f>IF(I6&gt;Assumptions!$F$40,0,IF(SUM(I49:I60)&gt;0,-MIN(I49*Assumptions!$K$33,SUM(I49:I60)),0))</f>
        <v>0</v>
      </c>
      <c r="J61" s="242">
        <f>IF(J6&gt;Assumptions!$F$40,0,IF(SUM(J49:J60)&gt;0,-MIN(J49*Assumptions!$K$33,SUM(J49:J60)),0))</f>
        <v>0</v>
      </c>
      <c r="K61" s="242">
        <f>IF(K6&gt;Assumptions!$F$40,0,IF(SUM(K49:K60)&gt;0,-MIN(K49*Assumptions!$K$33,SUM(K49:K60)),0))</f>
        <v>0</v>
      </c>
      <c r="L61" s="242">
        <f>IF(L6&gt;Assumptions!$F$40,0,IF(SUM(L49:L60)&gt;0,-MIN(L49*Assumptions!$K$33,SUM(L49:L60)),0))</f>
        <v>0</v>
      </c>
      <c r="M61" s="242">
        <f>IF(M6&gt;Assumptions!$F$40,0,IF(SUM(M49:M60)&gt;0,-MIN(M49*Assumptions!$K$33,SUM(M49:M60)),0))</f>
        <v>0</v>
      </c>
      <c r="N61" s="242">
        <f>IF(N6&gt;Assumptions!$F$40,0,IF(SUM(N49:N60)&gt;0,-MIN(N49*Assumptions!$K$33,SUM(N49:N60)),0))</f>
        <v>0</v>
      </c>
      <c r="O61" s="242">
        <f>IF(O6&gt;Assumptions!$F$40,0,IF(SUM(O49:O60)&gt;0,-MIN(O49*Assumptions!$K$33,SUM(O49:O60)),0))</f>
        <v>0</v>
      </c>
      <c r="P61" s="242">
        <f>IF(P6&gt;Assumptions!$F$40,0,IF(SUM(P49:P60)&gt;0,-MIN(P49*Assumptions!$K$33,SUM(P49:P60)),0))</f>
        <v>0</v>
      </c>
      <c r="Q61" s="242">
        <f>IF(Q6&gt;Assumptions!$F$40,0,IF(SUM(Q49:Q60)&gt;0,-MIN(Q49*Assumptions!$K$33,SUM(Q49:Q60)),0))</f>
        <v>0</v>
      </c>
      <c r="R61" s="242">
        <f>IF(R6&gt;Assumptions!$F$40,0,IF(SUM(R49:R60)&gt;0,-MIN(R49*Assumptions!$K$33,SUM(R49:R60)),0))</f>
        <v>0</v>
      </c>
      <c r="S61" s="242">
        <f>IF(S6&gt;Assumptions!$F$40,0,IF(SUM(S49:S60)&gt;0,-MIN(S49*Assumptions!$K$33,SUM(S49:S60)),0))</f>
        <v>0</v>
      </c>
      <c r="T61" s="242">
        <f>IF(T6&gt;Assumptions!$F$40,0,IF(SUM(T49:T60)&gt;0,-MIN(T49*Assumptions!$K$33,SUM(T49:T60)),0))</f>
        <v>0</v>
      </c>
      <c r="U61" s="242">
        <f>IF(U6&gt;Assumptions!$F$40,0,IF(SUM(U49:U60)&gt;0,-MIN(U49*Assumptions!$K$33,SUM(U49:U60)),0))</f>
        <v>0</v>
      </c>
      <c r="V61" s="242">
        <f>IF(V6&gt;Assumptions!$F$40,0,IF(SUM(V49:V60)&gt;0,-MIN(V49*Assumptions!$K$33,SUM(V49:V60)),0))</f>
        <v>0</v>
      </c>
      <c r="W61" s="242">
        <f>IF(W6&gt;Assumptions!$F$40,0,IF(SUM(W49:W60)&gt;0,-MIN(W49*Assumptions!$K$33,SUM(W49:W60)),0))</f>
        <v>0</v>
      </c>
      <c r="X61" s="242">
        <f>IF(X6&gt;Assumptions!$F$40,0,IF(SUM(X49:X60)&gt;0,-MIN(X49*Assumptions!$K$33,SUM(X49:X60)),0))</f>
        <v>0</v>
      </c>
      <c r="Y61" s="242">
        <f>IF(Y6&gt;Assumptions!$F$40,0,IF(SUM(Y49:Y60)&gt;0,-MIN(Y49*Assumptions!$K$33,SUM(Y49:Y60)),0))</f>
        <v>0</v>
      </c>
      <c r="Z61" s="242">
        <f>IF(Z6&gt;Assumptions!$F$40,0,IF(SUM(Z49:Z60)&gt;0,-MIN(Z49*Assumptions!$K$33,SUM(Z49:Z60)),0))</f>
        <v>0</v>
      </c>
      <c r="AA61" s="242">
        <f>IF(AA6&gt;Assumptions!$F$40,0,IF(SUM(AA49:AA60)&gt;0,-MIN(AA49*Assumptions!$K$33,SUM(AA49:AA60)),0))</f>
        <v>0</v>
      </c>
      <c r="AB61" s="242">
        <f>IF(AB6&gt;Assumptions!$F$40,0,IF(SUM(AB49:AB60)&gt;0,-MIN(AB49*Assumptions!$K$33,SUM(AB49:AB60)),0))</f>
        <v>0</v>
      </c>
      <c r="AC61" s="242">
        <f>IF(AC6&gt;Assumptions!$F$40,0,IF(SUM(AC49:AC60)&gt;0,-MIN(AC49*Assumptions!$K$33,SUM(AC49:AC60)),0))</f>
        <v>0</v>
      </c>
      <c r="AD61" s="242">
        <f>IF(AD6&gt;Assumptions!$F$40,0,IF(SUM(AD49:AD60)&gt;0,-MIN(AD49*Assumptions!$K$33,SUM(AD49:AD60)),0))</f>
        <v>0</v>
      </c>
      <c r="AE61" s="242">
        <f>IF(AE6&gt;Assumptions!$F$40,0,IF(SUM(AE49:AE60)&gt;0,-MIN(AE49*Assumptions!$K$33,SUM(AE49:AE60)),0))</f>
        <v>0</v>
      </c>
      <c r="AF61" s="242">
        <f>IF(AF6&gt;Assumptions!$F$40,0,IF(SUM(AF49:AF60)&gt;0,-MIN(AF49*Assumptions!$K$33,SUM(AF49:AF60)),0))</f>
        <v>0</v>
      </c>
      <c r="AG61" s="242">
        <f>IF(AG6&gt;Assumptions!$F$40,0,IF(SUM(AG49:AG60)&gt;0,-MIN(AG49*Assumptions!$K$33,SUM(AG49:AG60)),0))</f>
        <v>0</v>
      </c>
      <c r="AH61" s="242">
        <f>IF(AH6&gt;Assumptions!$F$40,0,IF(SUM(AH49:AH60)&gt;0,-MIN(AH49*Assumptions!$K$33,SUM(AH49:AH60)),0))</f>
        <v>0</v>
      </c>
      <c r="AI61" s="242">
        <f>IF(AI6&gt;Assumptions!$F$40,0,IF(SUM(AI49:AI60)&gt;0,-MIN(AI49*Assumptions!$K$33,SUM(AI49:AI60)),0))</f>
        <v>0</v>
      </c>
      <c r="AJ61" s="242">
        <f>IF(AJ6&gt;Assumptions!$F$40,0,IF(SUM(AJ49:AJ60)&gt;0,-MIN(AJ49*Assumptions!$K$33,SUM(AJ49:AJ60)),0))</f>
        <v>0</v>
      </c>
      <c r="AK61" s="242">
        <f>IF(AK6&gt;Assumptions!$F$40,0,IF(SUM(AK49:AK60)&gt;0,-MIN(AK49*Assumptions!$K$33,SUM(AK49:AK60)),0))</f>
        <v>0</v>
      </c>
      <c r="AL61" s="242">
        <f>IF(AL6&gt;Assumptions!$F$40,0,IF(SUM(AL49:AL60)&gt;0,-MIN(AL49*Assumptions!$K$33,SUM(AL49:AL60)),0))</f>
        <v>0</v>
      </c>
      <c r="AM61" s="242">
        <f>IF(AM6&gt;Assumptions!$F$40,0,IF(SUM(AM49:AM60)&gt;0,-MIN(AM49*Assumptions!$K$33,SUM(AM49:AM60)),0))</f>
        <v>0</v>
      </c>
      <c r="AN61" s="242">
        <f>IF(AN6&gt;Assumptions!$F$40,0,IF(SUM(AN49:AN60)&gt;0,-MIN(AN49*Assumptions!$K$33,SUM(AN49:AN60)),0))</f>
        <v>0</v>
      </c>
      <c r="AO61" s="242">
        <f ca="1">IF(AO6&gt;Assumptions!$F$40,0,IF(SUM(AO49:AO60)&gt;0,-MIN(AO49*Assumptions!$K$33,SUM(AO49:AO60)),0))</f>
        <v>-574.27475618333335</v>
      </c>
      <c r="AP61" s="242">
        <f ca="1">IF(AP6&gt;Assumptions!$F$40,0,IF(SUM(AP49:AP60)&gt;0,-MIN(AP49*Assumptions!$K$33,SUM(AP49:AP60)),0))</f>
        <v>-759.2787306885001</v>
      </c>
      <c r="AQ61" s="242">
        <f ca="1">IF(AQ6&gt;Assumptions!$F$40,0,IF(SUM(AQ49:AQ60)&gt;0,-MIN(AQ49*Assumptions!$K$33,SUM(AQ49:AQ60)),0))</f>
        <v>-928.00733750816664</v>
      </c>
      <c r="AR61" s="242">
        <f ca="1">IF(AR6&gt;Assumptions!$F$40,0,IF(SUM(AR49:AR60)&gt;0,-MIN(AR49*Assumptions!$K$33,SUM(AR49:AR60)),0))</f>
        <v>-1096.7359443278335</v>
      </c>
      <c r="AS61" s="242">
        <f ca="1">IF(AS6&gt;Assumptions!$F$40,0,IF(SUM(AS49:AS60)&gt;0,-MIN(AS49*Assumptions!$K$33,SUM(AS49:AS60)),0))</f>
        <v>-1265.4645511474998</v>
      </c>
      <c r="AT61" s="242">
        <f ca="1">IF(AT6&gt;Assumptions!$F$40,0,IF(SUM(AT49:AT60)&gt;0,-MIN(AT49*Assumptions!$K$33,SUM(AT49:AT60)),0))</f>
        <v>-1434.1931579671666</v>
      </c>
      <c r="AU61" s="242">
        <f ca="1">IF(AU6&gt;Assumptions!$F$40,0,IF(SUM(AU49:AU60)&gt;0,-MIN(AU49*Assumptions!$K$33,SUM(AU49:AU60)),0))</f>
        <v>-1602.9217647868334</v>
      </c>
      <c r="AV61" s="242">
        <f ca="1">IF(AV6&gt;Assumptions!$F$40,0,IF(SUM(AV49:AV60)&gt;0,-MIN(AV49*Assumptions!$K$33,SUM(AV49:AV60)),0))</f>
        <v>-1748.6419252220001</v>
      </c>
      <c r="AW61" s="242">
        <f ca="1">IF(AW6&gt;Assumptions!$F$40,0,IF(SUM(AW49:AW60)&gt;0,-MIN(AW49*Assumptions!$K$33,SUM(AW49:AW60)),0))</f>
        <v>-1748.6419252220001</v>
      </c>
      <c r="AX61" s="242">
        <f ca="1">IF(AX6&gt;Assumptions!$F$40,0,IF(SUM(AX49:AX60)&gt;0,-MIN(AX49*Assumptions!$K$33,SUM(AX49:AX60)),0))</f>
        <v>-1748.6419252220001</v>
      </c>
      <c r="AY61" s="242">
        <f ca="1">IF(AY6&gt;Assumptions!$F$40,0,IF(SUM(AY49:AY60)&gt;0,-MIN(AY49*Assumptions!$K$33,SUM(AY49:AY60)),0))</f>
        <v>-1748.6419252220001</v>
      </c>
      <c r="AZ61" s="242">
        <f ca="1">IF(AZ6&gt;Assumptions!$F$40,0,IF(SUM(AZ49:AZ60)&gt;0,-MIN(AZ49*Assumptions!$K$33,SUM(AZ49:AZ60)),0))</f>
        <v>-1748.6419252220001</v>
      </c>
      <c r="BA61" s="242">
        <f ca="1">IF(BA6&gt;Assumptions!$F$40,0,IF(SUM(BA49:BA60)&gt;0,-MIN(BA49*Assumptions!$K$33,SUM(BA49:BA60)),0))</f>
        <v>-1751.4634252220003</v>
      </c>
      <c r="BB61" s="242">
        <f ca="1">IF(BB6&gt;Assumptions!$F$40,0,IF(SUM(BB49:BB60)&gt;0,-MIN(BB49*Assumptions!$K$33,SUM(BB49:BB60)),0))</f>
        <v>-1801.1011829786603</v>
      </c>
      <c r="BC61" s="242">
        <f ca="1">IF(BC6&gt;Assumptions!$F$40,0,IF(SUM(BC49:BC60)&gt;0,-MIN(BC49*Assumptions!$K$33,SUM(BC49:BC60)),0))</f>
        <v>-1801.1011829786603</v>
      </c>
      <c r="BD61" s="242">
        <f ca="1">IF(BD6&gt;Assumptions!$F$40,0,IF(SUM(BD49:BD60)&gt;0,-MIN(BD49*Assumptions!$K$33,SUM(BD49:BD60)),0))</f>
        <v>-1801.1011829786603</v>
      </c>
      <c r="BE61" s="242">
        <f ca="1">IF(BE6&gt;Assumptions!$F$40,0,IF(SUM(BE49:BE60)&gt;0,-MIN(BE49*Assumptions!$K$33,SUM(BE49:BE60)),0))</f>
        <v>-1801.1011829786603</v>
      </c>
      <c r="BF61" s="242">
        <f ca="1">IF(BF6&gt;Assumptions!$F$40,0,IF(SUM(BF49:BF60)&gt;0,-MIN(BF49*Assumptions!$K$33,SUM(BF49:BF60)),0))</f>
        <v>-1801.1011829786603</v>
      </c>
      <c r="BG61" s="242">
        <f ca="1">IF(BG6&gt;Assumptions!$F$40,0,IF(SUM(BG49:BG60)&gt;0,-MIN(BG49*Assumptions!$K$33,SUM(BG49:BG60)),0))</f>
        <v>-1801.1011829786603</v>
      </c>
      <c r="BH61" s="242">
        <f ca="1">IF(BH6&gt;Assumptions!$F$40,0,IF(SUM(BH49:BH60)&gt;0,-MIN(BH49*Assumptions!$K$33,SUM(BH49:BH60)),0))</f>
        <v>-1801.1011829786603</v>
      </c>
      <c r="BI61" s="242">
        <f ca="1">IF(BI6&gt;Assumptions!$F$40,0,IF(SUM(BI49:BI60)&gt;0,-MIN(BI49*Assumptions!$K$33,SUM(BI49:BI60)),0))</f>
        <v>-1801.1011829786603</v>
      </c>
      <c r="BJ61" s="242">
        <f ca="1">IF(BJ6&gt;Assumptions!$F$40,0,IF(SUM(BJ49:BJ60)&gt;0,-MIN(BJ49*Assumptions!$K$33,SUM(BJ49:BJ60)),0))</f>
        <v>-1801.1011829786603</v>
      </c>
      <c r="BK61" s="242">
        <f ca="1">IF(BK6&gt;Assumptions!$F$40,0,IF(SUM(BK49:BK60)&gt;0,-MIN(BK49*Assumptions!$K$33,SUM(BK49:BK60)),0))</f>
        <v>-1801.1011829786603</v>
      </c>
      <c r="BL61" s="242">
        <f ca="1">IF(BL6&gt;Assumptions!$F$40,0,IF(SUM(BL49:BL60)&gt;0,-MIN(BL49*Assumptions!$K$33,SUM(BL49:BL60)),0))</f>
        <v>-1801.1011829786603</v>
      </c>
      <c r="BM61" s="242">
        <f ca="1">IF(BM6&gt;Assumptions!$F$40,0,IF(SUM(BM49:BM60)&gt;0,-MIN(BM49*Assumptions!$K$33,SUM(BM49:BM60)),0))</f>
        <v>-1804.0073279786602</v>
      </c>
      <c r="BN61" s="242">
        <f ca="1">IF(BN6&gt;Assumptions!$F$40,0,IF(SUM(BN49:BN60)&gt;0,-MIN(BN49*Assumptions!$K$33,SUM(BN49:BN60)),0))</f>
        <v>-1855.1342184680198</v>
      </c>
      <c r="BO61" s="242">
        <f ca="1">IF(BO6&gt;Assumptions!$F$40,0,IF(SUM(BO49:BO60)&gt;0,-MIN(BO49*Assumptions!$K$33,SUM(BO49:BO60)),0))</f>
        <v>-1855.1342184680198</v>
      </c>
      <c r="BP61" s="242">
        <f ca="1">IF(BP6&gt;Assumptions!$F$40,0,IF(SUM(BP49:BP60)&gt;0,-MIN(BP49*Assumptions!$K$33,SUM(BP49:BP60)),0))</f>
        <v>-1855.1342184680198</v>
      </c>
      <c r="BQ61" s="242">
        <f ca="1">IF(BQ6&gt;Assumptions!$F$40,0,IF(SUM(BQ49:BQ60)&gt;0,-MIN(BQ49*Assumptions!$K$33,SUM(BQ49:BQ60)),0))</f>
        <v>-1855.1342184680198</v>
      </c>
      <c r="BR61" s="242">
        <f ca="1">IF(BR6&gt;Assumptions!$F$40,0,IF(SUM(BR49:BR60)&gt;0,-MIN(BR49*Assumptions!$K$33,SUM(BR49:BR60)),0))</f>
        <v>-1855.1342184680198</v>
      </c>
      <c r="BS61" s="242">
        <f ca="1">IF(BS6&gt;Assumptions!$F$40,0,IF(SUM(BS49:BS60)&gt;0,-MIN(BS49*Assumptions!$K$33,SUM(BS49:BS60)),0))</f>
        <v>-1855.1342184680198</v>
      </c>
      <c r="BT61" s="242">
        <f ca="1">IF(BT6&gt;Assumptions!$F$40,0,IF(SUM(BT49:BT60)&gt;0,-MIN(BT49*Assumptions!$K$33,SUM(BT49:BT60)),0))</f>
        <v>-1855.1342184680198</v>
      </c>
      <c r="BU61" s="242">
        <f ca="1">IF(BU6&gt;Assumptions!$F$40,0,IF(SUM(BU49:BU60)&gt;0,-MIN(BU49*Assumptions!$K$33,SUM(BU49:BU60)),0))</f>
        <v>-1855.1342184680198</v>
      </c>
      <c r="BV61" s="242">
        <f ca="1">IF(BV6&gt;Assumptions!$F$40,0,IF(SUM(BV49:BV60)&gt;0,-MIN(BV49*Assumptions!$K$33,SUM(BV49:BV60)),0))</f>
        <v>-1855.1342184680198</v>
      </c>
      <c r="BW61" s="242">
        <f ca="1">IF(BW6&gt;Assumptions!$F$40,0,IF(SUM(BW49:BW60)&gt;0,-MIN(BW49*Assumptions!$K$33,SUM(BW49:BW60)),0))</f>
        <v>-1855.1342184680198</v>
      </c>
      <c r="BX61" s="242">
        <f ca="1">IF(BX6&gt;Assumptions!$F$40,0,IF(SUM(BX49:BX60)&gt;0,-MIN(BX49*Assumptions!$K$33,SUM(BX49:BX60)),0))</f>
        <v>-1855.1342184680198</v>
      </c>
      <c r="BY61" s="242">
        <f ca="1">IF(BY6&gt;Assumptions!$F$40,0,IF(SUM(BY49:BY60)&gt;0,-MIN(BY49*Assumptions!$K$33,SUM(BY49:BY60)),0))</f>
        <v>-1858.1275478180196</v>
      </c>
      <c r="BZ61" s="242">
        <f ca="1">IF(BZ6&gt;Assumptions!$F$40,0,IF(SUM(BZ49:BZ60)&gt;0,-MIN(BZ49*Assumptions!$K$33,SUM(BZ49:BZ60)),0))</f>
        <v>-1910.78824502206</v>
      </c>
      <c r="CA61" s="242">
        <f ca="1">IF(CA6&gt;Assumptions!$F$40,0,IF(SUM(CA49:CA60)&gt;0,-MIN(CA49*Assumptions!$K$33,SUM(CA49:CA60)),0))</f>
        <v>-1910.78824502206</v>
      </c>
      <c r="CB61" s="242">
        <f ca="1">IF(CB6&gt;Assumptions!$F$40,0,IF(SUM(CB49:CB60)&gt;0,-MIN(CB49*Assumptions!$K$33,SUM(CB49:CB60)),0))</f>
        <v>-1910.78824502206</v>
      </c>
      <c r="CC61" s="242">
        <f ca="1">IF(CC6&gt;Assumptions!$F$40,0,IF(SUM(CC49:CC60)&gt;0,-MIN(CC49*Assumptions!$K$33,SUM(CC49:CC60)),0))</f>
        <v>-1910.78824502206</v>
      </c>
      <c r="CD61" s="242">
        <f ca="1">IF(CD6&gt;Assumptions!$F$40,0,IF(SUM(CD49:CD60)&gt;0,-MIN(CD49*Assumptions!$K$33,SUM(CD49:CD60)),0))</f>
        <v>-1910.78824502206</v>
      </c>
      <c r="CE61" s="242">
        <f ca="1">IF(CE6&gt;Assumptions!$F$40,0,IF(SUM(CE49:CE60)&gt;0,-MIN(CE49*Assumptions!$K$33,SUM(CE49:CE60)),0))</f>
        <v>-1910.78824502206</v>
      </c>
      <c r="CF61" s="242">
        <f ca="1">IF(CF6&gt;Assumptions!$F$40,0,IF(SUM(CF49:CF60)&gt;0,-MIN(CF49*Assumptions!$K$33,SUM(CF49:CF60)),0))</f>
        <v>-1910.78824502206</v>
      </c>
      <c r="CG61" s="242">
        <f ca="1">IF(CG6&gt;Assumptions!$F$40,0,IF(SUM(CG49:CG60)&gt;0,-MIN(CG49*Assumptions!$K$33,SUM(CG49:CG60)),0))</f>
        <v>-1910.78824502206</v>
      </c>
      <c r="CH61" s="242">
        <f ca="1">IF(CH6&gt;Assumptions!$F$40,0,IF(SUM(CH49:CH60)&gt;0,-MIN(CH49*Assumptions!$K$33,SUM(CH49:CH60)),0))</f>
        <v>-1910.78824502206</v>
      </c>
      <c r="CI61" s="242">
        <f ca="1">IF(CI6&gt;Assumptions!$F$40,0,IF(SUM(CI49:CI60)&gt;0,-MIN(CI49*Assumptions!$K$33,SUM(CI49:CI60)),0))</f>
        <v>-1910.78824502206</v>
      </c>
      <c r="CJ61" s="242">
        <f ca="1">IF(CJ6&gt;Assumptions!$F$40,0,IF(SUM(CJ49:CJ60)&gt;0,-MIN(CJ49*Assumptions!$K$33,SUM(CJ49:CJ60)),0))</f>
        <v>-1910.78824502206</v>
      </c>
      <c r="CK61" s="242">
        <f ca="1">IF(CK6&gt;Assumptions!$F$40,0,IF(SUM(CK49:CK60)&gt;0,-MIN(CK49*Assumptions!$K$33,SUM(CK49:CK60)),0))</f>
        <v>-1913.8713742525601</v>
      </c>
      <c r="CL61" s="242">
        <f>IF(CL6&gt;Assumptions!$F$40,0,IF(SUM(CL49:CL60)&gt;0,-MIN(CL49*Assumptions!$K$33,SUM(CL49:CL60)),0))</f>
        <v>0</v>
      </c>
      <c r="CM61" s="242">
        <f>IF(CM6&gt;Assumptions!$F$40,0,IF(SUM(CM49:CM60)&gt;0,-MIN(CM49*Assumptions!$K$33,SUM(CM49:CM60)),0))</f>
        <v>0</v>
      </c>
      <c r="CN61" s="242">
        <f>IF(CN6&gt;Assumptions!$F$40,0,IF(SUM(CN49:CN60)&gt;0,-MIN(CN49*Assumptions!$K$33,SUM(CN49:CN60)),0))</f>
        <v>0</v>
      </c>
      <c r="CO61" s="242">
        <f>IF(CO6&gt;Assumptions!$F$40,0,IF(SUM(CO49:CO60)&gt;0,-MIN(CO49*Assumptions!$K$33,SUM(CO49:CO60)),0))</f>
        <v>0</v>
      </c>
      <c r="CP61" s="242">
        <f>IF(CP6&gt;Assumptions!$F$40,0,IF(SUM(CP49:CP60)&gt;0,-MIN(CP49*Assumptions!$K$33,SUM(CP49:CP60)),0))</f>
        <v>0</v>
      </c>
      <c r="CQ61" s="242">
        <f>IF(CQ6&gt;Assumptions!$F$40,0,IF(SUM(CQ49:CQ60)&gt;0,-MIN(CQ49*Assumptions!$K$33,SUM(CQ49:CQ60)),0))</f>
        <v>0</v>
      </c>
      <c r="CR61" s="242">
        <f>IF(CR6&gt;Assumptions!$F$40,0,IF(SUM(CR49:CR60)&gt;0,-MIN(CR49*Assumptions!$K$33,SUM(CR49:CR60)),0))</f>
        <v>0</v>
      </c>
      <c r="CS61" s="242">
        <f>IF(CS6&gt;Assumptions!$F$40,0,IF(SUM(CS49:CS60)&gt;0,-MIN(CS49*Assumptions!$K$33,SUM(CS49:CS60)),0))</f>
        <v>0</v>
      </c>
      <c r="CT61" s="242">
        <f>IF(CT6&gt;Assumptions!$F$40,0,IF(SUM(CT49:CT60)&gt;0,-MIN(CT49*Assumptions!$K$33,SUM(CT49:CT60)),0))</f>
        <v>0</v>
      </c>
      <c r="CU61" s="242">
        <f>IF(CU6&gt;Assumptions!$F$40,0,IF(SUM(CU49:CU60)&gt;0,-MIN(CU49*Assumptions!$K$33,SUM(CU49:CU60)),0))</f>
        <v>0</v>
      </c>
      <c r="CV61" s="242">
        <f>IF(CV6&gt;Assumptions!$F$40,0,IF(SUM(CV49:CV60)&gt;0,-MIN(CV49*Assumptions!$K$33,SUM(CV49:CV60)),0))</f>
        <v>0</v>
      </c>
      <c r="CW61" s="242">
        <f>IF(CW6&gt;Assumptions!$F$40,0,IF(SUM(CW49:CW60)&gt;0,-MIN(CW49*Assumptions!$K$33,SUM(CW49:CW60)),0))</f>
        <v>0</v>
      </c>
      <c r="CX61" s="242">
        <f>IF(CX6&gt;Assumptions!$F$40,0,IF(SUM(CX49:CX60)&gt;0,-MIN(CX49*Assumptions!$K$33,SUM(CX49:CX60)),0))</f>
        <v>0</v>
      </c>
      <c r="CY61" s="242">
        <f>IF(CY6&gt;Assumptions!$F$40,0,IF(SUM(CY49:CY60)&gt;0,-MIN(CY49*Assumptions!$K$33,SUM(CY49:CY60)),0))</f>
        <v>0</v>
      </c>
      <c r="CZ61" s="242">
        <f>IF(CZ6&gt;Assumptions!$F$40,0,IF(SUM(CZ49:CZ60)&gt;0,-MIN(CZ49*Assumptions!$K$33,SUM(CZ49:CZ60)),0))</f>
        <v>0</v>
      </c>
      <c r="DA61" s="242">
        <f>IF(DA6&gt;Assumptions!$F$40,0,IF(SUM(DA49:DA60)&gt;0,-MIN(DA49*Assumptions!$K$33,SUM(DA49:DA60)),0))</f>
        <v>0</v>
      </c>
      <c r="DB61" s="242">
        <f>IF(DB6&gt;Assumptions!$F$40,0,IF(SUM(DB49:DB60)&gt;0,-MIN(DB49*Assumptions!$K$33,SUM(DB49:DB60)),0))</f>
        <v>0</v>
      </c>
      <c r="DC61" s="242">
        <f>IF(DC6&gt;Assumptions!$F$40,0,IF(SUM(DC49:DC60)&gt;0,-MIN(DC49*Assumptions!$K$33,SUM(DC49:DC60)),0))</f>
        <v>0</v>
      </c>
      <c r="DD61" s="242">
        <f>IF(DD6&gt;Assumptions!$F$40,0,IF(SUM(DD49:DD60)&gt;0,-MIN(DD49*Assumptions!$K$33,SUM(DD49:DD60)),0))</f>
        <v>0</v>
      </c>
      <c r="DE61" s="242">
        <f>IF(DE6&gt;Assumptions!$F$40,0,IF(SUM(DE49:DE60)&gt;0,-MIN(DE49*Assumptions!$K$33,SUM(DE49:DE60)),0))</f>
        <v>0</v>
      </c>
      <c r="DF61" s="242">
        <f>IF(DF6&gt;Assumptions!$F$40,0,IF(SUM(DF49:DF60)&gt;0,-MIN(DF49*Assumptions!$K$33,SUM(DF49:DF60)),0))</f>
        <v>0</v>
      </c>
      <c r="DG61" s="242">
        <f>IF(DG6&gt;Assumptions!$F$40,0,IF(SUM(DG49:DG60)&gt;0,-MIN(DG49*Assumptions!$K$33,SUM(DG49:DG60)),0))</f>
        <v>0</v>
      </c>
      <c r="DH61" s="242">
        <f>IF(DH6&gt;Assumptions!$F$40,0,IF(SUM(DH49:DH60)&gt;0,-MIN(DH49*Assumptions!$K$33,SUM(DH49:DH60)),0))</f>
        <v>0</v>
      </c>
      <c r="DI61" s="242">
        <f>IF(DI6&gt;Assumptions!$F$40,0,IF(SUM(DI49:DI60)&gt;0,-MIN(DI49*Assumptions!$K$33,SUM(DI49:DI60)),0))</f>
        <v>0</v>
      </c>
      <c r="DJ61" s="242">
        <f>IF(DJ6&gt;Assumptions!$F$40,0,IF(SUM(DJ49:DJ60)&gt;0,-MIN(DJ49*Assumptions!$K$33,SUM(DJ49:DJ60)),0))</f>
        <v>0</v>
      </c>
      <c r="DK61" s="242">
        <f>IF(DK6&gt;Assumptions!$F$40,0,IF(SUM(DK49:DK60)&gt;0,-MIN(DK49*Assumptions!$K$33,SUM(DK49:DK60)),0))</f>
        <v>0</v>
      </c>
      <c r="DL61" s="242">
        <f>IF(DL6&gt;Assumptions!$F$40,0,IF(SUM(DL49:DL60)&gt;0,-MIN(DL49*Assumptions!$K$33,SUM(DL49:DL60)),0))</f>
        <v>0</v>
      </c>
      <c r="DM61" s="242">
        <f>IF(DM6&gt;Assumptions!$F$40,0,IF(SUM(DM49:DM60)&gt;0,-MIN(DM49*Assumptions!$K$33,SUM(DM49:DM60)),0))</f>
        <v>0</v>
      </c>
      <c r="DN61" s="242">
        <f>IF(DN6&gt;Assumptions!$F$40,0,IF(SUM(DN49:DN60)&gt;0,-MIN(DN49*Assumptions!$K$33,SUM(DN49:DN60)),0))</f>
        <v>0</v>
      </c>
      <c r="DO61" s="242">
        <f>IF(DO6&gt;Assumptions!$F$40,0,IF(SUM(DO49:DO60)&gt;0,-MIN(DO49*Assumptions!$K$33,SUM(DO49:DO60)),0))</f>
        <v>0</v>
      </c>
      <c r="DP61" s="242">
        <f>IF(DP6&gt;Assumptions!$F$40,0,IF(SUM(DP49:DP60)&gt;0,-MIN(DP49*Assumptions!$K$33,SUM(DP49:DP60)),0))</f>
        <v>0</v>
      </c>
      <c r="DQ61" s="242">
        <f>IF(DQ6&gt;Assumptions!$F$40,0,IF(SUM(DQ49:DQ60)&gt;0,-MIN(DQ49*Assumptions!$K$33,SUM(DQ49:DQ60)),0))</f>
        <v>0</v>
      </c>
      <c r="DR61" s="242">
        <f>IF(DR6&gt;Assumptions!$F$40,0,IF(SUM(DR49:DR60)&gt;0,-MIN(DR49*Assumptions!$K$33,SUM(DR49:DR60)),0))</f>
        <v>0</v>
      </c>
      <c r="DS61" s="242">
        <f>IF(DS6&gt;Assumptions!$F$40,0,IF(SUM(DS49:DS60)&gt;0,-MIN(DS49*Assumptions!$K$33,SUM(DS49:DS60)),0))</f>
        <v>0</v>
      </c>
      <c r="DT61" s="242">
        <f>IF(DT6&gt;Assumptions!$F$40,0,IF(SUM(DT49:DT60)&gt;0,-MIN(DT49*Assumptions!$K$33,SUM(DT49:DT60)),0))</f>
        <v>0</v>
      </c>
      <c r="DU61" s="242">
        <f>IF(DU6&gt;Assumptions!$F$40,0,IF(SUM(DU49:DU60)&gt;0,-MIN(DU49*Assumptions!$K$33,SUM(DU49:DU60)),0))</f>
        <v>0</v>
      </c>
      <c r="DV61" s="242">
        <f>IF(DV6&gt;Assumptions!$F$40,0,IF(SUM(DV49:DV60)&gt;0,-MIN(DV49*Assumptions!$K$33,SUM(DV49:DV60)),0))</f>
        <v>0</v>
      </c>
      <c r="DW61" s="242">
        <f>IF(DW6&gt;Assumptions!$F$40,0,IF(SUM(DW49:DW60)&gt;0,-MIN(DW49*Assumptions!$K$33,SUM(DW49:DW60)),0))</f>
        <v>0</v>
      </c>
      <c r="DX61" s="242">
        <f>IF(DX6&gt;Assumptions!$F$40,0,IF(SUM(DX49:DX60)&gt;0,-MIN(DX49*Assumptions!$K$33,SUM(DX49:DX60)),0))</f>
        <v>0</v>
      </c>
      <c r="DY61" s="242">
        <f>IF(DY6&gt;Assumptions!$F$40,0,IF(SUM(DY49:DY60)&gt;0,-MIN(DY49*Assumptions!$K$33,SUM(DY49:DY60)),0))</f>
        <v>0</v>
      </c>
      <c r="DZ61" s="242">
        <f>IF(DZ6&gt;Assumptions!$F$40,0,IF(SUM(DZ49:DZ60)&gt;0,-MIN(DZ49*Assumptions!$K$33,SUM(DZ49:DZ60)),0))</f>
        <v>0</v>
      </c>
      <c r="EA61" s="242">
        <f>IF(EA6&gt;Assumptions!$F$40,0,IF(SUM(EA49:EA60)&gt;0,-MIN(EA49*Assumptions!$K$33,SUM(EA49:EA60)),0))</f>
        <v>0</v>
      </c>
      <c r="EB61" s="242">
        <f>IF(EB6&gt;Assumptions!$F$40,0,IF(SUM(EB49:EB60)&gt;0,-MIN(EB49*Assumptions!$K$33,SUM(EB49:EB60)),0))</f>
        <v>0</v>
      </c>
      <c r="EC61" s="242">
        <f>IF(EC6&gt;Assumptions!$F$40,0,IF(SUM(EC49:EC60)&gt;0,-MIN(EC49*Assumptions!$K$33,SUM(EC49:EC60)),0))</f>
        <v>0</v>
      </c>
      <c r="ED61" s="242">
        <f>IF(ED6&gt;Assumptions!$F$40,0,IF(SUM(ED49:ED60)&gt;0,-MIN(ED49*Assumptions!$K$33,SUM(ED49:ED60)),0))</f>
        <v>0</v>
      </c>
      <c r="EE61" s="242">
        <f>IF(EE6&gt;Assumptions!$F$40,0,IF(SUM(EE49:EE60)&gt;0,-MIN(EE49*Assumptions!$K$33,SUM(EE49:EE60)),0))</f>
        <v>0</v>
      </c>
      <c r="EF61" s="242">
        <f>IF(EF6&gt;Assumptions!$F$40,0,IF(SUM(EF49:EF60)&gt;0,-MIN(EF49*Assumptions!$K$33,SUM(EF49:EF60)),0))</f>
        <v>0</v>
      </c>
      <c r="EG61" s="242">
        <f>IF(EG6&gt;Assumptions!$F$40,0,IF(SUM(EG49:EG60)&gt;0,-MIN(EG49*Assumptions!$K$33,SUM(EG49:EG60)),0))</f>
        <v>0</v>
      </c>
      <c r="EH61" s="242">
        <f>IF(EH6&gt;Assumptions!$F$40,0,IF(SUM(EH49:EH60)&gt;0,-MIN(EH49*Assumptions!$K$33,SUM(EH49:EH60)),0))</f>
        <v>0</v>
      </c>
      <c r="EI61" s="242">
        <f>IF(EI6&gt;Assumptions!$F$40,0,IF(SUM(EI49:EI60)&gt;0,-MIN(EI49*Assumptions!$K$33,SUM(EI49:EI60)),0))</f>
        <v>0</v>
      </c>
      <c r="EJ61" s="242">
        <f>IF(EJ6&gt;Assumptions!$F$40,0,IF(SUM(EJ49:EJ60)&gt;0,-MIN(EJ49*Assumptions!$K$33,SUM(EJ49:EJ60)),0))</f>
        <v>0</v>
      </c>
      <c r="EK61" s="242">
        <f>IF(EK6&gt;Assumptions!$F$40,0,IF(SUM(EK49:EK60)&gt;0,-MIN(EK49*Assumptions!$K$33,SUM(EK49:EK60)),0))</f>
        <v>0</v>
      </c>
      <c r="EL61" s="242">
        <f>IF(EL6&gt;Assumptions!$F$40,0,IF(SUM(EL49:EL60)&gt;0,-MIN(EL49*Assumptions!$K$33,SUM(EL49:EL60)),0))</f>
        <v>0</v>
      </c>
      <c r="EM61" s="242">
        <f>IF(EM6&gt;Assumptions!$F$40,0,IF(SUM(EM49:EM60)&gt;0,-MIN(EM49*Assumptions!$K$33,SUM(EM49:EM60)),0))</f>
        <v>0</v>
      </c>
      <c r="EN61" s="242">
        <f>IF(EN6&gt;Assumptions!$F$40,0,IF(SUM(EN49:EN60)&gt;0,-MIN(EN49*Assumptions!$K$33,SUM(EN49:EN60)),0))</f>
        <v>0</v>
      </c>
      <c r="EO61" s="242">
        <f>IF(EO6&gt;Assumptions!$F$40,0,IF(SUM(EO49:EO60)&gt;0,-MIN(EO49*Assumptions!$K$33,SUM(EO49:EO60)),0))</f>
        <v>0</v>
      </c>
      <c r="EP61" s="242">
        <f>IF(EP6&gt;Assumptions!$F$40,0,IF(SUM(EP49:EP60)&gt;0,-MIN(EP49*Assumptions!$K$33,SUM(EP49:EP60)),0))</f>
        <v>0</v>
      </c>
      <c r="EQ61" s="242">
        <f>IF(EQ6&gt;Assumptions!$F$40,0,IF(SUM(EQ49:EQ60)&gt;0,-MIN(EQ49*Assumptions!$K$33,SUM(EQ49:EQ60)),0))</f>
        <v>0</v>
      </c>
      <c r="ER61" s="242">
        <f>IF(ER6&gt;Assumptions!$F$40,0,IF(SUM(ER49:ER60)&gt;0,-MIN(ER49*Assumptions!$K$33,SUM(ER49:ER60)),0))</f>
        <v>0</v>
      </c>
      <c r="ES61" s="242">
        <f>IF(ES6&gt;Assumptions!$F$40,0,IF(SUM(ES49:ES60)&gt;0,-MIN(ES49*Assumptions!$K$33,SUM(ES49:ES60)),0))</f>
        <v>0</v>
      </c>
      <c r="ET61" s="242">
        <f>IF(ET6&gt;Assumptions!$F$40,0,IF(SUM(ET49:ET60)&gt;0,-MIN(ET49*Assumptions!$K$33,SUM(ET49:ET60)),0))</f>
        <v>0</v>
      </c>
    </row>
    <row r="62" spans="2:150" x14ac:dyDescent="0.2">
      <c r="B62" s="32" t="s">
        <v>186</v>
      </c>
      <c r="C62" s="32"/>
      <c r="D62" s="248">
        <f t="shared" ca="1" si="510"/>
        <v>-6800112.8112589903</v>
      </c>
      <c r="E62" s="32"/>
      <c r="F62" s="248">
        <f>SUM(F50:F61)</f>
        <v>0</v>
      </c>
      <c r="G62" s="248">
        <f t="shared" ref="G62:BR62" si="588">SUM(G50:G61)</f>
        <v>0</v>
      </c>
      <c r="H62" s="248">
        <f t="shared" si="588"/>
        <v>0</v>
      </c>
      <c r="I62" s="248">
        <f t="shared" si="588"/>
        <v>0</v>
      </c>
      <c r="J62" s="248">
        <f t="shared" si="588"/>
        <v>0</v>
      </c>
      <c r="K62" s="248">
        <f t="shared" si="588"/>
        <v>0</v>
      </c>
      <c r="L62" s="248">
        <f t="shared" si="588"/>
        <v>0</v>
      </c>
      <c r="M62" s="248">
        <f t="shared" si="588"/>
        <v>0</v>
      </c>
      <c r="N62" s="248">
        <f t="shared" si="588"/>
        <v>0</v>
      </c>
      <c r="O62" s="248">
        <f t="shared" si="588"/>
        <v>0</v>
      </c>
      <c r="P62" s="248">
        <f t="shared" si="588"/>
        <v>0</v>
      </c>
      <c r="Q62" s="248">
        <f t="shared" si="588"/>
        <v>0</v>
      </c>
      <c r="R62" s="248">
        <f t="shared" si="588"/>
        <v>0</v>
      </c>
      <c r="S62" s="248">
        <f t="shared" si="588"/>
        <v>0</v>
      </c>
      <c r="T62" s="248">
        <f t="shared" si="588"/>
        <v>0</v>
      </c>
      <c r="U62" s="248">
        <f t="shared" si="588"/>
        <v>0</v>
      </c>
      <c r="V62" s="248">
        <f t="shared" si="588"/>
        <v>0</v>
      </c>
      <c r="W62" s="248">
        <f t="shared" si="588"/>
        <v>0</v>
      </c>
      <c r="X62" s="248">
        <f t="shared" si="588"/>
        <v>0</v>
      </c>
      <c r="Y62" s="248">
        <f t="shared" si="588"/>
        <v>0</v>
      </c>
      <c r="Z62" s="248">
        <f t="shared" si="588"/>
        <v>0</v>
      </c>
      <c r="AA62" s="248">
        <f t="shared" si="588"/>
        <v>0</v>
      </c>
      <c r="AB62" s="248">
        <f t="shared" si="588"/>
        <v>0</v>
      </c>
      <c r="AC62" s="248">
        <f t="shared" si="588"/>
        <v>0</v>
      </c>
      <c r="AD62" s="248">
        <f t="shared" si="588"/>
        <v>0</v>
      </c>
      <c r="AE62" s="248">
        <f t="shared" si="588"/>
        <v>0</v>
      </c>
      <c r="AF62" s="248">
        <f t="shared" si="588"/>
        <v>0</v>
      </c>
      <c r="AG62" s="248">
        <f t="shared" si="588"/>
        <v>0</v>
      </c>
      <c r="AH62" s="248">
        <f t="shared" si="588"/>
        <v>0</v>
      </c>
      <c r="AI62" s="248">
        <f t="shared" si="588"/>
        <v>0</v>
      </c>
      <c r="AJ62" s="248">
        <f t="shared" si="588"/>
        <v>0</v>
      </c>
      <c r="AK62" s="248">
        <f t="shared" si="588"/>
        <v>0</v>
      </c>
      <c r="AL62" s="248">
        <f t="shared" si="588"/>
        <v>0</v>
      </c>
      <c r="AM62" s="248">
        <f t="shared" si="588"/>
        <v>0</v>
      </c>
      <c r="AN62" s="248">
        <f t="shared" si="588"/>
        <v>0</v>
      </c>
      <c r="AO62" s="248">
        <f t="shared" ca="1" si="588"/>
        <v>-56377.811698327969</v>
      </c>
      <c r="AP62" s="248">
        <f t="shared" ca="1" si="588"/>
        <v>-56942.964820568726</v>
      </c>
      <c r="AQ62" s="248">
        <f t="shared" ca="1" si="588"/>
        <v>-57458.478071368714</v>
      </c>
      <c r="AR62" s="248">
        <f t="shared" ca="1" si="588"/>
        <v>-57973.991322168695</v>
      </c>
      <c r="AS62" s="248">
        <f t="shared" ca="1" si="588"/>
        <v>-58488.910572968678</v>
      </c>
      <c r="AT62" s="248">
        <f t="shared" ca="1" si="588"/>
        <v>-59003.532823768663</v>
      </c>
      <c r="AU62" s="248">
        <f t="shared" ca="1" si="588"/>
        <v>-59518.155074568647</v>
      </c>
      <c r="AV62" s="248">
        <f t="shared" ca="1" si="588"/>
        <v>-59962.6015638959</v>
      </c>
      <c r="AW62" s="248">
        <f t="shared" ca="1" si="588"/>
        <v>-59962.6015638959</v>
      </c>
      <c r="AX62" s="248">
        <f t="shared" ca="1" si="588"/>
        <v>-59962.6015638959</v>
      </c>
      <c r="AY62" s="248">
        <f t="shared" ca="1" si="588"/>
        <v>-59962.6015638959</v>
      </c>
      <c r="AZ62" s="248">
        <f t="shared" ca="1" si="588"/>
        <v>-59962.6015638959</v>
      </c>
      <c r="BA62" s="248">
        <f t="shared" ca="1" si="588"/>
        <v>-60529.0853388959</v>
      </c>
      <c r="BB62" s="248">
        <f t="shared" ca="1" si="588"/>
        <v>-60680.480500053716</v>
      </c>
      <c r="BC62" s="248">
        <f t="shared" ca="1" si="588"/>
        <v>-60680.480500053716</v>
      </c>
      <c r="BD62" s="248">
        <f t="shared" ca="1" si="588"/>
        <v>-60680.480500053716</v>
      </c>
      <c r="BE62" s="248">
        <f t="shared" ca="1" si="588"/>
        <v>-60680.480500053716</v>
      </c>
      <c r="BF62" s="248">
        <f t="shared" ca="1" si="588"/>
        <v>-60680.480500053716</v>
      </c>
      <c r="BG62" s="248">
        <f t="shared" ca="1" si="588"/>
        <v>-60680.480500053716</v>
      </c>
      <c r="BH62" s="248">
        <f t="shared" ca="1" si="588"/>
        <v>-60680.480500053716</v>
      </c>
      <c r="BI62" s="248">
        <f t="shared" ca="1" si="588"/>
        <v>-60680.480500053716</v>
      </c>
      <c r="BJ62" s="248">
        <f t="shared" ca="1" si="588"/>
        <v>-60680.480500053716</v>
      </c>
      <c r="BK62" s="248">
        <f t="shared" ca="1" si="588"/>
        <v>-60680.480500053716</v>
      </c>
      <c r="BL62" s="248">
        <f t="shared" ca="1" si="588"/>
        <v>-60680.480500053716</v>
      </c>
      <c r="BM62" s="248">
        <f t="shared" ca="1" si="588"/>
        <v>-61263.958788303724</v>
      </c>
      <c r="BN62" s="248">
        <f t="shared" ca="1" si="588"/>
        <v>-61419.895804296262</v>
      </c>
      <c r="BO62" s="248">
        <f t="shared" ca="1" si="588"/>
        <v>-61419.895804296262</v>
      </c>
      <c r="BP62" s="248">
        <f t="shared" ca="1" si="588"/>
        <v>-61419.895804296262</v>
      </c>
      <c r="BQ62" s="248">
        <f t="shared" ca="1" si="588"/>
        <v>-61419.895804296262</v>
      </c>
      <c r="BR62" s="248">
        <f t="shared" ca="1" si="588"/>
        <v>-61419.895804296262</v>
      </c>
      <c r="BS62" s="248">
        <f t="shared" ref="BS62:ED62" ca="1" si="589">SUM(BS50:BS61)</f>
        <v>-61419.895804296262</v>
      </c>
      <c r="BT62" s="248">
        <f t="shared" ca="1" si="589"/>
        <v>-61419.895804296262</v>
      </c>
      <c r="BU62" s="248">
        <f t="shared" ca="1" si="589"/>
        <v>-61419.895804296262</v>
      </c>
      <c r="BV62" s="248">
        <f t="shared" ca="1" si="589"/>
        <v>-61419.895804296262</v>
      </c>
      <c r="BW62" s="248">
        <f t="shared" ca="1" si="589"/>
        <v>-61419.895804296262</v>
      </c>
      <c r="BX62" s="248">
        <f t="shared" ca="1" si="589"/>
        <v>-61419.895804296262</v>
      </c>
      <c r="BY62" s="248">
        <f t="shared" ca="1" si="589"/>
        <v>-62020.878441193759</v>
      </c>
      <c r="BZ62" s="248">
        <f t="shared" ca="1" si="589"/>
        <v>-62181.493567666083</v>
      </c>
      <c r="CA62" s="248">
        <f t="shared" ca="1" si="589"/>
        <v>-62181.493567666083</v>
      </c>
      <c r="CB62" s="248">
        <f t="shared" ca="1" si="589"/>
        <v>-62181.493567666083</v>
      </c>
      <c r="CC62" s="248">
        <f t="shared" ca="1" si="589"/>
        <v>-62181.493567666083</v>
      </c>
      <c r="CD62" s="248">
        <f t="shared" ca="1" si="589"/>
        <v>-62181.493567666083</v>
      </c>
      <c r="CE62" s="248">
        <f t="shared" ca="1" si="589"/>
        <v>-62181.493567666083</v>
      </c>
      <c r="CF62" s="248">
        <f t="shared" ca="1" si="589"/>
        <v>-62181.493567666083</v>
      </c>
      <c r="CG62" s="248">
        <f t="shared" ca="1" si="589"/>
        <v>-62181.493567666083</v>
      </c>
      <c r="CH62" s="248">
        <f t="shared" ca="1" si="589"/>
        <v>-62181.493567666083</v>
      </c>
      <c r="CI62" s="248">
        <f t="shared" ca="1" si="589"/>
        <v>-62181.493567666083</v>
      </c>
      <c r="CJ62" s="248">
        <f t="shared" ca="1" si="589"/>
        <v>-62181.493567666083</v>
      </c>
      <c r="CK62" s="248">
        <f t="shared" ca="1" si="589"/>
        <v>-62800.505683670504</v>
      </c>
      <c r="CL62" s="248">
        <f t="shared" ca="1" si="589"/>
        <v>-60997.827371564286</v>
      </c>
      <c r="CM62" s="248">
        <f t="shared" ca="1" si="589"/>
        <v>-60997.827371564286</v>
      </c>
      <c r="CN62" s="248">
        <f t="shared" ca="1" si="589"/>
        <v>-60997.827371564286</v>
      </c>
      <c r="CO62" s="248">
        <f t="shared" ca="1" si="589"/>
        <v>-60997.827371564286</v>
      </c>
      <c r="CP62" s="248">
        <f t="shared" ca="1" si="589"/>
        <v>-60997.827371564286</v>
      </c>
      <c r="CQ62" s="248">
        <f t="shared" ca="1" si="589"/>
        <v>-60997.827371564286</v>
      </c>
      <c r="CR62" s="248">
        <f t="shared" ca="1" si="589"/>
        <v>-60997.827371564286</v>
      </c>
      <c r="CS62" s="248">
        <f t="shared" ca="1" si="589"/>
        <v>-60997.827371564286</v>
      </c>
      <c r="CT62" s="248">
        <f t="shared" ca="1" si="589"/>
        <v>-60997.827371564286</v>
      </c>
      <c r="CU62" s="248">
        <f t="shared" ca="1" si="589"/>
        <v>-60997.827371564286</v>
      </c>
      <c r="CV62" s="248">
        <f t="shared" ca="1" si="589"/>
        <v>-60997.827371564286</v>
      </c>
      <c r="CW62" s="248">
        <f t="shared" ca="1" si="589"/>
        <v>-61632.234227941422</v>
      </c>
      <c r="CX62" s="248">
        <f t="shared" ca="1" si="589"/>
        <v>-61746.763081952136</v>
      </c>
      <c r="CY62" s="248">
        <f t="shared" ca="1" si="589"/>
        <v>-61746.763081952136</v>
      </c>
      <c r="CZ62" s="248">
        <f t="shared" ca="1" si="589"/>
        <v>-61746.763081952136</v>
      </c>
      <c r="DA62" s="248">
        <f t="shared" ca="1" si="589"/>
        <v>-61746.763081952136</v>
      </c>
      <c r="DB62" s="248">
        <f t="shared" ca="1" si="589"/>
        <v>-61746.763081952136</v>
      </c>
      <c r="DC62" s="248">
        <f t="shared" ca="1" si="589"/>
        <v>-61746.763081952136</v>
      </c>
      <c r="DD62" s="248">
        <f t="shared" ca="1" si="589"/>
        <v>-61746.763081952136</v>
      </c>
      <c r="DE62" s="248">
        <f t="shared" ca="1" si="589"/>
        <v>-61746.763081952136</v>
      </c>
      <c r="DF62" s="248">
        <f t="shared" ca="1" si="589"/>
        <v>-61746.763081952136</v>
      </c>
      <c r="DG62" s="248">
        <f t="shared" ca="1" si="589"/>
        <v>-61746.763081952136</v>
      </c>
      <c r="DH62" s="248">
        <f t="shared" ca="1" si="589"/>
        <v>-61746.763081952136</v>
      </c>
      <c r="DI62" s="248">
        <f t="shared" ca="1" si="589"/>
        <v>-62400.202144020594</v>
      </c>
      <c r="DJ62" s="248">
        <f t="shared" ca="1" si="589"/>
        <v>-62518.166863651641</v>
      </c>
      <c r="DK62" s="248">
        <f t="shared" ca="1" si="589"/>
        <v>-62518.166863651641</v>
      </c>
      <c r="DL62" s="248">
        <f t="shared" ca="1" si="589"/>
        <v>-62518.166863651641</v>
      </c>
      <c r="DM62" s="248">
        <f t="shared" ca="1" si="589"/>
        <v>-62518.166863651641</v>
      </c>
      <c r="DN62" s="248">
        <f t="shared" ca="1" si="589"/>
        <v>-62518.166863651641</v>
      </c>
      <c r="DO62" s="248">
        <f t="shared" ca="1" si="589"/>
        <v>-62518.166863651641</v>
      </c>
      <c r="DP62" s="248">
        <f t="shared" ca="1" si="589"/>
        <v>-62518.166863651641</v>
      </c>
      <c r="DQ62" s="248">
        <f t="shared" ca="1" si="589"/>
        <v>-62518.166863651641</v>
      </c>
      <c r="DR62" s="248">
        <f t="shared" ca="1" si="589"/>
        <v>-62518.166863651641</v>
      </c>
      <c r="DS62" s="248">
        <f t="shared" ca="1" si="589"/>
        <v>-62518.166863651641</v>
      </c>
      <c r="DT62" s="248">
        <f t="shared" ca="1" si="589"/>
        <v>-62518.166863651641</v>
      </c>
      <c r="DU62" s="248">
        <f t="shared" ca="1" si="589"/>
        <v>-63191.209097582156</v>
      </c>
      <c r="DV62" s="248">
        <f t="shared" ca="1" si="589"/>
        <v>-63312.712758802132</v>
      </c>
      <c r="DW62" s="248">
        <f t="shared" ca="1" si="589"/>
        <v>-63312.712758802132</v>
      </c>
      <c r="DX62" s="248">
        <f t="shared" ca="1" si="589"/>
        <v>-63312.712758802132</v>
      </c>
      <c r="DY62" s="248">
        <f t="shared" ca="1" si="589"/>
        <v>-63312.712758802132</v>
      </c>
      <c r="DZ62" s="248">
        <f t="shared" ca="1" si="589"/>
        <v>-63312.712758802132</v>
      </c>
      <c r="EA62" s="248">
        <f t="shared" ca="1" si="589"/>
        <v>-63312.712758802132</v>
      </c>
      <c r="EB62" s="248">
        <f t="shared" ca="1" si="589"/>
        <v>-63312.712758802132</v>
      </c>
      <c r="EC62" s="248">
        <f t="shared" ca="1" si="589"/>
        <v>-63312.712758802132</v>
      </c>
      <c r="ED62" s="248">
        <f t="shared" ca="1" si="589"/>
        <v>-63312.712758802132</v>
      </c>
      <c r="EE62" s="248">
        <f t="shared" ref="EE62:ET62" ca="1" si="590">SUM(EE50:EE61)</f>
        <v>-63312.712758802132</v>
      </c>
      <c r="EF62" s="248">
        <f t="shared" ca="1" si="590"/>
        <v>-63312.712758802132</v>
      </c>
      <c r="EG62" s="248">
        <f t="shared" ca="1" si="590"/>
        <v>-64005.946259750555</v>
      </c>
      <c r="EH62" s="248">
        <f t="shared" ca="1" si="590"/>
        <v>-64131.095030807126</v>
      </c>
      <c r="EI62" s="248">
        <f t="shared" ca="1" si="590"/>
        <v>-64131.095030807126</v>
      </c>
      <c r="EJ62" s="248">
        <f t="shared" ca="1" si="590"/>
        <v>-64131.095030807126</v>
      </c>
      <c r="EK62" s="248">
        <f t="shared" ca="1" si="590"/>
        <v>-64131.095030807126</v>
      </c>
      <c r="EL62" s="248">
        <f t="shared" ca="1" si="590"/>
        <v>-64131.095030807126</v>
      </c>
      <c r="EM62" s="248">
        <f t="shared" ca="1" si="590"/>
        <v>-64131.095030807126</v>
      </c>
      <c r="EN62" s="248">
        <f t="shared" ca="1" si="590"/>
        <v>-64131.095030807126</v>
      </c>
      <c r="EO62" s="248">
        <f t="shared" ca="1" si="590"/>
        <v>-64131.095030807126</v>
      </c>
      <c r="EP62" s="248">
        <f t="shared" ca="1" si="590"/>
        <v>-64131.095030807126</v>
      </c>
      <c r="EQ62" s="248">
        <f t="shared" ca="1" si="590"/>
        <v>-64131.095030807126</v>
      </c>
      <c r="ER62" s="248">
        <f t="shared" ca="1" si="590"/>
        <v>-64131.095030807126</v>
      </c>
      <c r="ES62" s="248">
        <f t="shared" ca="1" si="590"/>
        <v>-64845.125536784006</v>
      </c>
      <c r="ET62" s="248">
        <f t="shared" ca="1" si="590"/>
        <v>-64974.028770972276</v>
      </c>
    </row>
    <row r="63" spans="2:150" s="83" customFormat="1" x14ac:dyDescent="0.2">
      <c r="B63" s="99" t="s">
        <v>155</v>
      </c>
      <c r="C63" s="99"/>
      <c r="D63" s="246">
        <f t="shared" ca="1" si="510"/>
        <v>14465380.835965917</v>
      </c>
      <c r="E63" s="99"/>
      <c r="F63" s="246">
        <f>F49+F62</f>
        <v>0</v>
      </c>
      <c r="G63" s="246">
        <f t="shared" ref="G63:BL63" si="591">G49+G62</f>
        <v>0</v>
      </c>
      <c r="H63" s="246">
        <f t="shared" si="591"/>
        <v>0</v>
      </c>
      <c r="I63" s="246">
        <f t="shared" si="591"/>
        <v>0</v>
      </c>
      <c r="J63" s="246">
        <f t="shared" si="591"/>
        <v>0</v>
      </c>
      <c r="K63" s="246">
        <f t="shared" si="591"/>
        <v>0</v>
      </c>
      <c r="L63" s="246">
        <f t="shared" si="591"/>
        <v>0</v>
      </c>
      <c r="M63" s="246">
        <f t="shared" si="591"/>
        <v>0</v>
      </c>
      <c r="N63" s="246">
        <f t="shared" si="591"/>
        <v>0</v>
      </c>
      <c r="O63" s="246">
        <f t="shared" si="591"/>
        <v>0</v>
      </c>
      <c r="P63" s="246">
        <f t="shared" si="591"/>
        <v>0</v>
      </c>
      <c r="Q63" s="246">
        <f t="shared" si="591"/>
        <v>0</v>
      </c>
      <c r="R63" s="246">
        <f t="shared" si="591"/>
        <v>0</v>
      </c>
      <c r="S63" s="246">
        <f t="shared" si="591"/>
        <v>0</v>
      </c>
      <c r="T63" s="246">
        <f t="shared" si="591"/>
        <v>0</v>
      </c>
      <c r="U63" s="246">
        <f t="shared" si="591"/>
        <v>0</v>
      </c>
      <c r="V63" s="246">
        <f t="shared" si="591"/>
        <v>0</v>
      </c>
      <c r="W63" s="246">
        <f t="shared" si="591"/>
        <v>0</v>
      </c>
      <c r="X63" s="246">
        <f t="shared" si="591"/>
        <v>0</v>
      </c>
      <c r="Y63" s="246">
        <f t="shared" si="591"/>
        <v>0</v>
      </c>
      <c r="Z63" s="246">
        <f t="shared" si="591"/>
        <v>0</v>
      </c>
      <c r="AA63" s="246">
        <f t="shared" si="591"/>
        <v>0</v>
      </c>
      <c r="AB63" s="246">
        <f t="shared" si="591"/>
        <v>0</v>
      </c>
      <c r="AC63" s="246">
        <f t="shared" si="591"/>
        <v>0</v>
      </c>
      <c r="AD63" s="246">
        <f t="shared" si="591"/>
        <v>0</v>
      </c>
      <c r="AE63" s="246">
        <f t="shared" si="591"/>
        <v>0</v>
      </c>
      <c r="AF63" s="246">
        <f t="shared" si="591"/>
        <v>0</v>
      </c>
      <c r="AG63" s="246">
        <f t="shared" si="591"/>
        <v>0</v>
      </c>
      <c r="AH63" s="246">
        <f t="shared" si="591"/>
        <v>0</v>
      </c>
      <c r="AI63" s="246">
        <f t="shared" si="591"/>
        <v>0</v>
      </c>
      <c r="AJ63" s="246">
        <f t="shared" si="591"/>
        <v>0</v>
      </c>
      <c r="AK63" s="246">
        <f t="shared" si="591"/>
        <v>0</v>
      </c>
      <c r="AL63" s="246">
        <f t="shared" si="591"/>
        <v>0</v>
      </c>
      <c r="AM63" s="246">
        <f t="shared" si="591"/>
        <v>0</v>
      </c>
      <c r="AN63" s="246">
        <f t="shared" si="591"/>
        <v>0</v>
      </c>
      <c r="AO63" s="246">
        <f t="shared" ca="1" si="591"/>
        <v>1049.6639200053687</v>
      </c>
      <c r="AP63" s="246">
        <f t="shared" ca="1" si="591"/>
        <v>18984.908248281281</v>
      </c>
      <c r="AQ63" s="246">
        <f t="shared" ca="1" si="591"/>
        <v>35342.255679447953</v>
      </c>
      <c r="AR63" s="246">
        <f t="shared" ca="1" si="591"/>
        <v>51699.603110614647</v>
      </c>
      <c r="AS63" s="246">
        <f t="shared" ca="1" si="591"/>
        <v>68057.544541781303</v>
      </c>
      <c r="AT63" s="246">
        <f t="shared" ca="1" si="591"/>
        <v>84415.782972948</v>
      </c>
      <c r="AU63" s="246">
        <f t="shared" ca="1" si="591"/>
        <v>100774.0214041147</v>
      </c>
      <c r="AV63" s="246">
        <f t="shared" ca="1" si="591"/>
        <v>114901.59095830409</v>
      </c>
      <c r="AW63" s="246">
        <f t="shared" ca="1" si="591"/>
        <v>114901.59095830409</v>
      </c>
      <c r="AX63" s="246">
        <f t="shared" ca="1" si="591"/>
        <v>114901.59095830409</v>
      </c>
      <c r="AY63" s="246">
        <f t="shared" ca="1" si="591"/>
        <v>114901.59095830409</v>
      </c>
      <c r="AZ63" s="246">
        <f t="shared" ca="1" si="591"/>
        <v>114901.59095830409</v>
      </c>
      <c r="BA63" s="246">
        <f t="shared" ca="1" si="591"/>
        <v>114617.25718330411</v>
      </c>
      <c r="BB63" s="246">
        <f t="shared" ca="1" si="591"/>
        <v>119429.63779781231</v>
      </c>
      <c r="BC63" s="246">
        <f t="shared" ca="1" si="591"/>
        <v>119429.63779781231</v>
      </c>
      <c r="BD63" s="246">
        <f t="shared" ca="1" si="591"/>
        <v>119429.63779781231</v>
      </c>
      <c r="BE63" s="246">
        <f t="shared" ca="1" si="591"/>
        <v>119429.63779781231</v>
      </c>
      <c r="BF63" s="246">
        <f t="shared" ca="1" si="591"/>
        <v>119429.63779781231</v>
      </c>
      <c r="BG63" s="246">
        <f t="shared" ca="1" si="591"/>
        <v>119429.63779781231</v>
      </c>
      <c r="BH63" s="246">
        <f t="shared" ca="1" si="591"/>
        <v>119429.63779781231</v>
      </c>
      <c r="BI63" s="246">
        <f t="shared" ca="1" si="591"/>
        <v>119429.63779781231</v>
      </c>
      <c r="BJ63" s="246">
        <f t="shared" ca="1" si="591"/>
        <v>119429.63779781231</v>
      </c>
      <c r="BK63" s="246">
        <f t="shared" ca="1" si="591"/>
        <v>119429.63779781231</v>
      </c>
      <c r="BL63" s="246">
        <f t="shared" ca="1" si="591"/>
        <v>119429.63779781231</v>
      </c>
      <c r="BM63" s="246">
        <f t="shared" ref="BM63" ca="1" si="592">BM49+BM62</f>
        <v>119136.7740095623</v>
      </c>
      <c r="BN63" s="246">
        <f t="shared" ref="BN63" ca="1" si="593">BN49+BN62</f>
        <v>124093.52604250571</v>
      </c>
      <c r="BO63" s="246">
        <f t="shared" ref="BO63" ca="1" si="594">BO49+BO62</f>
        <v>124093.52604250571</v>
      </c>
      <c r="BP63" s="246">
        <f t="shared" ref="BP63" ca="1" si="595">BP49+BP62</f>
        <v>124093.52604250571</v>
      </c>
      <c r="BQ63" s="246">
        <f t="shared" ref="BQ63" ca="1" si="596">BQ49+BQ62</f>
        <v>124093.52604250571</v>
      </c>
      <c r="BR63" s="246">
        <f t="shared" ref="BR63" ca="1" si="597">BR49+BR62</f>
        <v>124093.52604250571</v>
      </c>
      <c r="BS63" s="246">
        <f t="shared" ref="BS63" ca="1" si="598">BS49+BS62</f>
        <v>124093.52604250571</v>
      </c>
      <c r="BT63" s="246">
        <f t="shared" ref="BT63" ca="1" si="599">BT49+BT62</f>
        <v>124093.52604250571</v>
      </c>
      <c r="BU63" s="246">
        <f t="shared" ref="BU63" ca="1" si="600">BU49+BU62</f>
        <v>124093.52604250571</v>
      </c>
      <c r="BV63" s="246">
        <f t="shared" ref="BV63" ca="1" si="601">BV49+BV62</f>
        <v>124093.52604250571</v>
      </c>
      <c r="BW63" s="246">
        <f t="shared" ref="BW63" ca="1" si="602">BW49+BW62</f>
        <v>124093.52604250571</v>
      </c>
      <c r="BX63" s="246">
        <f t="shared" ref="BX63" ca="1" si="603">BX49+BX62</f>
        <v>124093.52604250571</v>
      </c>
      <c r="BY63" s="246">
        <f ca="1">BY49+BY62</f>
        <v>123791.8763406082</v>
      </c>
      <c r="BZ63" s="246">
        <f t="shared" ref="BZ63:EK63" ca="1" si="604">BZ49+BZ62</f>
        <v>128897.33093453992</v>
      </c>
      <c r="CA63" s="246">
        <f t="shared" ca="1" si="604"/>
        <v>128897.33093453992</v>
      </c>
      <c r="CB63" s="246">
        <f t="shared" ca="1" si="604"/>
        <v>128897.33093453992</v>
      </c>
      <c r="CC63" s="246">
        <f t="shared" ca="1" si="604"/>
        <v>128897.33093453992</v>
      </c>
      <c r="CD63" s="246">
        <f t="shared" ca="1" si="604"/>
        <v>128897.33093453992</v>
      </c>
      <c r="CE63" s="246">
        <f t="shared" ca="1" si="604"/>
        <v>128897.33093453992</v>
      </c>
      <c r="CF63" s="246">
        <f t="shared" ca="1" si="604"/>
        <v>128897.33093453992</v>
      </c>
      <c r="CG63" s="246">
        <f t="shared" ca="1" si="604"/>
        <v>128897.33093453992</v>
      </c>
      <c r="CH63" s="246">
        <f t="shared" ca="1" si="604"/>
        <v>128897.33093453992</v>
      </c>
      <c r="CI63" s="246">
        <f t="shared" ca="1" si="604"/>
        <v>128897.33093453992</v>
      </c>
      <c r="CJ63" s="246">
        <f t="shared" ca="1" si="604"/>
        <v>128897.33093453992</v>
      </c>
      <c r="CK63" s="246">
        <f t="shared" ca="1" si="604"/>
        <v>128586.63174158552</v>
      </c>
      <c r="CL63" s="246">
        <f t="shared" ca="1" si="604"/>
        <v>135813.36186570794</v>
      </c>
      <c r="CM63" s="246">
        <f t="shared" ca="1" si="604"/>
        <v>135813.36186570794</v>
      </c>
      <c r="CN63" s="246">
        <f t="shared" ca="1" si="604"/>
        <v>135813.36186570794</v>
      </c>
      <c r="CO63" s="246">
        <f t="shared" ca="1" si="604"/>
        <v>135813.36186570794</v>
      </c>
      <c r="CP63" s="246">
        <f t="shared" ca="1" si="604"/>
        <v>135813.36186570794</v>
      </c>
      <c r="CQ63" s="246">
        <f t="shared" ca="1" si="604"/>
        <v>135813.36186570794</v>
      </c>
      <c r="CR63" s="246">
        <f t="shared" ca="1" si="604"/>
        <v>135813.36186570794</v>
      </c>
      <c r="CS63" s="246">
        <f t="shared" ca="1" si="604"/>
        <v>135813.36186570794</v>
      </c>
      <c r="CT63" s="246">
        <f t="shared" ca="1" si="604"/>
        <v>135813.36186570794</v>
      </c>
      <c r="CU63" s="246">
        <f t="shared" ca="1" si="604"/>
        <v>135813.36186570794</v>
      </c>
      <c r="CV63" s="246">
        <f t="shared" ca="1" si="604"/>
        <v>135813.36186570794</v>
      </c>
      <c r="CW63" s="246">
        <f t="shared" ca="1" si="604"/>
        <v>135496.51732007231</v>
      </c>
      <c r="CX63" s="246">
        <f t="shared" ca="1" si="604"/>
        <v>140968.76183243818</v>
      </c>
      <c r="CY63" s="246">
        <f t="shared" ca="1" si="604"/>
        <v>140968.76183243818</v>
      </c>
      <c r="CZ63" s="246">
        <f t="shared" ca="1" si="604"/>
        <v>140968.76183243818</v>
      </c>
      <c r="DA63" s="246">
        <f t="shared" ca="1" si="604"/>
        <v>140968.76183243818</v>
      </c>
      <c r="DB63" s="246">
        <f t="shared" ca="1" si="604"/>
        <v>140968.76183243818</v>
      </c>
      <c r="DC63" s="246">
        <f t="shared" ca="1" si="604"/>
        <v>140968.76183243818</v>
      </c>
      <c r="DD63" s="246">
        <f t="shared" ca="1" si="604"/>
        <v>140968.76183243818</v>
      </c>
      <c r="DE63" s="246">
        <f t="shared" ca="1" si="604"/>
        <v>140968.76183243818</v>
      </c>
      <c r="DF63" s="246">
        <f t="shared" ca="1" si="604"/>
        <v>140968.76183243818</v>
      </c>
      <c r="DG63" s="246">
        <f t="shared" ca="1" si="604"/>
        <v>140968.76183243818</v>
      </c>
      <c r="DH63" s="246">
        <f t="shared" ca="1" si="604"/>
        <v>140968.76183243818</v>
      </c>
      <c r="DI63" s="246">
        <f t="shared" ca="1" si="604"/>
        <v>140642.41195043351</v>
      </c>
      <c r="DJ63" s="246">
        <f t="shared" ca="1" si="604"/>
        <v>146278.82379817043</v>
      </c>
      <c r="DK63" s="246">
        <f t="shared" ca="1" si="604"/>
        <v>146278.82379817043</v>
      </c>
      <c r="DL63" s="246">
        <f t="shared" ca="1" si="604"/>
        <v>146278.82379817043</v>
      </c>
      <c r="DM63" s="246">
        <f t="shared" ca="1" si="604"/>
        <v>146278.82379817043</v>
      </c>
      <c r="DN63" s="246">
        <f t="shared" ca="1" si="604"/>
        <v>146278.82379817043</v>
      </c>
      <c r="DO63" s="246">
        <f t="shared" ca="1" si="604"/>
        <v>146278.82379817043</v>
      </c>
      <c r="DP63" s="246">
        <f t="shared" ca="1" si="604"/>
        <v>146278.82379817043</v>
      </c>
      <c r="DQ63" s="246">
        <f t="shared" ca="1" si="604"/>
        <v>146278.82379817043</v>
      </c>
      <c r="DR63" s="246">
        <f t="shared" ca="1" si="604"/>
        <v>146278.82379817043</v>
      </c>
      <c r="DS63" s="246">
        <f t="shared" ca="1" si="604"/>
        <v>146278.82379817043</v>
      </c>
      <c r="DT63" s="246">
        <f t="shared" ca="1" si="604"/>
        <v>146278.82379817043</v>
      </c>
      <c r="DU63" s="246">
        <f t="shared" ca="1" si="604"/>
        <v>145942.6834197056</v>
      </c>
      <c r="DV63" s="246">
        <f t="shared" ca="1" si="604"/>
        <v>151748.18762287463</v>
      </c>
      <c r="DW63" s="246">
        <f t="shared" ca="1" si="604"/>
        <v>151748.18762287463</v>
      </c>
      <c r="DX63" s="246">
        <f t="shared" ca="1" si="604"/>
        <v>151748.18762287463</v>
      </c>
      <c r="DY63" s="246">
        <f t="shared" ca="1" si="604"/>
        <v>151748.18762287463</v>
      </c>
      <c r="DZ63" s="246">
        <f t="shared" ca="1" si="604"/>
        <v>151748.18762287463</v>
      </c>
      <c r="EA63" s="246">
        <f t="shared" ca="1" si="604"/>
        <v>151748.18762287463</v>
      </c>
      <c r="EB63" s="246">
        <f t="shared" ca="1" si="604"/>
        <v>151748.18762287463</v>
      </c>
      <c r="EC63" s="246">
        <f t="shared" ca="1" si="604"/>
        <v>151748.18762287463</v>
      </c>
      <c r="ED63" s="246">
        <f t="shared" ca="1" si="604"/>
        <v>151748.18762287463</v>
      </c>
      <c r="EE63" s="246">
        <f t="shared" ca="1" si="604"/>
        <v>151748.18762287463</v>
      </c>
      <c r="EF63" s="246">
        <f t="shared" ca="1" si="604"/>
        <v>151748.18762287463</v>
      </c>
      <c r="EG63" s="246">
        <f t="shared" ca="1" si="604"/>
        <v>151401.96303305586</v>
      </c>
      <c r="EH63" s="246">
        <f t="shared" ca="1" si="604"/>
        <v>157381.63236231994</v>
      </c>
      <c r="EI63" s="246">
        <f t="shared" ca="1" si="604"/>
        <v>157381.63236231994</v>
      </c>
      <c r="EJ63" s="246">
        <f t="shared" ca="1" si="604"/>
        <v>157381.63236231994</v>
      </c>
      <c r="EK63" s="246">
        <f t="shared" ca="1" si="604"/>
        <v>157381.63236231994</v>
      </c>
      <c r="EL63" s="246">
        <f t="shared" ref="EL63:ET63" ca="1" si="605">EL49+EL62</f>
        <v>157381.63236231994</v>
      </c>
      <c r="EM63" s="246">
        <f t="shared" ca="1" si="605"/>
        <v>157381.63236231994</v>
      </c>
      <c r="EN63" s="246">
        <f t="shared" ca="1" si="605"/>
        <v>157381.63236231994</v>
      </c>
      <c r="EO63" s="246">
        <f t="shared" ca="1" si="605"/>
        <v>157381.63236231994</v>
      </c>
      <c r="EP63" s="246">
        <f t="shared" ca="1" si="605"/>
        <v>157381.63236231994</v>
      </c>
      <c r="EQ63" s="246">
        <f t="shared" ca="1" si="605"/>
        <v>157381.63236231994</v>
      </c>
      <c r="ER63" s="246">
        <f t="shared" ca="1" si="605"/>
        <v>157381.63236231994</v>
      </c>
      <c r="ES63" s="246">
        <f t="shared" ca="1" si="605"/>
        <v>157025.02103480659</v>
      </c>
      <c r="ET63" s="246">
        <f t="shared" ca="1" si="605"/>
        <v>163184.08044394857</v>
      </c>
    </row>
    <row r="64" spans="2:150" x14ac:dyDescent="0.2"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1">
        <f ca="1">BB62/Assumptions!F17*12</f>
        <v>-14.936427273299923</v>
      </c>
      <c r="BC64" s="219">
        <f ca="1">BC62/BC49</f>
        <v>-0.33690767111540271</v>
      </c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</row>
    <row r="65" spans="2:150" x14ac:dyDescent="0.2">
      <c r="B65" t="s">
        <v>110</v>
      </c>
      <c r="F65" s="242">
        <f>IF(Assumptions!$L$43="Yes",IF(F6=Assumptions!$F$40,MIN(-(F80+F82)*Assumptions!$L$44*Assumptions!$L$45*(1-Assumptions!$L$46),SUM(G59:R59)),0),IF(F6=Assumptions!$F$40,SUM(G59:R59),0))</f>
        <v>0</v>
      </c>
      <c r="G65" s="242">
        <f>IF(Assumptions!$L$43="Yes",IF(G6=Assumptions!$F$40,MIN(-(G80+G82)*Assumptions!$L$44*Assumptions!$L$45*(1-Assumptions!$L$46),SUM(H59:S59)),0),IF(G6=Assumptions!$F$40,SUM(H59:S59),0))</f>
        <v>0</v>
      </c>
      <c r="H65" s="242">
        <f>IF(Assumptions!$L$43="Yes",IF(H6=Assumptions!$F$40,MIN(-(H80+H82)*Assumptions!$L$44*Assumptions!$L$45*(1-Assumptions!$L$46),SUM(I59:T59)),0),IF(H6=Assumptions!$F$40,SUM(I59:T59),0))</f>
        <v>0</v>
      </c>
      <c r="I65" s="242">
        <f>IF(Assumptions!$L$43="Yes",IF(I6=Assumptions!$F$40,MIN(-(I80+I82)*Assumptions!$L$44*Assumptions!$L$45*(1-Assumptions!$L$46),SUM(J59:U59)),0),IF(I6=Assumptions!$F$40,SUM(J59:U59),0))</f>
        <v>0</v>
      </c>
      <c r="J65" s="242">
        <f>IF(Assumptions!$L$43="Yes",IF(J6=Assumptions!$F$40,MIN(-(J80+J82)*Assumptions!$L$44*Assumptions!$L$45*(1-Assumptions!$L$46),SUM(K59:V59)),0),IF(J6=Assumptions!$F$40,SUM(K59:V59),0))</f>
        <v>0</v>
      </c>
      <c r="K65" s="242">
        <f>IF(Assumptions!$L$43="Yes",IF(K6=Assumptions!$F$40,MIN(-(K80+K82)*Assumptions!$L$44*Assumptions!$L$45*(1-Assumptions!$L$46),SUM(L59:W59)),0),IF(K6=Assumptions!$F$40,SUM(L59:W59),0))</f>
        <v>0</v>
      </c>
      <c r="L65" s="242">
        <f>IF(Assumptions!$L$43="Yes",IF(L6=Assumptions!$F$40,MIN(-(L80+L82)*Assumptions!$L$44*Assumptions!$L$45*(1-Assumptions!$L$46),SUM(M59:X59)),0),IF(L6=Assumptions!$F$40,SUM(M59:X59),0))</f>
        <v>0</v>
      </c>
      <c r="M65" s="242">
        <f>IF(Assumptions!$L$43="Yes",IF(M6=Assumptions!$F$40,MIN(-(M80+M82)*Assumptions!$L$44*Assumptions!$L$45*(1-Assumptions!$L$46),SUM(N59:Y59)),0),IF(M6=Assumptions!$F$40,SUM(N59:Y59),0))</f>
        <v>0</v>
      </c>
      <c r="N65" s="242">
        <f>IF(Assumptions!$L$43="Yes",IF(N6=Assumptions!$F$40,MIN(-(N80+N82)*Assumptions!$L$44*Assumptions!$L$45*(1-Assumptions!$L$46),SUM(O59:Z59)),0),IF(N6=Assumptions!$F$40,SUM(O59:Z59),0))</f>
        <v>0</v>
      </c>
      <c r="O65" s="242">
        <f>IF(Assumptions!$L$43="Yes",IF(O6=Assumptions!$F$40,MIN(-(O80+O82)*Assumptions!$L$44*Assumptions!$L$45*(1-Assumptions!$L$46),SUM(P59:AA59)),0),IF(O6=Assumptions!$F$40,SUM(P59:AA59),0))</f>
        <v>0</v>
      </c>
      <c r="P65" s="242">
        <f>IF(Assumptions!$L$43="Yes",IF(P6=Assumptions!$F$40,MIN(-(P80+P82)*Assumptions!$L$44*Assumptions!$L$45*(1-Assumptions!$L$46),SUM(Q59:AB59)),0),IF(P6=Assumptions!$F$40,SUM(Q59:AB59),0))</f>
        <v>0</v>
      </c>
      <c r="Q65" s="242">
        <f>IF(Assumptions!$L$43="Yes",IF(Q6=Assumptions!$F$40,MIN(-(Q80+Q82)*Assumptions!$L$44*Assumptions!$L$45*(1-Assumptions!$L$46),SUM(R59:AC59)),0),IF(Q6=Assumptions!$F$40,SUM(R59:AC59),0))</f>
        <v>0</v>
      </c>
      <c r="R65" s="242">
        <f>IF(Assumptions!$L$43="Yes",IF(R6=Assumptions!$F$40,MIN(-(R80+R82)*Assumptions!$L$44*Assumptions!$L$45*(1-Assumptions!$L$46),SUM(S59:AD59)),0),IF(R6=Assumptions!$F$40,SUM(S59:AD59),0))</f>
        <v>0</v>
      </c>
      <c r="S65" s="242">
        <f>IF(Assumptions!$L$43="Yes",IF(S6=Assumptions!$F$40,MIN(-(S80+S82)*Assumptions!$L$44*Assumptions!$L$45*(1-Assumptions!$L$46),SUM(T59:AE59)),0),IF(S6=Assumptions!$F$40,SUM(T59:AE59),0))</f>
        <v>0</v>
      </c>
      <c r="T65" s="242">
        <f>IF(Assumptions!$L$43="Yes",IF(T6=Assumptions!$F$40,MIN(-(T80+T82)*Assumptions!$L$44*Assumptions!$L$45*(1-Assumptions!$L$46),SUM(U59:AF59)),0),IF(T6=Assumptions!$F$40,SUM(U59:AF59),0))</f>
        <v>0</v>
      </c>
      <c r="U65" s="242">
        <f>IF(Assumptions!$L$43="Yes",IF(U6=Assumptions!$F$40,MIN(-(U80+U82)*Assumptions!$L$44*Assumptions!$L$45*(1-Assumptions!$L$46),SUM(V59:AG59)),0),IF(U6=Assumptions!$F$40,SUM(V59:AG59),0))</f>
        <v>0</v>
      </c>
      <c r="V65" s="242">
        <f>IF(Assumptions!$L$43="Yes",IF(V6=Assumptions!$F$40,MIN(-(V80+V82)*Assumptions!$L$44*Assumptions!$L$45*(1-Assumptions!$L$46),SUM(W59:AH59)),0),IF(V6=Assumptions!$F$40,SUM(W59:AH59),0))</f>
        <v>0</v>
      </c>
      <c r="W65" s="242">
        <f>IF(Assumptions!$L$43="Yes",IF(W6=Assumptions!$F$40,MIN(-(W80+W82)*Assumptions!$L$44*Assumptions!$L$45*(1-Assumptions!$L$46),SUM(X59:AI59)),0),IF(W6=Assumptions!$F$40,SUM(X59:AI59),0))</f>
        <v>0</v>
      </c>
      <c r="X65" s="242">
        <f>IF(Assumptions!$L$43="Yes",IF(X6=Assumptions!$F$40,MIN(-(X80+X82)*Assumptions!$L$44*Assumptions!$L$45*(1-Assumptions!$L$46),SUM(Y59:AJ59)),0),IF(X6=Assumptions!$F$40,SUM(Y59:AJ59),0))</f>
        <v>0</v>
      </c>
      <c r="Y65" s="242">
        <f>IF(Assumptions!$L$43="Yes",IF(Y6=Assumptions!$F$40,MIN(-(Y80+Y82)*Assumptions!$L$44*Assumptions!$L$45*(1-Assumptions!$L$46),SUM(Z59:AK59)),0),IF(Y6=Assumptions!$F$40,SUM(Z59:AK59),0))</f>
        <v>0</v>
      </c>
      <c r="Z65" s="242">
        <f>IF(Assumptions!$L$43="Yes",IF(Z6=Assumptions!$F$40,MIN(-(Z80+Z82)*Assumptions!$L$44*Assumptions!$L$45*(1-Assumptions!$L$46),SUM(AA59:AL59)),0),IF(Z6=Assumptions!$F$40,SUM(AA59:AL59),0))</f>
        <v>0</v>
      </c>
      <c r="AA65" s="242">
        <f>IF(Assumptions!$L$43="Yes",IF(AA6=Assumptions!$F$40,MIN(-(AA80+AA82)*Assumptions!$L$44*Assumptions!$L$45*(1-Assumptions!$L$46),SUM(AB59:AM59)),0),IF(AA6=Assumptions!$F$40,SUM(AB59:AM59),0))</f>
        <v>0</v>
      </c>
      <c r="AB65" s="242">
        <f>IF(Assumptions!$L$43="Yes",IF(AB6=Assumptions!$F$40,MIN(-(AB80+AB82)*Assumptions!$L$44*Assumptions!$L$45*(1-Assumptions!$L$46),SUM(AC59:AN59)),0),IF(AB6=Assumptions!$F$40,SUM(AC59:AN59),0))</f>
        <v>0</v>
      </c>
      <c r="AC65" s="242">
        <f>IF(Assumptions!$L$43="Yes",IF(AC6=Assumptions!$F$40,MIN(-(AC80+AC82)*Assumptions!$L$44*Assumptions!$L$45*(1-Assumptions!$L$46),SUM(AD59:AO59)),0),IF(AC6=Assumptions!$F$40,SUM(AD59:AO59),0))</f>
        <v>0</v>
      </c>
      <c r="AD65" s="242">
        <f>IF(Assumptions!$L$43="Yes",IF(AD6=Assumptions!$F$40,MIN(-(AD80+AD82)*Assumptions!$L$44*Assumptions!$L$45*(1-Assumptions!$L$46),SUM(AE59:AP59)),0),IF(AD6=Assumptions!$F$40,SUM(AE59:AP59),0))</f>
        <v>0</v>
      </c>
      <c r="AE65" s="242">
        <f>IF(Assumptions!$L$43="Yes",IF(AE6=Assumptions!$F$40,MIN(-(AE80+AE82)*Assumptions!$L$44*Assumptions!$L$45*(1-Assumptions!$L$46),SUM(AF59:AQ59)),0),IF(AE6=Assumptions!$F$40,SUM(AF59:AQ59),0))</f>
        <v>0</v>
      </c>
      <c r="AF65" s="242">
        <f>IF(Assumptions!$L$43="Yes",IF(AF6=Assumptions!$F$40,MIN(-(AF80+AF82)*Assumptions!$L$44*Assumptions!$L$45*(1-Assumptions!$L$46),SUM(AG59:AR59)),0),IF(AF6=Assumptions!$F$40,SUM(AG59:AR59),0))</f>
        <v>0</v>
      </c>
      <c r="AG65" s="242">
        <f>IF(Assumptions!$L$43="Yes",IF(AG6=Assumptions!$F$40,MIN(-(AG80+AG82)*Assumptions!$L$44*Assumptions!$L$45*(1-Assumptions!$L$46),SUM(AH59:AS59)),0),IF(AG6=Assumptions!$F$40,SUM(AH59:AS59),0))</f>
        <v>0</v>
      </c>
      <c r="AH65" s="242">
        <f>IF(Assumptions!$L$43="Yes",IF(AH6=Assumptions!$F$40,MIN(-(AH80+AH82)*Assumptions!$L$44*Assumptions!$L$45*(1-Assumptions!$L$46),SUM(AI59:AT59)),0),IF(AH6=Assumptions!$F$40,SUM(AI59:AT59),0))</f>
        <v>0</v>
      </c>
      <c r="AI65" s="242">
        <f>IF(Assumptions!$L$43="Yes",IF(AI6=Assumptions!$F$40,MIN(-(AI80+AI82)*Assumptions!$L$44*Assumptions!$L$45*(1-Assumptions!$L$46),SUM(AJ59:AU59)),0),IF(AI6=Assumptions!$F$40,SUM(AJ59:AU59),0))</f>
        <v>0</v>
      </c>
      <c r="AJ65" s="242">
        <f>IF(Assumptions!$L$43="Yes",IF(AJ6=Assumptions!$F$40,MIN(-(AJ80+AJ82)*Assumptions!$L$44*Assumptions!$L$45*(1-Assumptions!$L$46),SUM(AK59:AV59)),0),IF(AJ6=Assumptions!$F$40,SUM(AK59:AV59),0))</f>
        <v>0</v>
      </c>
      <c r="AK65" s="242">
        <f>IF(Assumptions!$L$43="Yes",IF(AK6=Assumptions!$F$40,MIN(-(AK80+AK82)*Assumptions!$L$44*Assumptions!$L$45*(1-Assumptions!$L$46),SUM(AL59:AW59)),0),IF(AK6=Assumptions!$F$40,SUM(AL59:AW59),0))</f>
        <v>0</v>
      </c>
      <c r="AL65" s="242">
        <f>IF(Assumptions!$L$43="Yes",IF(AL6=Assumptions!$F$40,MIN(-(AL80+AL82)*Assumptions!$L$44*Assumptions!$L$45*(1-Assumptions!$L$46),SUM(AM59:AX59)),0),IF(AL6=Assumptions!$F$40,SUM(AM59:AX59),0))</f>
        <v>0</v>
      </c>
      <c r="AM65" s="242">
        <f>IF(Assumptions!$L$43="Yes",IF(AM6=Assumptions!$F$40,MIN(-(AM80+AM82)*Assumptions!$L$44*Assumptions!$L$45*(1-Assumptions!$L$46),SUM(AN59:AY59)),0),IF(AM6=Assumptions!$F$40,SUM(AN59:AY59),0))</f>
        <v>0</v>
      </c>
      <c r="AN65" s="242">
        <f>IF(Assumptions!$L$43="Yes",IF(AN6=Assumptions!$F$40,MIN(-(AN80+AN82)*Assumptions!$L$44*Assumptions!$L$45*(1-Assumptions!$L$46),SUM(AO59:AZ59)),0),IF(AN6=Assumptions!$F$40,SUM(AO59:AZ59),0))</f>
        <v>0</v>
      </c>
      <c r="AO65" s="242">
        <f>IF(Assumptions!$L$43="Yes",IF(AO6=Assumptions!$F$40,MIN(-(AO80+AO82)*Assumptions!$L$44*Assumptions!$L$45*(1-Assumptions!$L$46),SUM(AP59:BA59)),0),IF(AO6=Assumptions!$F$40,SUM(AP59:BA59),0))</f>
        <v>0</v>
      </c>
      <c r="AP65" s="242">
        <f>IF(Assumptions!$L$43="Yes",IF(AP6=Assumptions!$F$40,MIN(-(AP80+AP82)*Assumptions!$L$44*Assumptions!$L$45*(1-Assumptions!$L$46),SUM(AQ59:BB59)),0),IF(AP6=Assumptions!$F$40,SUM(AQ59:BB59),0))</f>
        <v>0</v>
      </c>
      <c r="AQ65" s="242">
        <f>IF(Assumptions!$L$43="Yes",IF(AQ6=Assumptions!$F$40,MIN(-(AQ80+AQ82)*Assumptions!$L$44*Assumptions!$L$45*(1-Assumptions!$L$46),SUM(AR59:BC59)),0),IF(AQ6=Assumptions!$F$40,SUM(AR59:BC59),0))</f>
        <v>0</v>
      </c>
      <c r="AR65" s="242">
        <f>IF(Assumptions!$L$43="Yes",IF(AR6=Assumptions!$F$40,MIN(-(AR80+AR82)*Assumptions!$L$44*Assumptions!$L$45*(1-Assumptions!$L$46),SUM(AS59:BD59)),0),IF(AR6=Assumptions!$F$40,SUM(AS59:BD59),0))</f>
        <v>0</v>
      </c>
      <c r="AS65" s="242">
        <f>IF(Assumptions!$L$43="Yes",IF(AS6=Assumptions!$F$40,MIN(-(AS80+AS82)*Assumptions!$L$44*Assumptions!$L$45*(1-Assumptions!$L$46),SUM(AT59:BE59)),0),IF(AS6=Assumptions!$F$40,SUM(AT59:BE59),0))</f>
        <v>0</v>
      </c>
      <c r="AT65" s="242">
        <f>IF(Assumptions!$L$43="Yes",IF(AT6=Assumptions!$F$40,MIN(-(AT80+AT82)*Assumptions!$L$44*Assumptions!$L$45*(1-Assumptions!$L$46),SUM(AU59:BF59)),0),IF(AT6=Assumptions!$F$40,SUM(AU59:BF59),0))</f>
        <v>0</v>
      </c>
      <c r="AU65" s="242">
        <f>IF(Assumptions!$L$43="Yes",IF(AU6=Assumptions!$F$40,MIN(-(AU80+AU82)*Assumptions!$L$44*Assumptions!$L$45*(1-Assumptions!$L$46),SUM(AV59:BG59)),0),IF(AU6=Assumptions!$F$40,SUM(AV59:BG59),0))</f>
        <v>0</v>
      </c>
      <c r="AV65" s="242">
        <f>IF(Assumptions!$L$43="Yes",IF(AV6=Assumptions!$F$40,MIN(-(AV80+AV82)*Assumptions!$L$44*Assumptions!$L$45*(1-Assumptions!$L$46),SUM(AW59:BH59)),0),IF(AV6=Assumptions!$F$40,SUM(AW59:BH59),0))</f>
        <v>0</v>
      </c>
      <c r="AW65" s="242">
        <f>IF(Assumptions!$L$43="Yes",IF(AW6=Assumptions!$F$40,MIN(-(AW80+AW82)*Assumptions!$L$44*Assumptions!$L$45*(1-Assumptions!$L$46),SUM(AX59:BI59)),0),IF(AW6=Assumptions!$F$40,SUM(AX59:BI59),0))</f>
        <v>0</v>
      </c>
      <c r="AX65" s="242">
        <f>IF(Assumptions!$L$43="Yes",IF(AX6=Assumptions!$F$40,MIN(-(AX80+AX82)*Assumptions!$L$44*Assumptions!$L$45*(1-Assumptions!$L$46),SUM(AY59:BJ59)),0),IF(AX6=Assumptions!$F$40,SUM(AY59:BJ59),0))</f>
        <v>0</v>
      </c>
      <c r="AY65" s="242">
        <f>IF(Assumptions!$L$43="Yes",IF(AY6=Assumptions!$F$40,MIN(-(AY80+AY82)*Assumptions!$L$44*Assumptions!$L$45*(1-Assumptions!$L$46),SUM(AZ59:BK59)),0),IF(AY6=Assumptions!$F$40,SUM(AZ59:BK59),0))</f>
        <v>0</v>
      </c>
      <c r="AZ65" s="242">
        <f>IF(Assumptions!$L$43="Yes",IF(AZ6=Assumptions!$F$40,MIN(-(AZ80+AZ82)*Assumptions!$L$44*Assumptions!$L$45*(1-Assumptions!$L$46),SUM(BA59:BL59)),0),IF(AZ6=Assumptions!$F$40,SUM(BA59:BL59),0))</f>
        <v>0</v>
      </c>
      <c r="BA65" s="242">
        <f>IF(Assumptions!$L$43="Yes",IF(BA6=Assumptions!$F$40,MIN(-(BA80+BA82)*Assumptions!$L$44*Assumptions!$L$45*(1-Assumptions!$L$46),SUM(BB59:BM59)),0),IF(BA6=Assumptions!$F$40,SUM(BB59:BM59),0))</f>
        <v>0</v>
      </c>
      <c r="BB65" s="242">
        <f>IF(Assumptions!$L$43="Yes",IF(BB6=Assumptions!$F$40,MIN(-(BB80+BB82)*Assumptions!$L$44*Assumptions!$L$45*(1-Assumptions!$L$46),SUM(BC59:BN59)),0),IF(BB6=Assumptions!$F$40,SUM(BC59:BN59),0))</f>
        <v>0</v>
      </c>
      <c r="BC65" s="242">
        <f>IF(Assumptions!$L$43="Yes",IF(BC6=Assumptions!$F$40,MIN(-(BC80+BC82)*Assumptions!$L$44*Assumptions!$L$45*(1-Assumptions!$L$46),SUM(BD59:BO59)),0),IF(BC6=Assumptions!$F$40,SUM(BD59:BO59),0))</f>
        <v>0</v>
      </c>
      <c r="BD65" s="242">
        <f>IF(Assumptions!$L$43="Yes",IF(BD6=Assumptions!$F$40,MIN(-(BD80+BD82)*Assumptions!$L$44*Assumptions!$L$45*(1-Assumptions!$L$46),SUM(BE59:BP59)),0),IF(BD6=Assumptions!$F$40,SUM(BE59:BP59),0))</f>
        <v>0</v>
      </c>
      <c r="BE65" s="242">
        <f>IF(Assumptions!$L$43="Yes",IF(BE6=Assumptions!$F$40,MIN(-(BE80+BE82)*Assumptions!$L$44*Assumptions!$L$45*(1-Assumptions!$L$46),SUM(BF59:BQ59)),0),IF(BE6=Assumptions!$F$40,SUM(BF59:BQ59),0))</f>
        <v>0</v>
      </c>
      <c r="BF65" s="242">
        <f>IF(Assumptions!$L$43="Yes",IF(BF6=Assumptions!$F$40,MIN(-(BF80+BF82)*Assumptions!$L$44*Assumptions!$L$45*(1-Assumptions!$L$46),SUM(BG59:BR59)),0),IF(BF6=Assumptions!$F$40,SUM(BG59:BR59),0))</f>
        <v>0</v>
      </c>
      <c r="BG65" s="242">
        <f>IF(Assumptions!$L$43="Yes",IF(BG6=Assumptions!$F$40,MIN(-(BG80+BG82)*Assumptions!$L$44*Assumptions!$L$45*(1-Assumptions!$L$46),SUM(BH59:BS59)),0),IF(BG6=Assumptions!$F$40,SUM(BH59:BS59),0))</f>
        <v>0</v>
      </c>
      <c r="BH65" s="242">
        <f>IF(Assumptions!$L$43="Yes",IF(BH6=Assumptions!$F$40,MIN(-(BH80+BH82)*Assumptions!$L$44*Assumptions!$L$45*(1-Assumptions!$L$46),SUM(BI59:BT59)),0),IF(BH6=Assumptions!$F$40,SUM(BI59:BT59),0))</f>
        <v>0</v>
      </c>
      <c r="BI65" s="242">
        <f>IF(Assumptions!$L$43="Yes",IF(BI6=Assumptions!$F$40,MIN(-(BI80+BI82)*Assumptions!$L$44*Assumptions!$L$45*(1-Assumptions!$L$46),SUM(BJ59:BU59)),0),IF(BI6=Assumptions!$F$40,SUM(BJ59:BU59),0))</f>
        <v>0</v>
      </c>
      <c r="BJ65" s="242">
        <f>IF(Assumptions!$L$43="Yes",IF(BJ6=Assumptions!$F$40,MIN(-(BJ80+BJ82)*Assumptions!$L$44*Assumptions!$L$45*(1-Assumptions!$L$46),SUM(BK59:BV59)),0),IF(BJ6=Assumptions!$F$40,SUM(BK59:BV59),0))</f>
        <v>0</v>
      </c>
      <c r="BK65" s="242">
        <f>IF(Assumptions!$L$43="Yes",IF(BK6=Assumptions!$F$40,MIN(-(BK80+BK82)*Assumptions!$L$44*Assumptions!$L$45*(1-Assumptions!$L$46),SUM(BL59:BW59)),0),IF(BK6=Assumptions!$F$40,SUM(BL59:BW59),0))</f>
        <v>0</v>
      </c>
      <c r="BL65" s="242">
        <f>IF(Assumptions!$L$43="Yes",IF(BL6=Assumptions!$F$40,MIN(-(BL80+BL82)*Assumptions!$L$44*Assumptions!$L$45*(1-Assumptions!$L$46),SUM(BM59:BX59)),0),IF(BL6=Assumptions!$F$40,SUM(BM59:BX59),0))</f>
        <v>0</v>
      </c>
      <c r="BM65" s="242">
        <f>IF(Assumptions!$L$43="Yes",IF(BM6=Assumptions!$F$40,MIN(-(BM80+BM82)*Assumptions!$L$44*Assumptions!$L$45*(1-Assumptions!$L$46),SUM(BN59:BY59)),0),IF(BM6=Assumptions!$F$40,SUM(BN59:BY59),0))</f>
        <v>0</v>
      </c>
      <c r="BN65" s="242">
        <f>IF(Assumptions!$L$43="Yes",IF(BN6=Assumptions!$F$40,MIN(-(BN80+BN82)*Assumptions!$L$44*Assumptions!$L$45*(1-Assumptions!$L$46),SUM(BO59:BZ59)),0),IF(BN6=Assumptions!$F$40,SUM(BO59:BZ59),0))</f>
        <v>0</v>
      </c>
      <c r="BO65" s="242">
        <f>IF(Assumptions!$L$43="Yes",IF(BO6=Assumptions!$F$40,MIN(-(BO80+BO82)*Assumptions!$L$44*Assumptions!$L$45*(1-Assumptions!$L$46),SUM(BP59:CA59)),0),IF(BO6=Assumptions!$F$40,SUM(BP59:CA59),0))</f>
        <v>0</v>
      </c>
      <c r="BP65" s="242">
        <f>IF(Assumptions!$L$43="Yes",IF(BP6=Assumptions!$F$40,MIN(-(BP80+BP82)*Assumptions!$L$44*Assumptions!$L$45*(1-Assumptions!$L$46),SUM(BQ59:CB59)),0),IF(BP6=Assumptions!$F$40,SUM(BQ59:CB59),0))</f>
        <v>0</v>
      </c>
      <c r="BQ65" s="242">
        <f>IF(Assumptions!$L$43="Yes",IF(BQ6=Assumptions!$F$40,MIN(-(BQ80+BQ82)*Assumptions!$L$44*Assumptions!$L$45*(1-Assumptions!$L$46),SUM(BR59:CC59)),0),IF(BQ6=Assumptions!$F$40,SUM(BR59:CC59),0))</f>
        <v>0</v>
      </c>
      <c r="BR65" s="242">
        <f>IF(Assumptions!$L$43="Yes",IF(BR6=Assumptions!$F$40,MIN(-(BR80+BR82)*Assumptions!$L$44*Assumptions!$L$45*(1-Assumptions!$L$46),SUM(BS59:CD59)),0),IF(BR6=Assumptions!$F$40,SUM(BS59:CD59),0))</f>
        <v>0</v>
      </c>
      <c r="BS65" s="242">
        <f>IF(Assumptions!$L$43="Yes",IF(BS6=Assumptions!$F$40,MIN(-(BS80+BS82)*Assumptions!$L$44*Assumptions!$L$45*(1-Assumptions!$L$46),SUM(BT59:CE59)),0),IF(BS6=Assumptions!$F$40,SUM(BT59:CE59),0))</f>
        <v>0</v>
      </c>
      <c r="BT65" s="242">
        <f>IF(Assumptions!$L$43="Yes",IF(BT6=Assumptions!$F$40,MIN(-(BT80+BT82)*Assumptions!$L$44*Assumptions!$L$45*(1-Assumptions!$L$46),SUM(BU59:CF59)),0),IF(BT6=Assumptions!$F$40,SUM(BU59:CF59),0))</f>
        <v>0</v>
      </c>
      <c r="BU65" s="242">
        <f>IF(Assumptions!$L$43="Yes",IF(BU6=Assumptions!$F$40,MIN(-(BU80+BU82)*Assumptions!$L$44*Assumptions!$L$45*(1-Assumptions!$L$46),SUM(BV59:CG59)),0),IF(BU6=Assumptions!$F$40,SUM(BV59:CG59),0))</f>
        <v>0</v>
      </c>
      <c r="BV65" s="242">
        <f>IF(Assumptions!$L$43="Yes",IF(BV6=Assumptions!$F$40,MIN(-(BV80+BV82)*Assumptions!$L$44*Assumptions!$L$45*(1-Assumptions!$L$46),SUM(BW59:CH59)),0),IF(BV6=Assumptions!$F$40,SUM(BW59:CH59),0))</f>
        <v>0</v>
      </c>
      <c r="BW65" s="242">
        <f>IF(Assumptions!$L$43="Yes",IF(BW6=Assumptions!$F$40,MIN(-(BW80+BW82)*Assumptions!$L$44*Assumptions!$L$45*(1-Assumptions!$L$46),SUM(BX59:CI59)),0),IF(BW6=Assumptions!$F$40,SUM(BX59:CI59),0))</f>
        <v>0</v>
      </c>
      <c r="BX65" s="242">
        <f>IF(Assumptions!$L$43="Yes",IF(BX6=Assumptions!$F$40,MIN(-(BX80+BX82)*Assumptions!$L$44*Assumptions!$L$45*(1-Assumptions!$L$46),SUM(BY59:CJ59)),0),IF(BX6=Assumptions!$F$40,SUM(BY59:CJ59),0))</f>
        <v>0</v>
      </c>
      <c r="BY65" s="242">
        <f>IF(Assumptions!$L$43="Yes",IF(BY6=Assumptions!$F$40,MIN(-(BY80+BY82)*Assumptions!$L$44*Assumptions!$L$45*(1-Assumptions!$L$46),SUM(BZ59:CK59)),0),IF(BY6=Assumptions!$F$40,SUM(BZ59:CK59),0))</f>
        <v>0</v>
      </c>
      <c r="BZ65" s="242">
        <f>IF(Assumptions!$L$43="Yes",IF(BZ6=Assumptions!$F$40,MIN(-(BZ80+BZ82)*Assumptions!$L$44*Assumptions!$L$45*(1-Assumptions!$L$46),SUM(CA59:CL59)),0),IF(BZ6=Assumptions!$F$40,SUM(CA59:CL59),0))</f>
        <v>0</v>
      </c>
      <c r="CA65" s="242">
        <f>IF(Assumptions!$L$43="Yes",IF(CA6=Assumptions!$F$40,MIN(-(CA80+CA82)*Assumptions!$L$44*Assumptions!$L$45*(1-Assumptions!$L$46),SUM(CB59:CM59)),0),IF(CA6=Assumptions!$F$40,SUM(CB59:CM59),0))</f>
        <v>0</v>
      </c>
      <c r="CB65" s="242">
        <f>IF(Assumptions!$L$43="Yes",IF(CB6=Assumptions!$F$40,MIN(-(CB80+CB82)*Assumptions!$L$44*Assumptions!$L$45*(1-Assumptions!$L$46),SUM(CC59:CN59)),0),IF(CB6=Assumptions!$F$40,SUM(CC59:CN59),0))</f>
        <v>0</v>
      </c>
      <c r="CC65" s="242">
        <f>IF(Assumptions!$L$43="Yes",IF(CC6=Assumptions!$F$40,MIN(-(CC80+CC82)*Assumptions!$L$44*Assumptions!$L$45*(1-Assumptions!$L$46),SUM(CD59:CO59)),0),IF(CC6=Assumptions!$F$40,SUM(CD59:CO59),0))</f>
        <v>0</v>
      </c>
      <c r="CD65" s="242">
        <f>IF(Assumptions!$L$43="Yes",IF(CD6=Assumptions!$F$40,MIN(-(CD80+CD82)*Assumptions!$L$44*Assumptions!$L$45*(1-Assumptions!$L$46),SUM(CE59:CP59)),0),IF(CD6=Assumptions!$F$40,SUM(CE59:CP59),0))</f>
        <v>0</v>
      </c>
      <c r="CE65" s="242">
        <f>IF(Assumptions!$L$43="Yes",IF(CE6=Assumptions!$F$40,MIN(-(CE80+CE82)*Assumptions!$L$44*Assumptions!$L$45*(1-Assumptions!$L$46),SUM(CF59:CQ59)),0),IF(CE6=Assumptions!$F$40,SUM(CF59:CQ59),0))</f>
        <v>0</v>
      </c>
      <c r="CF65" s="242">
        <f>IF(Assumptions!$L$43="Yes",IF(CF6=Assumptions!$F$40,MIN(-(CF80+CF82)*Assumptions!$L$44*Assumptions!$L$45*(1-Assumptions!$L$46),SUM(CG59:CR59)),0),IF(CF6=Assumptions!$F$40,SUM(CG59:CR59),0))</f>
        <v>0</v>
      </c>
      <c r="CG65" s="242">
        <f>IF(Assumptions!$L$43="Yes",IF(CG6=Assumptions!$F$40,MIN(-(CG80+CG82)*Assumptions!$L$44*Assumptions!$L$45*(1-Assumptions!$L$46),SUM(CH59:CS59)),0),IF(CG6=Assumptions!$F$40,SUM(CH59:CS59),0))</f>
        <v>0</v>
      </c>
      <c r="CH65" s="242">
        <f>IF(Assumptions!$L$43="Yes",IF(CH6=Assumptions!$F$40,MIN(-(CH80+CH82)*Assumptions!$L$44*Assumptions!$L$45*(1-Assumptions!$L$46),SUM(CI59:CT59)),0),IF(CH6=Assumptions!$F$40,SUM(CI59:CT59),0))</f>
        <v>0</v>
      </c>
      <c r="CI65" s="242">
        <f>IF(Assumptions!$L$43="Yes",IF(CI6=Assumptions!$F$40,MIN(-(CI80+CI82)*Assumptions!$L$44*Assumptions!$L$45*(1-Assumptions!$L$46),SUM(CJ59:CU59)),0),IF(CI6=Assumptions!$F$40,SUM(CJ59:CU59),0))</f>
        <v>0</v>
      </c>
      <c r="CJ65" s="242">
        <f>IF(Assumptions!$L$43="Yes",IF(CJ6=Assumptions!$F$40,MIN(-(CJ80+CJ82)*Assumptions!$L$44*Assumptions!$L$45*(1-Assumptions!$L$46),SUM(CK59:CV59)),0),IF(CJ6=Assumptions!$F$40,SUM(CK59:CV59),0))</f>
        <v>0</v>
      </c>
      <c r="CK65" s="242">
        <f ca="1">IF(Assumptions!$L$43="Yes",IF(CK6=Assumptions!$F$40,MIN(-(CK80+CK82)*Assumptions!$L$44*Assumptions!$L$45*(1-Assumptions!$L$46),SUM(CL59:CW59)),0),IF(CK6=Assumptions!$F$40,SUM(CL59:CW59),0))</f>
        <v>-432399.64430362551</v>
      </c>
      <c r="CL65" s="242">
        <f>IF(Assumptions!$L$43="Yes",IF(CL6=Assumptions!$F$40,MIN(-(CL80+CL82)*Assumptions!$L$44*Assumptions!$L$45*(1-Assumptions!$L$46),SUM(CM59:CX59)),0),IF(CL6=Assumptions!$F$40,SUM(CM59:CX59),0))</f>
        <v>0</v>
      </c>
      <c r="CM65" s="242">
        <f>IF(Assumptions!$L$43="Yes",IF(CM6=Assumptions!$F$40,MIN(-(CM80+CM82)*Assumptions!$L$44*Assumptions!$L$45*(1-Assumptions!$L$46),SUM(CN59:CY59)),0),IF(CM6=Assumptions!$F$40,SUM(CN59:CY59),0))</f>
        <v>0</v>
      </c>
      <c r="CN65" s="242">
        <f>IF(Assumptions!$L$43="Yes",IF(CN6=Assumptions!$F$40,MIN(-(CN80+CN82)*Assumptions!$L$44*Assumptions!$L$45*(1-Assumptions!$L$46),SUM(CO59:CZ59)),0),IF(CN6=Assumptions!$F$40,SUM(CO59:CZ59),0))</f>
        <v>0</v>
      </c>
      <c r="CO65" s="242">
        <f>IF(Assumptions!$L$43="Yes",IF(CO6=Assumptions!$F$40,MIN(-(CO80+CO82)*Assumptions!$L$44*Assumptions!$L$45*(1-Assumptions!$L$46),SUM(CP59:DA59)),0),IF(CO6=Assumptions!$F$40,SUM(CP59:DA59),0))</f>
        <v>0</v>
      </c>
      <c r="CP65" s="242">
        <f>IF(Assumptions!$L$43="Yes",IF(CP6=Assumptions!$F$40,MIN(-(CP80+CP82)*Assumptions!$L$44*Assumptions!$L$45*(1-Assumptions!$L$46),SUM(CQ59:DB59)),0),IF(CP6=Assumptions!$F$40,SUM(CQ59:DB59),0))</f>
        <v>0</v>
      </c>
      <c r="CQ65" s="242">
        <f>IF(Assumptions!$L$43="Yes",IF(CQ6=Assumptions!$F$40,MIN(-(CQ80+CQ82)*Assumptions!$L$44*Assumptions!$L$45*(1-Assumptions!$L$46),SUM(CR59:DC59)),0),IF(CQ6=Assumptions!$F$40,SUM(CR59:DC59),0))</f>
        <v>0</v>
      </c>
      <c r="CR65" s="242">
        <f>IF(Assumptions!$L$43="Yes",IF(CR6=Assumptions!$F$40,MIN(-(CR80+CR82)*Assumptions!$L$44*Assumptions!$L$45*(1-Assumptions!$L$46),SUM(CS59:DD59)),0),IF(CR6=Assumptions!$F$40,SUM(CS59:DD59),0))</f>
        <v>0</v>
      </c>
      <c r="CS65" s="242">
        <f>IF(Assumptions!$L$43="Yes",IF(CS6=Assumptions!$F$40,MIN(-(CS80+CS82)*Assumptions!$L$44*Assumptions!$L$45*(1-Assumptions!$L$46),SUM(CT59:DE59)),0),IF(CS6=Assumptions!$F$40,SUM(CT59:DE59),0))</f>
        <v>0</v>
      </c>
      <c r="CT65" s="242">
        <f>IF(Assumptions!$L$43="Yes",IF(CT6=Assumptions!$F$40,MIN(-(CT80+CT82)*Assumptions!$L$44*Assumptions!$L$45*(1-Assumptions!$L$46),SUM(CU59:DF59)),0),IF(CT6=Assumptions!$F$40,SUM(CU59:DF59),0))</f>
        <v>0</v>
      </c>
      <c r="CU65" s="242">
        <f>IF(Assumptions!$L$43="Yes",IF(CU6=Assumptions!$F$40,MIN(-(CU80+CU82)*Assumptions!$L$44*Assumptions!$L$45*(1-Assumptions!$L$46),SUM(CV59:DG59)),0),IF(CU6=Assumptions!$F$40,SUM(CV59:DG59),0))</f>
        <v>0</v>
      </c>
      <c r="CV65" s="242">
        <f>IF(Assumptions!$L$43="Yes",IF(CV6=Assumptions!$F$40,MIN(-(CV80+CV82)*Assumptions!$L$44*Assumptions!$L$45*(1-Assumptions!$L$46),SUM(CW59:DH59)),0),IF(CV6=Assumptions!$F$40,SUM(CW59:DH59),0))</f>
        <v>0</v>
      </c>
      <c r="CW65" s="242">
        <f>IF(Assumptions!$L$43="Yes",IF(CW6=Assumptions!$F$40,MIN(-(CW80+CW82)*Assumptions!$L$44*Assumptions!$L$45*(1-Assumptions!$L$46),SUM(CX59:DI59)),0),IF(CW6=Assumptions!$F$40,SUM(CX59:DI59),0))</f>
        <v>0</v>
      </c>
      <c r="CX65" s="242">
        <f>IF(Assumptions!$L$43="Yes",IF(CX6=Assumptions!$F$40,MIN(-(CX80+CX82)*Assumptions!$L$44*Assumptions!$L$45*(1-Assumptions!$L$46),SUM(CY59:DJ59)),0),IF(CX6=Assumptions!$F$40,SUM(CY59:DJ59),0))</f>
        <v>0</v>
      </c>
      <c r="CY65" s="242">
        <f>IF(Assumptions!$L$43="Yes",IF(CY6=Assumptions!$F$40,MIN(-(CY80+CY82)*Assumptions!$L$44*Assumptions!$L$45*(1-Assumptions!$L$46),SUM(CZ59:DK59)),0),IF(CY6=Assumptions!$F$40,SUM(CZ59:DK59),0))</f>
        <v>0</v>
      </c>
      <c r="CZ65" s="242">
        <f>IF(Assumptions!$L$43="Yes",IF(CZ6=Assumptions!$F$40,MIN(-(CZ80+CZ82)*Assumptions!$L$44*Assumptions!$L$45*(1-Assumptions!$L$46),SUM(DA59:DL59)),0),IF(CZ6=Assumptions!$F$40,SUM(DA59:DL59),0))</f>
        <v>0</v>
      </c>
      <c r="DA65" s="242">
        <f>IF(Assumptions!$L$43="Yes",IF(DA6=Assumptions!$F$40,MIN(-(DA80+DA82)*Assumptions!$L$44*Assumptions!$L$45*(1-Assumptions!$L$46),SUM(DB59:DM59)),0),IF(DA6=Assumptions!$F$40,SUM(DB59:DM59),0))</f>
        <v>0</v>
      </c>
      <c r="DB65" s="242">
        <f>IF(Assumptions!$L$43="Yes",IF(DB6=Assumptions!$F$40,MIN(-(DB80+DB82)*Assumptions!$L$44*Assumptions!$L$45*(1-Assumptions!$L$46),SUM(DC59:DN59)),0),IF(DB6=Assumptions!$F$40,SUM(DC59:DN59),0))</f>
        <v>0</v>
      </c>
      <c r="DC65" s="242">
        <f>IF(Assumptions!$L$43="Yes",IF(DC6=Assumptions!$F$40,MIN(-(DC80+DC82)*Assumptions!$L$44*Assumptions!$L$45*(1-Assumptions!$L$46),SUM(DD59:DO59)),0),IF(DC6=Assumptions!$F$40,SUM(DD59:DO59),0))</f>
        <v>0</v>
      </c>
      <c r="DD65" s="242">
        <f>IF(Assumptions!$L$43="Yes",IF(DD6=Assumptions!$F$40,MIN(-(DD80+DD82)*Assumptions!$L$44*Assumptions!$L$45*(1-Assumptions!$L$46),SUM(DE59:DP59)),0),IF(DD6=Assumptions!$F$40,SUM(DE59:DP59),0))</f>
        <v>0</v>
      </c>
      <c r="DE65" s="242">
        <f>IF(Assumptions!$L$43="Yes",IF(DE6=Assumptions!$F$40,MIN(-(DE80+DE82)*Assumptions!$L$44*Assumptions!$L$45*(1-Assumptions!$L$46),SUM(DF59:DQ59)),0),IF(DE6=Assumptions!$F$40,SUM(DF59:DQ59),0))</f>
        <v>0</v>
      </c>
      <c r="DF65" s="242">
        <f>IF(Assumptions!$L$43="Yes",IF(DF6=Assumptions!$F$40,MIN(-(DF80+DF82)*Assumptions!$L$44*Assumptions!$L$45*(1-Assumptions!$L$46),SUM(DG59:DR59)),0),IF(DF6=Assumptions!$F$40,SUM(DG59:DR59),0))</f>
        <v>0</v>
      </c>
      <c r="DG65" s="242">
        <f>IF(Assumptions!$L$43="Yes",IF(DG6=Assumptions!$F$40,MIN(-(DG80+DG82)*Assumptions!$L$44*Assumptions!$L$45*(1-Assumptions!$L$46),SUM(DH59:DS59)),0),IF(DG6=Assumptions!$F$40,SUM(DH59:DS59),0))</f>
        <v>0</v>
      </c>
      <c r="DH65" s="242">
        <f>IF(Assumptions!$L$43="Yes",IF(DH6=Assumptions!$F$40,MIN(-(DH80+DH82)*Assumptions!$L$44*Assumptions!$L$45*(1-Assumptions!$L$46),SUM(DI59:DT59)),0),IF(DH6=Assumptions!$F$40,SUM(DI59:DT59),0))</f>
        <v>0</v>
      </c>
      <c r="DI65" s="242">
        <f>IF(Assumptions!$L$43="Yes",IF(DI6=Assumptions!$F$40,MIN(-(DI80+DI82)*Assumptions!$L$44*Assumptions!$L$45*(1-Assumptions!$L$46),SUM(DJ59:DU59)),0),IF(DI6=Assumptions!$F$40,SUM(DJ59:DU59),0))</f>
        <v>0</v>
      </c>
      <c r="DJ65" s="242">
        <f>IF(Assumptions!$L$43="Yes",IF(DJ6=Assumptions!$F$40,MIN(-(DJ80+DJ82)*Assumptions!$L$44*Assumptions!$L$45*(1-Assumptions!$L$46),SUM(DK59:DV59)),0),IF(DJ6=Assumptions!$F$40,SUM(DK59:DV59),0))</f>
        <v>0</v>
      </c>
      <c r="DK65" s="242">
        <f>IF(Assumptions!$L$43="Yes",IF(DK6=Assumptions!$F$40,MIN(-(DK80+DK82)*Assumptions!$L$44*Assumptions!$L$45*(1-Assumptions!$L$46),SUM(DL59:DW59)),0),IF(DK6=Assumptions!$F$40,SUM(DL59:DW59),0))</f>
        <v>0</v>
      </c>
      <c r="DL65" s="242">
        <f>IF(Assumptions!$L$43="Yes",IF(DL6=Assumptions!$F$40,MIN(-(DL80+DL82)*Assumptions!$L$44*Assumptions!$L$45*(1-Assumptions!$L$46),SUM(DM59:DX59)),0),IF(DL6=Assumptions!$F$40,SUM(DM59:DX59),0))</f>
        <v>0</v>
      </c>
      <c r="DM65" s="242">
        <f>IF(Assumptions!$L$43="Yes",IF(DM6=Assumptions!$F$40,MIN(-(DM80+DM82)*Assumptions!$L$44*Assumptions!$L$45*(1-Assumptions!$L$46),SUM(DN59:DY59)),0),IF(DM6=Assumptions!$F$40,SUM(DN59:DY59),0))</f>
        <v>0</v>
      </c>
      <c r="DN65" s="242">
        <f>IF(Assumptions!$L$43="Yes",IF(DN6=Assumptions!$F$40,MIN(-(DN80+DN82)*Assumptions!$L$44*Assumptions!$L$45*(1-Assumptions!$L$46),SUM(DO59:DZ59)),0),IF(DN6=Assumptions!$F$40,SUM(DO59:DZ59),0))</f>
        <v>0</v>
      </c>
      <c r="DO65" s="242">
        <f>IF(Assumptions!$L$43="Yes",IF(DO6=Assumptions!$F$40,MIN(-(DO80+DO82)*Assumptions!$L$44*Assumptions!$L$45*(1-Assumptions!$L$46),SUM(DP59:EA59)),0),IF(DO6=Assumptions!$F$40,SUM(DP59:EA59),0))</f>
        <v>0</v>
      </c>
      <c r="DP65" s="242">
        <f>IF(Assumptions!$L$43="Yes",IF(DP6=Assumptions!$F$40,MIN(-(DP80+DP82)*Assumptions!$L$44*Assumptions!$L$45*(1-Assumptions!$L$46),SUM(DQ59:EB59)),0),IF(DP6=Assumptions!$F$40,SUM(DQ59:EB59),0))</f>
        <v>0</v>
      </c>
      <c r="DQ65" s="242">
        <f>IF(Assumptions!$L$43="Yes",IF(DQ6=Assumptions!$F$40,MIN(-(DQ80+DQ82)*Assumptions!$L$44*Assumptions!$L$45*(1-Assumptions!$L$46),SUM(DR59:EC59)),0),IF(DQ6=Assumptions!$F$40,SUM(DR59:EC59),0))</f>
        <v>0</v>
      </c>
      <c r="DR65" s="242">
        <f>IF(Assumptions!$L$43="Yes",IF(DR6=Assumptions!$F$40,MIN(-(DR80+DR82)*Assumptions!$L$44*Assumptions!$L$45*(1-Assumptions!$L$46),SUM(DS59:ED59)),0),IF(DR6=Assumptions!$F$40,SUM(DS59:ED59),0))</f>
        <v>0</v>
      </c>
      <c r="DS65" s="242">
        <f>IF(Assumptions!$L$43="Yes",IF(DS6=Assumptions!$F$40,MIN(-(DS80+DS82)*Assumptions!$L$44*Assumptions!$L$45*(1-Assumptions!$L$46),SUM(DT59:EE59)),0),IF(DS6=Assumptions!$F$40,SUM(DT59:EE59),0))</f>
        <v>0</v>
      </c>
      <c r="DT65" s="242">
        <f>IF(Assumptions!$L$43="Yes",IF(DT6=Assumptions!$F$40,MIN(-(DT80+DT82)*Assumptions!$L$44*Assumptions!$L$45*(1-Assumptions!$L$46),SUM(DU59:EF59)),0),IF(DT6=Assumptions!$F$40,SUM(DU59:EF59),0))</f>
        <v>0</v>
      </c>
      <c r="DU65" s="242">
        <f>IF(Assumptions!$L$43="Yes",IF(DU6=Assumptions!$F$40,MIN(-(DU80+DU82)*Assumptions!$L$44*Assumptions!$L$45*(1-Assumptions!$L$46),SUM(DV59:EG59)),0),IF(DU6=Assumptions!$F$40,SUM(DV59:EG59),0))</f>
        <v>0</v>
      </c>
      <c r="DV65" s="242">
        <f>IF(Assumptions!$L$43="Yes",IF(DV6=Assumptions!$F$40,MIN(-(DV80+DV82)*Assumptions!$L$44*Assumptions!$L$45*(1-Assumptions!$L$46),SUM(DW59:EH59)),0),IF(DV6=Assumptions!$F$40,SUM(DW59:EH59),0))</f>
        <v>0</v>
      </c>
      <c r="DW65" s="242">
        <f>IF(Assumptions!$L$43="Yes",IF(DW6=Assumptions!$F$40,MIN(-(DW80+DW82)*Assumptions!$L$44*Assumptions!$L$45*(1-Assumptions!$L$46),SUM(DX59:EI59)),0),IF(DW6=Assumptions!$F$40,SUM(DX59:EI59),0))</f>
        <v>0</v>
      </c>
      <c r="DX65" s="242">
        <f>IF(Assumptions!$L$43="Yes",IF(DX6=Assumptions!$F$40,MIN(-(DX80+DX82)*Assumptions!$L$44*Assumptions!$L$45*(1-Assumptions!$L$46),SUM(DY59:EJ59)),0),IF(DX6=Assumptions!$F$40,SUM(DY59:EJ59),0))</f>
        <v>0</v>
      </c>
      <c r="DY65" s="242">
        <f>IF(Assumptions!$L$43="Yes",IF(DY6=Assumptions!$F$40,MIN(-(DY80+DY82)*Assumptions!$L$44*Assumptions!$L$45*(1-Assumptions!$L$46),SUM(DZ59:EK59)),0),IF(DY6=Assumptions!$F$40,SUM(DZ59:EK59),0))</f>
        <v>0</v>
      </c>
      <c r="DZ65" s="242">
        <f>IF(Assumptions!$L$43="Yes",IF(DZ6=Assumptions!$F$40,MIN(-(DZ80+DZ82)*Assumptions!$L$44*Assumptions!$L$45*(1-Assumptions!$L$46),SUM(EA59:EL59)),0),IF(DZ6=Assumptions!$F$40,SUM(EA59:EL59),0))</f>
        <v>0</v>
      </c>
      <c r="EA65" s="242">
        <f>IF(Assumptions!$L$43="Yes",IF(EA6=Assumptions!$F$40,MIN(-(EA80+EA82)*Assumptions!$L$44*Assumptions!$L$45*(1-Assumptions!$L$46),SUM(EB59:EM59)),0),IF(EA6=Assumptions!$F$40,SUM(EB59:EM59),0))</f>
        <v>0</v>
      </c>
      <c r="EB65" s="242">
        <f>IF(Assumptions!$L$43="Yes",IF(EB6=Assumptions!$F$40,MIN(-(EB80+EB82)*Assumptions!$L$44*Assumptions!$L$45*(1-Assumptions!$L$46),SUM(EC59:EN59)),0),IF(EB6=Assumptions!$F$40,SUM(EC59:EN59),0))</f>
        <v>0</v>
      </c>
      <c r="EC65" s="242">
        <f>IF(Assumptions!$L$43="Yes",IF(EC6=Assumptions!$F$40,MIN(-(EC80+EC82)*Assumptions!$L$44*Assumptions!$L$45*(1-Assumptions!$L$46),SUM(ED59:EO59)),0),IF(EC6=Assumptions!$F$40,SUM(ED59:EO59),0))</f>
        <v>0</v>
      </c>
      <c r="ED65" s="242">
        <f>IF(Assumptions!$L$43="Yes",IF(ED6=Assumptions!$F$40,MIN(-(ED80+ED82)*Assumptions!$L$44*Assumptions!$L$45*(1-Assumptions!$L$46),SUM(EE59:EP59)),0),IF(ED6=Assumptions!$F$40,SUM(EE59:EP59),0))</f>
        <v>0</v>
      </c>
      <c r="EE65" s="242">
        <f>IF(Assumptions!$L$43="Yes",IF(EE6=Assumptions!$F$40,MIN(-(EE80+EE82)*Assumptions!$L$44*Assumptions!$L$45*(1-Assumptions!$L$46),SUM(EF59:EQ59)),0),IF(EE6=Assumptions!$F$40,SUM(EF59:EQ59),0))</f>
        <v>0</v>
      </c>
      <c r="EF65" s="242">
        <f>IF(Assumptions!$L$43="Yes",IF(EF6=Assumptions!$F$40,MIN(-(EF80+EF82)*Assumptions!$L$44*Assumptions!$L$45*(1-Assumptions!$L$46),SUM(EG59:ER59)),0),IF(EF6=Assumptions!$F$40,SUM(EG59:ER59),0))</f>
        <v>0</v>
      </c>
      <c r="EG65" s="242">
        <f>IF(Assumptions!$L$43="Yes",IF(EG6=Assumptions!$F$40,MIN(-(EG80+EG82)*Assumptions!$L$44*Assumptions!$L$45*(1-Assumptions!$L$46),SUM(EH59:ES59)),0),IF(EG6=Assumptions!$F$40,SUM(EH59:ES59),0))</f>
        <v>0</v>
      </c>
      <c r="EH65" s="242">
        <f>IF(Assumptions!$L$43="Yes",IF(EH6=Assumptions!$F$40,MIN(-(EH80+EH82)*Assumptions!$L$44*Assumptions!$L$45*(1-Assumptions!$L$46),SUM(EI59:ET59)),0),IF(EH6=Assumptions!$F$40,SUM(EI59:ET59),0))</f>
        <v>0</v>
      </c>
      <c r="EI65" s="242">
        <f>IF(Assumptions!$L$43="Yes",IF(EI6=Assumptions!$F$40,MIN(-(EI80+EI82)*Assumptions!$L$44*Assumptions!$L$45*(1-Assumptions!$L$46),SUM(EJ59:EU59)),0),IF(EI6=Assumptions!$F$40,SUM(EJ59:EU59),0))</f>
        <v>0</v>
      </c>
      <c r="EJ65" s="242">
        <f>IF(Assumptions!$L$43="Yes",IF(EJ6=Assumptions!$F$40,MIN(-(EJ80+EJ82)*Assumptions!$L$44*Assumptions!$L$45*(1-Assumptions!$L$46),SUM(EK59:EV59)),0),IF(EJ6=Assumptions!$F$40,SUM(EK59:EV59),0))</f>
        <v>0</v>
      </c>
      <c r="EK65" s="242">
        <f>IF(Assumptions!$L$43="Yes",IF(EK6=Assumptions!$F$40,MIN(-(EK80+EK82)*Assumptions!$L$44*Assumptions!$L$45*(1-Assumptions!$L$46),SUM(EL59:EW59)),0),IF(EK6=Assumptions!$F$40,SUM(EL59:EW59),0))</f>
        <v>0</v>
      </c>
      <c r="EL65" s="242">
        <f>IF(Assumptions!$L$43="Yes",IF(EL6=Assumptions!$F$40,MIN(-(EL80+EL82)*Assumptions!$L$44*Assumptions!$L$45*(1-Assumptions!$L$46),SUM(EM59:EX59)),0),IF(EL6=Assumptions!$F$40,SUM(EM59:EX59),0))</f>
        <v>0</v>
      </c>
      <c r="EM65" s="242">
        <f>IF(Assumptions!$L$43="Yes",IF(EM6=Assumptions!$F$40,MIN(-(EM80+EM82)*Assumptions!$L$44*Assumptions!$L$45*(1-Assumptions!$L$46),SUM(EN59:EY59)),0),IF(EM6=Assumptions!$F$40,SUM(EN59:EY59),0))</f>
        <v>0</v>
      </c>
      <c r="EN65" s="242">
        <f>IF(Assumptions!$L$43="Yes",IF(EN6=Assumptions!$F$40,MIN(-(EN80+EN82)*Assumptions!$L$44*Assumptions!$L$45*(1-Assumptions!$L$46),SUM(EO59:EZ59)),0),IF(EN6=Assumptions!$F$40,SUM(EO59:EZ59),0))</f>
        <v>0</v>
      </c>
      <c r="EO65" s="242">
        <f>IF(Assumptions!$L$43="Yes",IF(EO6=Assumptions!$F$40,MIN(-(EO80+EO82)*Assumptions!$L$44*Assumptions!$L$45*(1-Assumptions!$L$46),SUM(EP59:FA59)),0),IF(EO6=Assumptions!$F$40,SUM(EP59:FA59),0))</f>
        <v>0</v>
      </c>
      <c r="EP65" s="242">
        <f>IF(Assumptions!$L$43="Yes",IF(EP6=Assumptions!$F$40,MIN(-(EP80+EP82)*Assumptions!$L$44*Assumptions!$L$45*(1-Assumptions!$L$46),SUM(EQ59:FB59)),0),IF(EP6=Assumptions!$F$40,SUM(EQ59:FB59),0))</f>
        <v>0</v>
      </c>
      <c r="EQ65" s="242">
        <f>IF(Assumptions!$L$43="Yes",IF(EQ6=Assumptions!$F$40,MIN(-(EQ80+EQ82)*Assumptions!$L$44*Assumptions!$L$45*(1-Assumptions!$L$46),SUM(ER59:FC59)),0),IF(EQ6=Assumptions!$F$40,SUM(ER59:FC59),0))</f>
        <v>0</v>
      </c>
      <c r="ER65" s="242">
        <f>IF(Assumptions!$L$43="Yes",IF(ER6=Assumptions!$F$40,MIN(-(ER80+ER82)*Assumptions!$L$44*Assumptions!$L$45*(1-Assumptions!$L$46),SUM(ES59:FD59)),0),IF(ER6=Assumptions!$F$40,SUM(ES59:FD59),0))</f>
        <v>0</v>
      </c>
      <c r="ES65" s="242">
        <f>IF(Assumptions!$L$43="Yes",IF(ES6=Assumptions!$F$40,MIN(-(ES80+ES82)*Assumptions!$L$44*Assumptions!$L$45*(1-Assumptions!$L$46),SUM(ET59:FE59)),0),IF(ES6=Assumptions!$F$40,SUM(ET59:FE59),0))</f>
        <v>0</v>
      </c>
      <c r="ET65" s="242">
        <f>IF(Assumptions!$L$43="Yes",IF(ET6=Assumptions!$F$40,MIN(-(ET80+ET82)*Assumptions!$L$44*Assumptions!$L$45*(1-Assumptions!$L$46),SUM(EU59:FF59)),0),IF(ET6=Assumptions!$F$40,SUM(EU59:FF59),0))</f>
        <v>0</v>
      </c>
    </row>
    <row r="66" spans="2:150" x14ac:dyDescent="0.2">
      <c r="B66" t="s">
        <v>156</v>
      </c>
      <c r="F66" s="242">
        <f>IF(Assumptions!$L$43="Yes",IF(F6=Assumptions!$F$40,SUM('Draw Schedule'!G63:R63)-SUM('Draw Schedule'!G60:R60)-SUM('Draw Schedule'!G59:R59)+'Draw Schedule'!F65,0),IF(F6=Assumptions!$F$40,SUM('Draw Schedule'!G63:R63)-SUM('Draw Schedule'!G60:R60),0))</f>
        <v>0</v>
      </c>
      <c r="G66" s="242">
        <f>IF(Assumptions!$L$43="Yes",IF(G6=Assumptions!$F$40,SUM('Draw Schedule'!H63:S63)-SUM('Draw Schedule'!H60:S60)-SUM('Draw Schedule'!H59:S59)+'Draw Schedule'!G65,0),IF(G6=Assumptions!$F$40,SUM('Draw Schedule'!H63:S63)-SUM('Draw Schedule'!H60:S60),0))</f>
        <v>0</v>
      </c>
      <c r="H66" s="242">
        <f>IF(Assumptions!$L$43="Yes",IF(H6=Assumptions!$F$40,SUM('Draw Schedule'!I63:T63)-SUM('Draw Schedule'!I60:T60)-SUM('Draw Schedule'!I59:T59)+'Draw Schedule'!H65,0),IF(H6=Assumptions!$F$40,SUM('Draw Schedule'!I63:T63)-SUM('Draw Schedule'!I60:T60),0))</f>
        <v>0</v>
      </c>
      <c r="I66" s="242">
        <f>IF(Assumptions!$L$43="Yes",IF(I6=Assumptions!$F$40,SUM('Draw Schedule'!J63:U63)-SUM('Draw Schedule'!J60:U60)-SUM('Draw Schedule'!J59:U59)+'Draw Schedule'!I65,0),IF(I6=Assumptions!$F$40,SUM('Draw Schedule'!J63:U63)-SUM('Draw Schedule'!J60:U60),0))</f>
        <v>0</v>
      </c>
      <c r="J66" s="242">
        <f>IF(Assumptions!$L$43="Yes",IF(J6=Assumptions!$F$40,SUM('Draw Schedule'!K63:V63)-SUM('Draw Schedule'!K60:V60)-SUM('Draw Schedule'!K59:V59)+'Draw Schedule'!J65,0),IF(J6=Assumptions!$F$40,SUM('Draw Schedule'!K63:V63)-SUM('Draw Schedule'!K60:V60),0))</f>
        <v>0</v>
      </c>
      <c r="K66" s="242">
        <f>IF(Assumptions!$L$43="Yes",IF(K6=Assumptions!$F$40,SUM('Draw Schedule'!L63:W63)-SUM('Draw Schedule'!L60:W60)-SUM('Draw Schedule'!L59:W59)+'Draw Schedule'!K65,0),IF(K6=Assumptions!$F$40,SUM('Draw Schedule'!L63:W63)-SUM('Draw Schedule'!L60:W60),0))</f>
        <v>0</v>
      </c>
      <c r="L66" s="242">
        <f>IF(Assumptions!$L$43="Yes",IF(L6=Assumptions!$F$40,SUM('Draw Schedule'!M63:X63)-SUM('Draw Schedule'!M60:X60)-SUM('Draw Schedule'!M59:X59)+'Draw Schedule'!L65,0),IF(L6=Assumptions!$F$40,SUM('Draw Schedule'!M63:X63)-SUM('Draw Schedule'!M60:X60),0))</f>
        <v>0</v>
      </c>
      <c r="M66" s="242">
        <f>IF(Assumptions!$L$43="Yes",IF(M6=Assumptions!$F$40,SUM('Draw Schedule'!N63:Y63)-SUM('Draw Schedule'!N60:Y60)-SUM('Draw Schedule'!N59:Y59)+'Draw Schedule'!M65,0),IF(M6=Assumptions!$F$40,SUM('Draw Schedule'!N63:Y63)-SUM('Draw Schedule'!N60:Y60),0))</f>
        <v>0</v>
      </c>
      <c r="N66" s="242">
        <f>IF(Assumptions!$L$43="Yes",IF(N6=Assumptions!$F$40,SUM('Draw Schedule'!O63:Z63)-SUM('Draw Schedule'!O60:Z60)-SUM('Draw Schedule'!O59:Z59)+'Draw Schedule'!N65,0),IF(N6=Assumptions!$F$40,SUM('Draw Schedule'!O63:Z63)-SUM('Draw Schedule'!O60:Z60),0))</f>
        <v>0</v>
      </c>
      <c r="O66" s="242">
        <f>IF(Assumptions!$L$43="Yes",IF(O6=Assumptions!$F$40,SUM('Draw Schedule'!P63:AA63)-SUM('Draw Schedule'!P60:AA60)-SUM('Draw Schedule'!P59:AA59)+'Draw Schedule'!O65,0),IF(O6=Assumptions!$F$40,SUM('Draw Schedule'!P63:AA63)-SUM('Draw Schedule'!P60:AA60),0))</f>
        <v>0</v>
      </c>
      <c r="P66" s="242">
        <f>IF(Assumptions!$L$43="Yes",IF(P6=Assumptions!$F$40,SUM('Draw Schedule'!Q63:AB63)-SUM('Draw Schedule'!Q60:AB60)-SUM('Draw Schedule'!Q59:AB59)+'Draw Schedule'!P65,0),IF(P6=Assumptions!$F$40,SUM('Draw Schedule'!Q63:AB63)-SUM('Draw Schedule'!Q60:AB60),0))</f>
        <v>0</v>
      </c>
      <c r="Q66" s="242">
        <f>IF(Assumptions!$L$43="Yes",IF(Q6=Assumptions!$F$40,SUM('Draw Schedule'!R63:AC63)-SUM('Draw Schedule'!R60:AC60)-SUM('Draw Schedule'!R59:AC59)+'Draw Schedule'!Q65,0),IF(Q6=Assumptions!$F$40,SUM('Draw Schedule'!R63:AC63)-SUM('Draw Schedule'!R60:AC60),0))</f>
        <v>0</v>
      </c>
      <c r="R66" s="242">
        <f>IF(Assumptions!$L$43="Yes",IF(R6=Assumptions!$F$40,SUM('Draw Schedule'!S63:AD63)-SUM('Draw Schedule'!S60:AD60)-SUM('Draw Schedule'!S59:AD59)+'Draw Schedule'!R65,0),IF(R6=Assumptions!$F$40,SUM('Draw Schedule'!S63:AD63)-SUM('Draw Schedule'!S60:AD60),0))</f>
        <v>0</v>
      </c>
      <c r="S66" s="242">
        <f>IF(Assumptions!$L$43="Yes",IF(S6=Assumptions!$F$40,SUM('Draw Schedule'!T63:AE63)-SUM('Draw Schedule'!T60:AE60)-SUM('Draw Schedule'!T59:AE59)+'Draw Schedule'!S65,0),IF(S6=Assumptions!$F$40,SUM('Draw Schedule'!T63:AE63)-SUM('Draw Schedule'!T60:AE60),0))</f>
        <v>0</v>
      </c>
      <c r="T66" s="242">
        <f>IF(Assumptions!$L$43="Yes",IF(T6=Assumptions!$F$40,SUM('Draw Schedule'!U63:AF63)-SUM('Draw Schedule'!U60:AF60)-SUM('Draw Schedule'!U59:AF59)+'Draw Schedule'!T65,0),IF(T6=Assumptions!$F$40,SUM('Draw Schedule'!U63:AF63)-SUM('Draw Schedule'!U60:AF60),0))</f>
        <v>0</v>
      </c>
      <c r="U66" s="242">
        <f>IF(Assumptions!$L$43="Yes",IF(U6=Assumptions!$F$40,SUM('Draw Schedule'!V63:AG63)-SUM('Draw Schedule'!V60:AG60)-SUM('Draw Schedule'!V59:AG59)+'Draw Schedule'!U65,0),IF(U6=Assumptions!$F$40,SUM('Draw Schedule'!V63:AG63)-SUM('Draw Schedule'!V60:AG60),0))</f>
        <v>0</v>
      </c>
      <c r="V66" s="242">
        <f>IF(Assumptions!$L$43="Yes",IF(V6=Assumptions!$F$40,SUM('Draw Schedule'!W63:AH63)-SUM('Draw Schedule'!W60:AH60)-SUM('Draw Schedule'!W59:AH59)+'Draw Schedule'!V65,0),IF(V6=Assumptions!$F$40,SUM('Draw Schedule'!W63:AH63)-SUM('Draw Schedule'!W60:AH60),0))</f>
        <v>0</v>
      </c>
      <c r="W66" s="242">
        <f>IF(Assumptions!$L$43="Yes",IF(W6=Assumptions!$F$40,SUM('Draw Schedule'!X63:AI63)-SUM('Draw Schedule'!X60:AI60)-SUM('Draw Schedule'!X59:AI59)+'Draw Schedule'!W65,0),IF(W6=Assumptions!$F$40,SUM('Draw Schedule'!X63:AI63)-SUM('Draw Schedule'!X60:AI60),0))</f>
        <v>0</v>
      </c>
      <c r="X66" s="242">
        <f>IF(Assumptions!$L$43="Yes",IF(X6=Assumptions!$F$40,SUM('Draw Schedule'!Y63:AJ63)-SUM('Draw Schedule'!Y60:AJ60)-SUM('Draw Schedule'!Y59:AJ59)+'Draw Schedule'!X65,0),IF(X6=Assumptions!$F$40,SUM('Draw Schedule'!Y63:AJ63)-SUM('Draw Schedule'!Y60:AJ60),0))</f>
        <v>0</v>
      </c>
      <c r="Y66" s="242">
        <f>IF(Assumptions!$L$43="Yes",IF(Y6=Assumptions!$F$40,SUM('Draw Schedule'!Z63:AK63)-SUM('Draw Schedule'!Z60:AK60)-SUM('Draw Schedule'!Z59:AK59)+'Draw Schedule'!Y65,0),IF(Y6=Assumptions!$F$40,SUM('Draw Schedule'!Z63:AK63)-SUM('Draw Schedule'!Z60:AK60),0))</f>
        <v>0</v>
      </c>
      <c r="Z66" s="242">
        <f>IF(Assumptions!$L$43="Yes",IF(Z6=Assumptions!$F$40,SUM('Draw Schedule'!AA63:AL63)-SUM('Draw Schedule'!AA60:AL60)-SUM('Draw Schedule'!AA59:AL59)+'Draw Schedule'!Z65,0),IF(Z6=Assumptions!$F$40,SUM('Draw Schedule'!AA63:AL63)-SUM('Draw Schedule'!AA60:AL60),0))</f>
        <v>0</v>
      </c>
      <c r="AA66" s="242">
        <f>IF(Assumptions!$L$43="Yes",IF(AA6=Assumptions!$F$40,SUM('Draw Schedule'!AB63:AM63)-SUM('Draw Schedule'!AB60:AM60)-SUM('Draw Schedule'!AB59:AM59)+'Draw Schedule'!AA65,0),IF(AA6=Assumptions!$F$40,SUM('Draw Schedule'!AB63:AM63)-SUM('Draw Schedule'!AB60:AM60),0))</f>
        <v>0</v>
      </c>
      <c r="AB66" s="242">
        <f>IF(Assumptions!$L$43="Yes",IF(AB6=Assumptions!$F$40,SUM('Draw Schedule'!AC63:AN63)-SUM('Draw Schedule'!AC60:AN60)-SUM('Draw Schedule'!AC59:AN59)+'Draw Schedule'!AB65,0),IF(AB6=Assumptions!$F$40,SUM('Draw Schedule'!AC63:AN63)-SUM('Draw Schedule'!AC60:AN60),0))</f>
        <v>0</v>
      </c>
      <c r="AC66" s="242">
        <f>IF(Assumptions!$L$43="Yes",IF(AC6=Assumptions!$F$40,SUM('Draw Schedule'!AD63:AO63)-SUM('Draw Schedule'!AD60:AO60)-SUM('Draw Schedule'!AD59:AO59)+'Draw Schedule'!AC65,0),IF(AC6=Assumptions!$F$40,SUM('Draw Schedule'!AD63:AO63)-SUM('Draw Schedule'!AD60:AO60),0))</f>
        <v>0</v>
      </c>
      <c r="AD66" s="242">
        <f>IF(Assumptions!$L$43="Yes",IF(AD6=Assumptions!$F$40,SUM('Draw Schedule'!AE63:AP63)-SUM('Draw Schedule'!AE60:AP60)-SUM('Draw Schedule'!AE59:AP59)+'Draw Schedule'!AD65,0),IF(AD6=Assumptions!$F$40,SUM('Draw Schedule'!AE63:AP63)-SUM('Draw Schedule'!AE60:AP60),0))</f>
        <v>0</v>
      </c>
      <c r="AE66" s="242">
        <f>IF(Assumptions!$L$43="Yes",IF(AE6=Assumptions!$F$40,SUM('Draw Schedule'!AF63:AQ63)-SUM('Draw Schedule'!AF60:AQ60)-SUM('Draw Schedule'!AF59:AQ59)+'Draw Schedule'!AE65,0),IF(AE6=Assumptions!$F$40,SUM('Draw Schedule'!AF63:AQ63)-SUM('Draw Schedule'!AF60:AQ60),0))</f>
        <v>0</v>
      </c>
      <c r="AF66" s="242">
        <f>IF(Assumptions!$L$43="Yes",IF(AF6=Assumptions!$F$40,SUM('Draw Schedule'!AG63:AR63)-SUM('Draw Schedule'!AG60:AR60)-SUM('Draw Schedule'!AG59:AR59)+'Draw Schedule'!AF65,0),IF(AF6=Assumptions!$F$40,SUM('Draw Schedule'!AG63:AR63)-SUM('Draw Schedule'!AG60:AR60),0))</f>
        <v>0</v>
      </c>
      <c r="AG66" s="242">
        <f>IF(Assumptions!$L$43="Yes",IF(AG6=Assumptions!$F$40,SUM('Draw Schedule'!AH63:AS63)-SUM('Draw Schedule'!AH60:AS60)-SUM('Draw Schedule'!AH59:AS59)+'Draw Schedule'!AG65,0),IF(AG6=Assumptions!$F$40,SUM('Draw Schedule'!AH63:AS63)-SUM('Draw Schedule'!AH60:AS60),0))</f>
        <v>0</v>
      </c>
      <c r="AH66" s="242">
        <f>IF(Assumptions!$L$43="Yes",IF(AH6=Assumptions!$F$40,SUM('Draw Schedule'!AI63:AT63)-SUM('Draw Schedule'!AI60:AT60)-SUM('Draw Schedule'!AI59:AT59)+'Draw Schedule'!AH65,0),IF(AH6=Assumptions!$F$40,SUM('Draw Schedule'!AI63:AT63)-SUM('Draw Schedule'!AI60:AT60),0))</f>
        <v>0</v>
      </c>
      <c r="AI66" s="242">
        <f>IF(Assumptions!$L$43="Yes",IF(AI6=Assumptions!$F$40,SUM('Draw Schedule'!AJ63:AU63)-SUM('Draw Schedule'!AJ60:AU60)-SUM('Draw Schedule'!AJ59:AU59)+'Draw Schedule'!AI65,0),IF(AI6=Assumptions!$F$40,SUM('Draw Schedule'!AJ63:AU63)-SUM('Draw Schedule'!AJ60:AU60),0))</f>
        <v>0</v>
      </c>
      <c r="AJ66" s="242">
        <f>IF(Assumptions!$L$43="Yes",IF(AJ6=Assumptions!$F$40,SUM('Draw Schedule'!AK63:AV63)-SUM('Draw Schedule'!AK60:AV60)-SUM('Draw Schedule'!AK59:AV59)+'Draw Schedule'!AJ65,0),IF(AJ6=Assumptions!$F$40,SUM('Draw Schedule'!AK63:AV63)-SUM('Draw Schedule'!AK60:AV60),0))</f>
        <v>0</v>
      </c>
      <c r="AK66" s="242">
        <f>IF(Assumptions!$L$43="Yes",IF(AK6=Assumptions!$F$40,SUM('Draw Schedule'!AL63:AW63)-SUM('Draw Schedule'!AL60:AW60)-SUM('Draw Schedule'!AL59:AW59)+'Draw Schedule'!AK65,0),IF(AK6=Assumptions!$F$40,SUM('Draw Schedule'!AL63:AW63)-SUM('Draw Schedule'!AL60:AW60),0))</f>
        <v>0</v>
      </c>
      <c r="AL66" s="242">
        <f>IF(Assumptions!$L$43="Yes",IF(AL6=Assumptions!$F$40,SUM('Draw Schedule'!AM63:AX63)-SUM('Draw Schedule'!AM60:AX60)-SUM('Draw Schedule'!AM59:AX59)+'Draw Schedule'!AL65,0),IF(AL6=Assumptions!$F$40,SUM('Draw Schedule'!AM63:AX63)-SUM('Draw Schedule'!AM60:AX60),0))</f>
        <v>0</v>
      </c>
      <c r="AM66" s="242">
        <f>IF(Assumptions!$L$43="Yes",IF(AM6=Assumptions!$F$40,SUM('Draw Schedule'!AN63:AY63)-SUM('Draw Schedule'!AN60:AY60)-SUM('Draw Schedule'!AN59:AY59)+'Draw Schedule'!AM65,0),IF(AM6=Assumptions!$F$40,SUM('Draw Schedule'!AN63:AY63)-SUM('Draw Schedule'!AN60:AY60),0))</f>
        <v>0</v>
      </c>
      <c r="AN66" s="242">
        <f>IF(Assumptions!$L$43="Yes",IF(AN6=Assumptions!$F$40,SUM('Draw Schedule'!AO63:AZ63)-SUM('Draw Schedule'!AO60:AZ60)-SUM('Draw Schedule'!AO59:AZ59)+'Draw Schedule'!AN65,0),IF(AN6=Assumptions!$F$40,SUM('Draw Schedule'!AO63:AZ63)-SUM('Draw Schedule'!AO60:AZ60),0))</f>
        <v>0</v>
      </c>
      <c r="AO66" s="242">
        <f>IF(Assumptions!$L$43="Yes",IF(AO6=Assumptions!$F$40,SUM('Draw Schedule'!AP63:BA63)-SUM('Draw Schedule'!AP60:BA60)-SUM('Draw Schedule'!AP59:BA59)+'Draw Schedule'!AO65,0),IF(AO6=Assumptions!$F$40,SUM('Draw Schedule'!AP63:BA63)-SUM('Draw Schedule'!AP60:BA60),0))</f>
        <v>0</v>
      </c>
      <c r="AP66" s="242">
        <f>IF(Assumptions!$L$43="Yes",IF(AP6=Assumptions!$F$40,SUM('Draw Schedule'!AQ63:BB63)-SUM('Draw Schedule'!AQ60:BB60)-SUM('Draw Schedule'!AQ59:BB59)+'Draw Schedule'!AP65,0),IF(AP6=Assumptions!$F$40,SUM('Draw Schedule'!AQ63:BB63)-SUM('Draw Schedule'!AQ60:BB60),0))</f>
        <v>0</v>
      </c>
      <c r="AQ66" s="242">
        <f>IF(Assumptions!$L$43="Yes",IF(AQ6=Assumptions!$F$40,SUM('Draw Schedule'!AR63:BC63)-SUM('Draw Schedule'!AR60:BC60)-SUM('Draw Schedule'!AR59:BC59)+'Draw Schedule'!AQ65,0),IF(AQ6=Assumptions!$F$40,SUM('Draw Schedule'!AR63:BC63)-SUM('Draw Schedule'!AR60:BC60),0))</f>
        <v>0</v>
      </c>
      <c r="AR66" s="242">
        <f>IF(Assumptions!$L$43="Yes",IF(AR6=Assumptions!$F$40,SUM('Draw Schedule'!AS63:BD63)-SUM('Draw Schedule'!AS60:BD60)-SUM('Draw Schedule'!AS59:BD59)+'Draw Schedule'!AR65,0),IF(AR6=Assumptions!$F$40,SUM('Draw Schedule'!AS63:BD63)-SUM('Draw Schedule'!AS60:BD60),0))</f>
        <v>0</v>
      </c>
      <c r="AS66" s="242">
        <f>IF(Assumptions!$L$43="Yes",IF(AS6=Assumptions!$F$40,SUM('Draw Schedule'!AT63:BE63)-SUM('Draw Schedule'!AT60:BE60)-SUM('Draw Schedule'!AT59:BE59)+'Draw Schedule'!AS65,0),IF(AS6=Assumptions!$F$40,SUM('Draw Schedule'!AT63:BE63)-SUM('Draw Schedule'!AT60:BE60),0))</f>
        <v>0</v>
      </c>
      <c r="AT66" s="242">
        <f>IF(Assumptions!$L$43="Yes",IF(AT6=Assumptions!$F$40,SUM('Draw Schedule'!AU63:BF63)-SUM('Draw Schedule'!AU60:BF60)-SUM('Draw Schedule'!AU59:BF59)+'Draw Schedule'!AT65,0),IF(AT6=Assumptions!$F$40,SUM('Draw Schedule'!AU63:BF63)-SUM('Draw Schedule'!AU60:BF60),0))</f>
        <v>0</v>
      </c>
      <c r="AU66" s="242">
        <f>IF(Assumptions!$L$43="Yes",IF(AU6=Assumptions!$F$40,SUM('Draw Schedule'!AV63:BG63)-SUM('Draw Schedule'!AV60:BG60)-SUM('Draw Schedule'!AV59:BG59)+'Draw Schedule'!AU65,0),IF(AU6=Assumptions!$F$40,SUM('Draw Schedule'!AV63:BG63)-SUM('Draw Schedule'!AV60:BG60),0))</f>
        <v>0</v>
      </c>
      <c r="AV66" s="242">
        <f>IF(Assumptions!$L$43="Yes",IF(AV6=Assumptions!$F$40,SUM('Draw Schedule'!AW63:BH63)-SUM('Draw Schedule'!AW60:BH60)-SUM('Draw Schedule'!AW59:BH59)+'Draw Schedule'!AV65,0),IF(AV6=Assumptions!$F$40,SUM('Draw Schedule'!AW63:BH63)-SUM('Draw Schedule'!AW60:BH60),0))</f>
        <v>0</v>
      </c>
      <c r="AW66" s="242">
        <f>IF(Assumptions!$L$43="Yes",IF(AW6=Assumptions!$F$40,SUM('Draw Schedule'!AX63:BI63)-SUM('Draw Schedule'!AX60:BI60)-SUM('Draw Schedule'!AX59:BI59)+'Draw Schedule'!AW65,0),IF(AW6=Assumptions!$F$40,SUM('Draw Schedule'!AX63:BI63)-SUM('Draw Schedule'!AX60:BI60),0))</f>
        <v>0</v>
      </c>
      <c r="AX66" s="242">
        <f>IF(Assumptions!$L$43="Yes",IF(AX6=Assumptions!$F$40,SUM('Draw Schedule'!AY63:BJ63)-SUM('Draw Schedule'!AY60:BJ60)-SUM('Draw Schedule'!AY59:BJ59)+'Draw Schedule'!AX65,0),IF(AX6=Assumptions!$F$40,SUM('Draw Schedule'!AY63:BJ63)-SUM('Draw Schedule'!AY60:BJ60),0))</f>
        <v>0</v>
      </c>
      <c r="AY66" s="242">
        <f>IF(Assumptions!$L$43="Yes",IF(AY6=Assumptions!$F$40,SUM('Draw Schedule'!AZ63:BK63)-SUM('Draw Schedule'!AZ60:BK60)-SUM('Draw Schedule'!AZ59:BK59)+'Draw Schedule'!AY65,0),IF(AY6=Assumptions!$F$40,SUM('Draw Schedule'!AZ63:BK63)-SUM('Draw Schedule'!AZ60:BK60),0))</f>
        <v>0</v>
      </c>
      <c r="AZ66" s="242">
        <f>IF(Assumptions!$L$43="Yes",IF(AZ6=Assumptions!$F$40,SUM('Draw Schedule'!BA63:BL63)-SUM('Draw Schedule'!BA60:BL60)-SUM('Draw Schedule'!BA59:BL59)+'Draw Schedule'!AZ65,0),IF(AZ6=Assumptions!$F$40,SUM('Draw Schedule'!BA63:BL63)-SUM('Draw Schedule'!BA60:BL60),0))</f>
        <v>0</v>
      </c>
      <c r="BA66" s="242">
        <f>IF(Assumptions!$L$43="Yes",IF(BA6=Assumptions!$F$40,SUM('Draw Schedule'!BB63:BM63)-SUM('Draw Schedule'!BB60:BM60)-SUM('Draw Schedule'!BB59:BM59)+'Draw Schedule'!BA65,0),IF(BA6=Assumptions!$F$40,SUM('Draw Schedule'!BB63:BM63)-SUM('Draw Schedule'!BB60:BM60),0))</f>
        <v>0</v>
      </c>
      <c r="BB66" s="242">
        <f>IF(Assumptions!$L$43="Yes",IF(BB6=Assumptions!$F$40,SUM('Draw Schedule'!BC63:BN63)-SUM('Draw Schedule'!BC60:BN60)-SUM('Draw Schedule'!BC59:BN59)+'Draw Schedule'!BB65,0),IF(BB6=Assumptions!$F$40,SUM('Draw Schedule'!BC63:BN63)-SUM('Draw Schedule'!BC60:BN60),0))</f>
        <v>0</v>
      </c>
      <c r="BC66" s="242">
        <f>IF(Assumptions!$L$43="Yes",IF(BC6=Assumptions!$F$40,SUM('Draw Schedule'!BD63:BO63)-SUM('Draw Schedule'!BD60:BO60)-SUM('Draw Schedule'!BD59:BO59)+'Draw Schedule'!BC65,0),IF(BC6=Assumptions!$F$40,SUM('Draw Schedule'!BD63:BO63)-SUM('Draw Schedule'!BD60:BO60),0))</f>
        <v>0</v>
      </c>
      <c r="BD66" s="242">
        <f>IF(Assumptions!$L$43="Yes",IF(BD6=Assumptions!$F$40,SUM('Draw Schedule'!BE63:BP63)-SUM('Draw Schedule'!BE60:BP60)-SUM('Draw Schedule'!BE59:BP59)+'Draw Schedule'!BD65,0),IF(BD6=Assumptions!$F$40,SUM('Draw Schedule'!BE63:BP63)-SUM('Draw Schedule'!BE60:BP60),0))</f>
        <v>0</v>
      </c>
      <c r="BE66" s="242">
        <f>IF(Assumptions!$L$43="Yes",IF(BE6=Assumptions!$F$40,SUM('Draw Schedule'!BF63:BQ63)-SUM('Draw Schedule'!BF60:BQ60)-SUM('Draw Schedule'!BF59:BQ59)+'Draw Schedule'!BE65,0),IF(BE6=Assumptions!$F$40,SUM('Draw Schedule'!BF63:BQ63)-SUM('Draw Schedule'!BF60:BQ60),0))</f>
        <v>0</v>
      </c>
      <c r="BF66" s="242">
        <f>IF(Assumptions!$L$43="Yes",IF(BF6=Assumptions!$F$40,SUM('Draw Schedule'!BG63:BR63)-SUM('Draw Schedule'!BG60:BR60)-SUM('Draw Schedule'!BG59:BR59)+'Draw Schedule'!BF65,0),IF(BF6=Assumptions!$F$40,SUM('Draw Schedule'!BG63:BR63)-SUM('Draw Schedule'!BG60:BR60),0))</f>
        <v>0</v>
      </c>
      <c r="BG66" s="242">
        <f>IF(Assumptions!$L$43="Yes",IF(BG6=Assumptions!$F$40,SUM('Draw Schedule'!BH63:BS63)-SUM('Draw Schedule'!BH60:BS60)-SUM('Draw Schedule'!BH59:BS59)+'Draw Schedule'!BG65,0),IF(BG6=Assumptions!$F$40,SUM('Draw Schedule'!BH63:BS63)-SUM('Draw Schedule'!BH60:BS60),0))</f>
        <v>0</v>
      </c>
      <c r="BH66" s="242">
        <f>IF(Assumptions!$L$43="Yes",IF(BH6=Assumptions!$F$40,SUM('Draw Schedule'!BI63:BT63)-SUM('Draw Schedule'!BI60:BT60)-SUM('Draw Schedule'!BI59:BT59)+'Draw Schedule'!BH65,0),IF(BH6=Assumptions!$F$40,SUM('Draw Schedule'!BI63:BT63)-SUM('Draw Schedule'!BI60:BT60),0))</f>
        <v>0</v>
      </c>
      <c r="BI66" s="242">
        <f>IF(Assumptions!$L$43="Yes",IF(BI6=Assumptions!$F$40,SUM('Draw Schedule'!BJ63:BU63)-SUM('Draw Schedule'!BJ60:BU60)-SUM('Draw Schedule'!BJ59:BU59)+'Draw Schedule'!BI65,0),IF(BI6=Assumptions!$F$40,SUM('Draw Schedule'!BJ63:BU63)-SUM('Draw Schedule'!BJ60:BU60),0))</f>
        <v>0</v>
      </c>
      <c r="BJ66" s="242">
        <f>IF(Assumptions!$L$43="Yes",IF(BJ6=Assumptions!$F$40,SUM('Draw Schedule'!BK63:BV63)-SUM('Draw Schedule'!BK60:BV60)-SUM('Draw Schedule'!BK59:BV59)+'Draw Schedule'!BJ65,0),IF(BJ6=Assumptions!$F$40,SUM('Draw Schedule'!BK63:BV63)-SUM('Draw Schedule'!BK60:BV60),0))</f>
        <v>0</v>
      </c>
      <c r="BK66" s="242">
        <f>IF(Assumptions!$L$43="Yes",IF(BK6=Assumptions!$F$40,SUM('Draw Schedule'!BL63:BW63)-SUM('Draw Schedule'!BL60:BW60)-SUM('Draw Schedule'!BL59:BW59)+'Draw Schedule'!BK65,0),IF(BK6=Assumptions!$F$40,SUM('Draw Schedule'!BL63:BW63)-SUM('Draw Schedule'!BL60:BW60),0))</f>
        <v>0</v>
      </c>
      <c r="BL66" s="242">
        <f>IF(Assumptions!$L$43="Yes",IF(BL6=Assumptions!$F$40,SUM('Draw Schedule'!BM63:BX63)-SUM('Draw Schedule'!BM60:BX60)-SUM('Draw Schedule'!BM59:BX59)+'Draw Schedule'!BL65,0),IF(BL6=Assumptions!$F$40,SUM('Draw Schedule'!BM63:BX63)-SUM('Draw Schedule'!BM60:BX60),0))</f>
        <v>0</v>
      </c>
      <c r="BM66" s="242">
        <f>IF(Assumptions!$L$43="Yes",IF(BM6=Assumptions!$F$40,SUM('Draw Schedule'!BN63:BY63)-SUM('Draw Schedule'!BN60:BY60)-SUM('Draw Schedule'!BN59:BY59)+'Draw Schedule'!BM65,0),IF(BM6=Assumptions!$F$40,SUM('Draw Schedule'!BN63:BY63)-SUM('Draw Schedule'!BN60:BY60),0))</f>
        <v>0</v>
      </c>
      <c r="BN66" s="242">
        <f>IF(Assumptions!$L$43="Yes",IF(BN6=Assumptions!$F$40,SUM('Draw Schedule'!BO63:BZ63)-SUM('Draw Schedule'!BO60:BZ60)-SUM('Draw Schedule'!BO59:BZ59)+'Draw Schedule'!BN65,0),IF(BN6=Assumptions!$F$40,SUM('Draw Schedule'!BO63:BZ63)-SUM('Draw Schedule'!BO60:BZ60),0))</f>
        <v>0</v>
      </c>
      <c r="BO66" s="242">
        <f>IF(Assumptions!$L$43="Yes",IF(BO6=Assumptions!$F$40,SUM('Draw Schedule'!BP63:CA63)-SUM('Draw Schedule'!BP60:CA60)-SUM('Draw Schedule'!BP59:CA59)+'Draw Schedule'!BO65,0),IF(BO6=Assumptions!$F$40,SUM('Draw Schedule'!BP63:CA63)-SUM('Draw Schedule'!BP60:CA60),0))</f>
        <v>0</v>
      </c>
      <c r="BP66" s="242">
        <f>IF(Assumptions!$L$43="Yes",IF(BP6=Assumptions!$F$40,SUM('Draw Schedule'!BQ63:CB63)-SUM('Draw Schedule'!BQ60:CB60)-SUM('Draw Schedule'!BQ59:CB59)+'Draw Schedule'!BP65,0),IF(BP6=Assumptions!$F$40,SUM('Draw Schedule'!BQ63:CB63)-SUM('Draw Schedule'!BQ60:CB60),0))</f>
        <v>0</v>
      </c>
      <c r="BQ66" s="242">
        <f>IF(Assumptions!$L$43="Yes",IF(BQ6=Assumptions!$F$40,SUM('Draw Schedule'!BR63:CC63)-SUM('Draw Schedule'!BR60:CC60)-SUM('Draw Schedule'!BR59:CC59)+'Draw Schedule'!BQ65,0),IF(BQ6=Assumptions!$F$40,SUM('Draw Schedule'!BR63:CC63)-SUM('Draw Schedule'!BR60:CC60),0))</f>
        <v>0</v>
      </c>
      <c r="BR66" s="242">
        <f>IF(Assumptions!$L$43="Yes",IF(BR6=Assumptions!$F$40,SUM('Draw Schedule'!BS63:CD63)-SUM('Draw Schedule'!BS60:CD60)-SUM('Draw Schedule'!BS59:CD59)+'Draw Schedule'!BR65,0),IF(BR6=Assumptions!$F$40,SUM('Draw Schedule'!BS63:CD63)-SUM('Draw Schedule'!BS60:CD60),0))</f>
        <v>0</v>
      </c>
      <c r="BS66" s="242">
        <f>IF(Assumptions!$L$43="Yes",IF(BS6=Assumptions!$F$40,SUM('Draw Schedule'!BT63:CE63)-SUM('Draw Schedule'!BT60:CE60)-SUM('Draw Schedule'!BT59:CE59)+'Draw Schedule'!BS65,0),IF(BS6=Assumptions!$F$40,SUM('Draw Schedule'!BT63:CE63)-SUM('Draw Schedule'!BT60:CE60),0))</f>
        <v>0</v>
      </c>
      <c r="BT66" s="242">
        <f>IF(Assumptions!$L$43="Yes",IF(BT6=Assumptions!$F$40,SUM('Draw Schedule'!BU63:CF63)-SUM('Draw Schedule'!BU60:CF60)-SUM('Draw Schedule'!BU59:CF59)+'Draw Schedule'!BT65,0),IF(BT6=Assumptions!$F$40,SUM('Draw Schedule'!BU63:CF63)-SUM('Draw Schedule'!BU60:CF60),0))</f>
        <v>0</v>
      </c>
      <c r="BU66" s="242">
        <f>IF(Assumptions!$L$43="Yes",IF(BU6=Assumptions!$F$40,SUM('Draw Schedule'!BV63:CG63)-SUM('Draw Schedule'!BV60:CG60)-SUM('Draw Schedule'!BV59:CG59)+'Draw Schedule'!BU65,0),IF(BU6=Assumptions!$F$40,SUM('Draw Schedule'!BV63:CG63)-SUM('Draw Schedule'!BV60:CG60),0))</f>
        <v>0</v>
      </c>
      <c r="BV66" s="242">
        <f>IF(Assumptions!$L$43="Yes",IF(BV6=Assumptions!$F$40,SUM('Draw Schedule'!BW63:CH63)-SUM('Draw Schedule'!BW60:CH60)-SUM('Draw Schedule'!BW59:CH59)+'Draw Schedule'!BV65,0),IF(BV6=Assumptions!$F$40,SUM('Draw Schedule'!BW63:CH63)-SUM('Draw Schedule'!BW60:CH60),0))</f>
        <v>0</v>
      </c>
      <c r="BW66" s="242">
        <f>IF(Assumptions!$L$43="Yes",IF(BW6=Assumptions!$F$40,SUM('Draw Schedule'!BX63:CI63)-SUM('Draw Schedule'!BX60:CI60)-SUM('Draw Schedule'!BX59:CI59)+'Draw Schedule'!BW65,0),IF(BW6=Assumptions!$F$40,SUM('Draw Schedule'!BX63:CI63)-SUM('Draw Schedule'!BX60:CI60),0))</f>
        <v>0</v>
      </c>
      <c r="BX66" s="242">
        <f>IF(Assumptions!$L$43="Yes",IF(BX6=Assumptions!$F$40,SUM('Draw Schedule'!BY63:CJ63)-SUM('Draw Schedule'!BY60:CJ60)-SUM('Draw Schedule'!BY59:CJ59)+'Draw Schedule'!BX65,0),IF(BX6=Assumptions!$F$40,SUM('Draw Schedule'!BY63:CJ63)-SUM('Draw Schedule'!BY60:CJ60),0))</f>
        <v>0</v>
      </c>
      <c r="BY66" s="242">
        <f>IF(Assumptions!$L$43="Yes",IF(BY6=Assumptions!$F$40,SUM('Draw Schedule'!BZ63:CK63)-SUM('Draw Schedule'!BZ60:CK60)-SUM('Draw Schedule'!BZ59:CK59)+'Draw Schedule'!BY65,0),IF(BY6=Assumptions!$F$40,SUM('Draw Schedule'!BZ63:CK63)-SUM('Draw Schedule'!BZ60:CK60),0))</f>
        <v>0</v>
      </c>
      <c r="BZ66" s="242">
        <f>IF(Assumptions!$L$43="Yes",IF(BZ6=Assumptions!$F$40,SUM('Draw Schedule'!CA63:CL63)-SUM('Draw Schedule'!CA60:CL60)-SUM('Draw Schedule'!CA59:CL59)+'Draw Schedule'!BZ65,0),IF(BZ6=Assumptions!$F$40,SUM('Draw Schedule'!CA63:CL63)-SUM('Draw Schedule'!CA60:CL60),0))</f>
        <v>0</v>
      </c>
      <c r="CA66" s="242">
        <f>IF(Assumptions!$L$43="Yes",IF(CA6=Assumptions!$F$40,SUM('Draw Schedule'!CB63:CM63)-SUM('Draw Schedule'!CB60:CM60)-SUM('Draw Schedule'!CB59:CM59)+'Draw Schedule'!CA65,0),IF(CA6=Assumptions!$F$40,SUM('Draw Schedule'!CB63:CM63)-SUM('Draw Schedule'!CB60:CM60),0))</f>
        <v>0</v>
      </c>
      <c r="CB66" s="242">
        <f>IF(Assumptions!$L$43="Yes",IF(CB6=Assumptions!$F$40,SUM('Draw Schedule'!CC63:CN63)-SUM('Draw Schedule'!CC60:CN60)-SUM('Draw Schedule'!CC59:CN59)+'Draw Schedule'!CB65,0),IF(CB6=Assumptions!$F$40,SUM('Draw Schedule'!CC63:CN63)-SUM('Draw Schedule'!CC60:CN60),0))</f>
        <v>0</v>
      </c>
      <c r="CC66" s="242">
        <f>IF(Assumptions!$L$43="Yes",IF(CC6=Assumptions!$F$40,SUM('Draw Schedule'!CD63:CO63)-SUM('Draw Schedule'!CD60:CO60)-SUM('Draw Schedule'!CD59:CO59)+'Draw Schedule'!CC65,0),IF(CC6=Assumptions!$F$40,SUM('Draw Schedule'!CD63:CO63)-SUM('Draw Schedule'!CD60:CO60),0))</f>
        <v>0</v>
      </c>
      <c r="CD66" s="242">
        <f>IF(Assumptions!$L$43="Yes",IF(CD6=Assumptions!$F$40,SUM('Draw Schedule'!CE63:CP63)-SUM('Draw Schedule'!CE60:CP60)-SUM('Draw Schedule'!CE59:CP59)+'Draw Schedule'!CD65,0),IF(CD6=Assumptions!$F$40,SUM('Draw Schedule'!CE63:CP63)-SUM('Draw Schedule'!CE60:CP60),0))</f>
        <v>0</v>
      </c>
      <c r="CE66" s="242">
        <f>IF(Assumptions!$L$43="Yes",IF(CE6=Assumptions!$F$40,SUM('Draw Schedule'!CF63:CQ63)-SUM('Draw Schedule'!CF60:CQ60)-SUM('Draw Schedule'!CF59:CQ59)+'Draw Schedule'!CE65,0),IF(CE6=Assumptions!$F$40,SUM('Draw Schedule'!CF63:CQ63)-SUM('Draw Schedule'!CF60:CQ60),0))</f>
        <v>0</v>
      </c>
      <c r="CF66" s="242">
        <f>IF(Assumptions!$L$43="Yes",IF(CF6=Assumptions!$F$40,SUM('Draw Schedule'!CG63:CR63)-SUM('Draw Schedule'!CG60:CR60)-SUM('Draw Schedule'!CG59:CR59)+'Draw Schedule'!CF65,0),IF(CF6=Assumptions!$F$40,SUM('Draw Schedule'!CG63:CR63)-SUM('Draw Schedule'!CG60:CR60),0))</f>
        <v>0</v>
      </c>
      <c r="CG66" s="242">
        <f>IF(Assumptions!$L$43="Yes",IF(CG6=Assumptions!$F$40,SUM('Draw Schedule'!CH63:CS63)-SUM('Draw Schedule'!CH60:CS60)-SUM('Draw Schedule'!CH59:CS59)+'Draw Schedule'!CG65,0),IF(CG6=Assumptions!$F$40,SUM('Draw Schedule'!CH63:CS63)-SUM('Draw Schedule'!CH60:CS60),0))</f>
        <v>0</v>
      </c>
      <c r="CH66" s="242">
        <f>IF(Assumptions!$L$43="Yes",IF(CH6=Assumptions!$F$40,SUM('Draw Schedule'!CI63:CT63)-SUM('Draw Schedule'!CI60:CT60)-SUM('Draw Schedule'!CI59:CT59)+'Draw Schedule'!CH65,0),IF(CH6=Assumptions!$F$40,SUM('Draw Schedule'!CI63:CT63)-SUM('Draw Schedule'!CI60:CT60),0))</f>
        <v>0</v>
      </c>
      <c r="CI66" s="242">
        <f>IF(Assumptions!$L$43="Yes",IF(CI6=Assumptions!$F$40,SUM('Draw Schedule'!CJ63:CU63)-SUM('Draw Schedule'!CJ60:CU60)-SUM('Draw Schedule'!CJ59:CU59)+'Draw Schedule'!CI65,0),IF(CI6=Assumptions!$F$40,SUM('Draw Schedule'!CJ63:CU63)-SUM('Draw Schedule'!CJ60:CU60),0))</f>
        <v>0</v>
      </c>
      <c r="CJ66" s="242">
        <f>IF(Assumptions!$L$43="Yes",IF(CJ6=Assumptions!$F$40,SUM('Draw Schedule'!CK63:CV63)-SUM('Draw Schedule'!CK60:CV60)-SUM('Draw Schedule'!CK59:CV59)+'Draw Schedule'!CJ65,0),IF(CJ6=Assumptions!$F$40,SUM('Draw Schedule'!CK63:CV63)-SUM('Draw Schedule'!CK60:CV60),0))</f>
        <v>0</v>
      </c>
      <c r="CK66" s="242">
        <f ca="1">IF(Assumptions!$L$43="Yes",IF(CK6=Assumptions!$F$40,SUM('Draw Schedule'!CL63:CW63)-SUM('Draw Schedule'!CL60:CW60)-SUM('Draw Schedule'!CL59:CW59)+'Draw Schedule'!CK65,0),IF(CK6=Assumptions!$F$40,SUM('Draw Schedule'!CL63:CW63)-SUM('Draw Schedule'!CL60:CW60),0))</f>
        <v>1636890.4268842244</v>
      </c>
      <c r="CL66" s="242">
        <f>IF(Assumptions!$L$43="Yes",IF(CL6=Assumptions!$F$40,SUM('Draw Schedule'!CM63:CX63)-SUM('Draw Schedule'!CM60:CX60)-SUM('Draw Schedule'!CM59:CX59)+'Draw Schedule'!CL65,0),IF(CL6=Assumptions!$F$40,SUM('Draw Schedule'!CM63:CX63)-SUM('Draw Schedule'!CM60:CX60),0))</f>
        <v>0</v>
      </c>
      <c r="CM66" s="242">
        <f>IF(Assumptions!$L$43="Yes",IF(CM6=Assumptions!$F$40,SUM('Draw Schedule'!CN63:CY63)-SUM('Draw Schedule'!CN60:CY60)-SUM('Draw Schedule'!CN59:CY59)+'Draw Schedule'!CM65,0),IF(CM6=Assumptions!$F$40,SUM('Draw Schedule'!CN63:CY63)-SUM('Draw Schedule'!CN60:CY60),0))</f>
        <v>0</v>
      </c>
      <c r="CN66" s="242">
        <f>IF(Assumptions!$L$43="Yes",IF(CN6=Assumptions!$F$40,SUM('Draw Schedule'!CO63:CZ63)-SUM('Draw Schedule'!CO60:CZ60)-SUM('Draw Schedule'!CO59:CZ59)+'Draw Schedule'!CN65,0),IF(CN6=Assumptions!$F$40,SUM('Draw Schedule'!CO63:CZ63)-SUM('Draw Schedule'!CO60:CZ60),0))</f>
        <v>0</v>
      </c>
      <c r="CO66" s="242">
        <f>IF(Assumptions!$L$43="Yes",IF(CO6=Assumptions!$F$40,SUM('Draw Schedule'!CP63:DA63)-SUM('Draw Schedule'!CP60:DA60)-SUM('Draw Schedule'!CP59:DA59)+'Draw Schedule'!CO65,0),IF(CO6=Assumptions!$F$40,SUM('Draw Schedule'!CP63:DA63)-SUM('Draw Schedule'!CP60:DA60),0))</f>
        <v>0</v>
      </c>
      <c r="CP66" s="242">
        <f>IF(Assumptions!$L$43="Yes",IF(CP6=Assumptions!$F$40,SUM('Draw Schedule'!CQ63:DB63)-SUM('Draw Schedule'!CQ60:DB60)-SUM('Draw Schedule'!CQ59:DB59)+'Draw Schedule'!CP65,0),IF(CP6=Assumptions!$F$40,SUM('Draw Schedule'!CQ63:DB63)-SUM('Draw Schedule'!CQ60:DB60),0))</f>
        <v>0</v>
      </c>
      <c r="CQ66" s="242">
        <f>IF(Assumptions!$L$43="Yes",IF(CQ6=Assumptions!$F$40,SUM('Draw Schedule'!CR63:DC63)-SUM('Draw Schedule'!CR60:DC60)-SUM('Draw Schedule'!CR59:DC59)+'Draw Schedule'!CQ65,0),IF(CQ6=Assumptions!$F$40,SUM('Draw Schedule'!CR63:DC63)-SUM('Draw Schedule'!CR60:DC60),0))</f>
        <v>0</v>
      </c>
      <c r="CR66" s="242">
        <f>IF(Assumptions!$L$43="Yes",IF(CR6=Assumptions!$F$40,SUM('Draw Schedule'!CS63:DD63)-SUM('Draw Schedule'!CS60:DD60)-SUM('Draw Schedule'!CS59:DD59)+'Draw Schedule'!CR65,0),IF(CR6=Assumptions!$F$40,SUM('Draw Schedule'!CS63:DD63)-SUM('Draw Schedule'!CS60:DD60),0))</f>
        <v>0</v>
      </c>
      <c r="CS66" s="242">
        <f>IF(Assumptions!$L$43="Yes",IF(CS6=Assumptions!$F$40,SUM('Draw Schedule'!CT63:DE63)-SUM('Draw Schedule'!CT60:DE60)-SUM('Draw Schedule'!CT59:DE59)+'Draw Schedule'!CS65,0),IF(CS6=Assumptions!$F$40,SUM('Draw Schedule'!CT63:DE63)-SUM('Draw Schedule'!CT60:DE60),0))</f>
        <v>0</v>
      </c>
      <c r="CT66" s="242">
        <f>IF(Assumptions!$L$43="Yes",IF(CT6=Assumptions!$F$40,SUM('Draw Schedule'!CU63:DF63)-SUM('Draw Schedule'!CU60:DF60)-SUM('Draw Schedule'!CU59:DF59)+'Draw Schedule'!CT65,0),IF(CT6=Assumptions!$F$40,SUM('Draw Schedule'!CU63:DF63)-SUM('Draw Schedule'!CU60:DF60),0))</f>
        <v>0</v>
      </c>
      <c r="CU66" s="242">
        <f>IF(Assumptions!$L$43="Yes",IF(CU6=Assumptions!$F$40,SUM('Draw Schedule'!CV63:DG63)-SUM('Draw Schedule'!CV60:DG60)-SUM('Draw Schedule'!CV59:DG59)+'Draw Schedule'!CU65,0),IF(CU6=Assumptions!$F$40,SUM('Draw Schedule'!CV63:DG63)-SUM('Draw Schedule'!CV60:DG60),0))</f>
        <v>0</v>
      </c>
      <c r="CV66" s="242">
        <f>IF(Assumptions!$L$43="Yes",IF(CV6=Assumptions!$F$40,SUM('Draw Schedule'!CW63:DH63)-SUM('Draw Schedule'!CW60:DH60)-SUM('Draw Schedule'!CW59:DH59)+'Draw Schedule'!CV65,0),IF(CV6=Assumptions!$F$40,SUM('Draw Schedule'!CW63:DH63)-SUM('Draw Schedule'!CW60:DH60),0))</f>
        <v>0</v>
      </c>
      <c r="CW66" s="242">
        <f>IF(Assumptions!$L$43="Yes",IF(CW6=Assumptions!$F$40,SUM('Draw Schedule'!CX63:DI63)-SUM('Draw Schedule'!CX60:DI60)-SUM('Draw Schedule'!CX59:DI59)+'Draw Schedule'!CW65,0),IF(CW6=Assumptions!$F$40,SUM('Draw Schedule'!CX63:DI63)-SUM('Draw Schedule'!CX60:DI60),0))</f>
        <v>0</v>
      </c>
      <c r="CX66" s="242">
        <f>IF(Assumptions!$L$43="Yes",IF(CX6=Assumptions!$F$40,SUM('Draw Schedule'!CY63:DJ63)-SUM('Draw Schedule'!CY60:DJ60)-SUM('Draw Schedule'!CY59:DJ59)+'Draw Schedule'!CX65,0),IF(CX6=Assumptions!$F$40,SUM('Draw Schedule'!CY63:DJ63)-SUM('Draw Schedule'!CY60:DJ60),0))</f>
        <v>0</v>
      </c>
      <c r="CY66" s="242">
        <f>IF(Assumptions!$L$43="Yes",IF(CY6=Assumptions!$F$40,SUM('Draw Schedule'!CZ63:DK63)-SUM('Draw Schedule'!CZ60:DK60)-SUM('Draw Schedule'!CZ59:DK59)+'Draw Schedule'!CY65,0),IF(CY6=Assumptions!$F$40,SUM('Draw Schedule'!CZ63:DK63)-SUM('Draw Schedule'!CZ60:DK60),0))</f>
        <v>0</v>
      </c>
      <c r="CZ66" s="242">
        <f>IF(Assumptions!$L$43="Yes",IF(CZ6=Assumptions!$F$40,SUM('Draw Schedule'!DA63:DL63)-SUM('Draw Schedule'!DA60:DL60)-SUM('Draw Schedule'!DA59:DL59)+'Draw Schedule'!CZ65,0),IF(CZ6=Assumptions!$F$40,SUM('Draw Schedule'!DA63:DL63)-SUM('Draw Schedule'!DA60:DL60),0))</f>
        <v>0</v>
      </c>
      <c r="DA66" s="242">
        <f>IF(Assumptions!$L$43="Yes",IF(DA6=Assumptions!$F$40,SUM('Draw Schedule'!DB63:DM63)-SUM('Draw Schedule'!DB60:DM60)-SUM('Draw Schedule'!DB59:DM59)+'Draw Schedule'!DA65,0),IF(DA6=Assumptions!$F$40,SUM('Draw Schedule'!DB63:DM63)-SUM('Draw Schedule'!DB60:DM60),0))</f>
        <v>0</v>
      </c>
      <c r="DB66" s="242">
        <f>IF(Assumptions!$L$43="Yes",IF(DB6=Assumptions!$F$40,SUM('Draw Schedule'!DC63:DN63)-SUM('Draw Schedule'!DC60:DN60)-SUM('Draw Schedule'!DC59:DN59)+'Draw Schedule'!DB65,0),IF(DB6=Assumptions!$F$40,SUM('Draw Schedule'!DC63:DN63)-SUM('Draw Schedule'!DC60:DN60),0))</f>
        <v>0</v>
      </c>
      <c r="DC66" s="242">
        <f>IF(Assumptions!$L$43="Yes",IF(DC6=Assumptions!$F$40,SUM('Draw Schedule'!DD63:DO63)-SUM('Draw Schedule'!DD60:DO60)-SUM('Draw Schedule'!DD59:DO59)+'Draw Schedule'!DC65,0),IF(DC6=Assumptions!$F$40,SUM('Draw Schedule'!DD63:DO63)-SUM('Draw Schedule'!DD60:DO60),0))</f>
        <v>0</v>
      </c>
      <c r="DD66" s="242">
        <f>IF(Assumptions!$L$43="Yes",IF(DD6=Assumptions!$F$40,SUM('Draw Schedule'!DE63:DP63)-SUM('Draw Schedule'!DE60:DP60)-SUM('Draw Schedule'!DE59:DP59)+'Draw Schedule'!DD65,0),IF(DD6=Assumptions!$F$40,SUM('Draw Schedule'!DE63:DP63)-SUM('Draw Schedule'!DE60:DP60),0))</f>
        <v>0</v>
      </c>
      <c r="DE66" s="242">
        <f>IF(Assumptions!$L$43="Yes",IF(DE6=Assumptions!$F$40,SUM('Draw Schedule'!DF63:DQ63)-SUM('Draw Schedule'!DF60:DQ60)-SUM('Draw Schedule'!DF59:DQ59)+'Draw Schedule'!DE65,0),IF(DE6=Assumptions!$F$40,SUM('Draw Schedule'!DF63:DQ63)-SUM('Draw Schedule'!DF60:DQ60),0))</f>
        <v>0</v>
      </c>
      <c r="DF66" s="242">
        <f>IF(Assumptions!$L$43="Yes",IF(DF6=Assumptions!$F$40,SUM('Draw Schedule'!DG63:DR63)-SUM('Draw Schedule'!DG60:DR60)-SUM('Draw Schedule'!DG59:DR59)+'Draw Schedule'!DF65,0),IF(DF6=Assumptions!$F$40,SUM('Draw Schedule'!DG63:DR63)-SUM('Draw Schedule'!DG60:DR60),0))</f>
        <v>0</v>
      </c>
      <c r="DG66" s="242">
        <f>IF(Assumptions!$L$43="Yes",IF(DG6=Assumptions!$F$40,SUM('Draw Schedule'!DH63:DS63)-SUM('Draw Schedule'!DH60:DS60)-SUM('Draw Schedule'!DH59:DS59)+'Draw Schedule'!DG65,0),IF(DG6=Assumptions!$F$40,SUM('Draw Schedule'!DH63:DS63)-SUM('Draw Schedule'!DH60:DS60),0))</f>
        <v>0</v>
      </c>
      <c r="DH66" s="242">
        <f>IF(Assumptions!$L$43="Yes",IF(DH6=Assumptions!$F$40,SUM('Draw Schedule'!DI63:DT63)-SUM('Draw Schedule'!DI60:DT60)-SUM('Draw Schedule'!DI59:DT59)+'Draw Schedule'!DH65,0),IF(DH6=Assumptions!$F$40,SUM('Draw Schedule'!DI63:DT63)-SUM('Draw Schedule'!DI60:DT60),0))</f>
        <v>0</v>
      </c>
      <c r="DI66" s="242">
        <f>IF(Assumptions!$L$43="Yes",IF(DI6=Assumptions!$F$40,SUM('Draw Schedule'!DJ63:DU63)-SUM('Draw Schedule'!DJ60:DU60)-SUM('Draw Schedule'!DJ59:DU59)+'Draw Schedule'!DI65,0),IF(DI6=Assumptions!$F$40,SUM('Draw Schedule'!DJ63:DU63)-SUM('Draw Schedule'!DJ60:DU60),0))</f>
        <v>0</v>
      </c>
      <c r="DJ66" s="242">
        <f>IF(Assumptions!$L$43="Yes",IF(DJ6=Assumptions!$F$40,SUM('Draw Schedule'!DK63:DV63)-SUM('Draw Schedule'!DK60:DV60)-SUM('Draw Schedule'!DK59:DV59)+'Draw Schedule'!DJ65,0),IF(DJ6=Assumptions!$F$40,SUM('Draw Schedule'!DK63:DV63)-SUM('Draw Schedule'!DK60:DV60),0))</f>
        <v>0</v>
      </c>
      <c r="DK66" s="242">
        <f>IF(Assumptions!$L$43="Yes",IF(DK6=Assumptions!$F$40,SUM('Draw Schedule'!DL63:DW63)-SUM('Draw Schedule'!DL60:DW60)-SUM('Draw Schedule'!DL59:DW59)+'Draw Schedule'!DK65,0),IF(DK6=Assumptions!$F$40,SUM('Draw Schedule'!DL63:DW63)-SUM('Draw Schedule'!DL60:DW60),0))</f>
        <v>0</v>
      </c>
      <c r="DL66" s="242">
        <f>IF(Assumptions!$L$43="Yes",IF(DL6=Assumptions!$F$40,SUM('Draw Schedule'!DM63:DX63)-SUM('Draw Schedule'!DM60:DX60)-SUM('Draw Schedule'!DM59:DX59)+'Draw Schedule'!DL65,0),IF(DL6=Assumptions!$F$40,SUM('Draw Schedule'!DM63:DX63)-SUM('Draw Schedule'!DM60:DX60),0))</f>
        <v>0</v>
      </c>
      <c r="DM66" s="242">
        <f>IF(Assumptions!$L$43="Yes",IF(DM6=Assumptions!$F$40,SUM('Draw Schedule'!DN63:DY63)-SUM('Draw Schedule'!DN60:DY60)-SUM('Draw Schedule'!DN59:DY59)+'Draw Schedule'!DM65,0),IF(DM6=Assumptions!$F$40,SUM('Draw Schedule'!DN63:DY63)-SUM('Draw Schedule'!DN60:DY60),0))</f>
        <v>0</v>
      </c>
      <c r="DN66" s="242">
        <f>IF(Assumptions!$L$43="Yes",IF(DN6=Assumptions!$F$40,SUM('Draw Schedule'!DO63:DZ63)-SUM('Draw Schedule'!DO60:DZ60)-SUM('Draw Schedule'!DO59:DZ59)+'Draw Schedule'!DN65,0),IF(DN6=Assumptions!$F$40,SUM('Draw Schedule'!DO63:DZ63)-SUM('Draw Schedule'!DO60:DZ60),0))</f>
        <v>0</v>
      </c>
      <c r="DO66" s="242">
        <f>IF(Assumptions!$L$43="Yes",IF(DO6=Assumptions!$F$40,SUM('Draw Schedule'!DP63:EA63)-SUM('Draw Schedule'!DP60:EA60)-SUM('Draw Schedule'!DP59:EA59)+'Draw Schedule'!DO65,0),IF(DO6=Assumptions!$F$40,SUM('Draw Schedule'!DP63:EA63)-SUM('Draw Schedule'!DP60:EA60),0))</f>
        <v>0</v>
      </c>
      <c r="DP66" s="242">
        <f>IF(Assumptions!$L$43="Yes",IF(DP6=Assumptions!$F$40,SUM('Draw Schedule'!DQ63:EB63)-SUM('Draw Schedule'!DQ60:EB60)-SUM('Draw Schedule'!DQ59:EB59)+'Draw Schedule'!DP65,0),IF(DP6=Assumptions!$F$40,SUM('Draw Schedule'!DQ63:EB63)-SUM('Draw Schedule'!DQ60:EB60),0))</f>
        <v>0</v>
      </c>
      <c r="DQ66" s="242">
        <f>IF(Assumptions!$L$43="Yes",IF(DQ6=Assumptions!$F$40,SUM('Draw Schedule'!DR63:EC63)-SUM('Draw Schedule'!DR60:EC60)-SUM('Draw Schedule'!DR59:EC59)+'Draw Schedule'!DQ65,0),IF(DQ6=Assumptions!$F$40,SUM('Draw Schedule'!DR63:EC63)-SUM('Draw Schedule'!DR60:EC60),0))</f>
        <v>0</v>
      </c>
      <c r="DR66" s="242">
        <f>IF(Assumptions!$L$43="Yes",IF(DR6=Assumptions!$F$40,SUM('Draw Schedule'!DS63:ED63)-SUM('Draw Schedule'!DS60:ED60)-SUM('Draw Schedule'!DS59:ED59)+'Draw Schedule'!DR65,0),IF(DR6=Assumptions!$F$40,SUM('Draw Schedule'!DS63:ED63)-SUM('Draw Schedule'!DS60:ED60),0))</f>
        <v>0</v>
      </c>
      <c r="DS66" s="242">
        <f>IF(Assumptions!$L$43="Yes",IF(DS6=Assumptions!$F$40,SUM('Draw Schedule'!DT63:EE63)-SUM('Draw Schedule'!DT60:EE60)-SUM('Draw Schedule'!DT59:EE59)+'Draw Schedule'!DS65,0),IF(DS6=Assumptions!$F$40,SUM('Draw Schedule'!DT63:EE63)-SUM('Draw Schedule'!DT60:EE60),0))</f>
        <v>0</v>
      </c>
      <c r="DT66" s="242">
        <f>IF(Assumptions!$L$43="Yes",IF(DT6=Assumptions!$F$40,SUM('Draw Schedule'!DU63:EF63)-SUM('Draw Schedule'!DU60:EF60)-SUM('Draw Schedule'!DU59:EF59)+'Draw Schedule'!DT65,0),IF(DT6=Assumptions!$F$40,SUM('Draw Schedule'!DU63:EF63)-SUM('Draw Schedule'!DU60:EF60),0))</f>
        <v>0</v>
      </c>
      <c r="DU66" s="242">
        <f>IF(Assumptions!$L$43="Yes",IF(DU6=Assumptions!$F$40,SUM('Draw Schedule'!DV63:EG63)-SUM('Draw Schedule'!DV60:EG60)-SUM('Draw Schedule'!DV59:EG59)+'Draw Schedule'!DU65,0),IF(DU6=Assumptions!$F$40,SUM('Draw Schedule'!DV63:EG63)-SUM('Draw Schedule'!DV60:EG60),0))</f>
        <v>0</v>
      </c>
      <c r="DV66" s="242">
        <f>IF(Assumptions!$L$43="Yes",IF(DV6=Assumptions!$F$40,SUM('Draw Schedule'!DW63:EH63)-SUM('Draw Schedule'!DW60:EH60)-SUM('Draw Schedule'!DW59:EH59)+'Draw Schedule'!DV65,0),IF(DV6=Assumptions!$F$40,SUM('Draw Schedule'!DW63:EH63)-SUM('Draw Schedule'!DW60:EH60),0))</f>
        <v>0</v>
      </c>
      <c r="DW66" s="242">
        <f>IF(Assumptions!$L$43="Yes",IF(DW6=Assumptions!$F$40,SUM('Draw Schedule'!DX63:EI63)-SUM('Draw Schedule'!DX60:EI60)-SUM('Draw Schedule'!DX59:EI59)+'Draw Schedule'!DW65,0),IF(DW6=Assumptions!$F$40,SUM('Draw Schedule'!DX63:EI63)-SUM('Draw Schedule'!DX60:EI60),0))</f>
        <v>0</v>
      </c>
      <c r="DX66" s="242">
        <f>IF(Assumptions!$L$43="Yes",IF(DX6=Assumptions!$F$40,SUM('Draw Schedule'!DY63:EJ63)-SUM('Draw Schedule'!DY60:EJ60)-SUM('Draw Schedule'!DY59:EJ59)+'Draw Schedule'!DX65,0),IF(DX6=Assumptions!$F$40,SUM('Draw Schedule'!DY63:EJ63)-SUM('Draw Schedule'!DY60:EJ60),0))</f>
        <v>0</v>
      </c>
      <c r="DY66" s="242">
        <f>IF(Assumptions!$L$43="Yes",IF(DY6=Assumptions!$F$40,SUM('Draw Schedule'!DZ63:EK63)-SUM('Draw Schedule'!DZ60:EK60)-SUM('Draw Schedule'!DZ59:EK59)+'Draw Schedule'!DY65,0),IF(DY6=Assumptions!$F$40,SUM('Draw Schedule'!DZ63:EK63)-SUM('Draw Schedule'!DZ60:EK60),0))</f>
        <v>0</v>
      </c>
      <c r="DZ66" s="242">
        <f>IF(Assumptions!$L$43="Yes",IF(DZ6=Assumptions!$F$40,SUM('Draw Schedule'!EA63:EL63)-SUM('Draw Schedule'!EA60:EL60)-SUM('Draw Schedule'!EA59:EL59)+'Draw Schedule'!DZ65,0),IF(DZ6=Assumptions!$F$40,SUM('Draw Schedule'!EA63:EL63)-SUM('Draw Schedule'!EA60:EL60),0))</f>
        <v>0</v>
      </c>
      <c r="EA66" s="242">
        <f>IF(Assumptions!$L$43="Yes",IF(EA6=Assumptions!$F$40,SUM('Draw Schedule'!EB63:EM63)-SUM('Draw Schedule'!EB60:EM60)-SUM('Draw Schedule'!EB59:EM59)+'Draw Schedule'!EA65,0),IF(EA6=Assumptions!$F$40,SUM('Draw Schedule'!EB63:EM63)-SUM('Draw Schedule'!EB60:EM60),0))</f>
        <v>0</v>
      </c>
      <c r="EB66" s="242">
        <f>IF(Assumptions!$L$43="Yes",IF(EB6=Assumptions!$F$40,SUM('Draw Schedule'!EC63:EN63)-SUM('Draw Schedule'!EC60:EN60)-SUM('Draw Schedule'!EC59:EN59)+'Draw Schedule'!EB65,0),IF(EB6=Assumptions!$F$40,SUM('Draw Schedule'!EC63:EN63)-SUM('Draw Schedule'!EC60:EN60),0))</f>
        <v>0</v>
      </c>
      <c r="EC66" s="242">
        <f>IF(Assumptions!$L$43="Yes",IF(EC6=Assumptions!$F$40,SUM('Draw Schedule'!ED63:EO63)-SUM('Draw Schedule'!ED60:EO60)-SUM('Draw Schedule'!ED59:EO59)+'Draw Schedule'!EC65,0),IF(EC6=Assumptions!$F$40,SUM('Draw Schedule'!ED63:EO63)-SUM('Draw Schedule'!ED60:EO60),0))</f>
        <v>0</v>
      </c>
      <c r="ED66" s="242">
        <f>IF(Assumptions!$L$43="Yes",IF(ED6=Assumptions!$F$40,SUM('Draw Schedule'!EE63:EP63)-SUM('Draw Schedule'!EE60:EP60)-SUM('Draw Schedule'!EE59:EP59)+'Draw Schedule'!ED65,0),IF(ED6=Assumptions!$F$40,SUM('Draw Schedule'!EE63:EP63)-SUM('Draw Schedule'!EE60:EP60),0))</f>
        <v>0</v>
      </c>
      <c r="EE66" s="242">
        <f>IF(Assumptions!$L$43="Yes",IF(EE6=Assumptions!$F$40,SUM('Draw Schedule'!EF63:EQ63)-SUM('Draw Schedule'!EF60:EQ60)-SUM('Draw Schedule'!EF59:EQ59)+'Draw Schedule'!EE65,0),IF(EE6=Assumptions!$F$40,SUM('Draw Schedule'!EF63:EQ63)-SUM('Draw Schedule'!EF60:EQ60),0))</f>
        <v>0</v>
      </c>
      <c r="EF66" s="242">
        <f>IF(Assumptions!$L$43="Yes",IF(EF6=Assumptions!$F$40,SUM('Draw Schedule'!EG63:ER63)-SUM('Draw Schedule'!EG60:ER60)-SUM('Draw Schedule'!EG59:ER59)+'Draw Schedule'!EF65,0),IF(EF6=Assumptions!$F$40,SUM('Draw Schedule'!EG63:ER63)-SUM('Draw Schedule'!EG60:ER60),0))</f>
        <v>0</v>
      </c>
      <c r="EG66" s="242">
        <f>IF(Assumptions!$L$43="Yes",IF(EG6=Assumptions!$F$40,SUM('Draw Schedule'!EH63:ES63)-SUM('Draw Schedule'!EH60:ES60)-SUM('Draw Schedule'!EH59:ES59)+'Draw Schedule'!EG65,0),IF(EG6=Assumptions!$F$40,SUM('Draw Schedule'!EH63:ES63)-SUM('Draw Schedule'!EH60:ES60),0))</f>
        <v>0</v>
      </c>
      <c r="EH66" s="242">
        <f>IF(Assumptions!$L$43="Yes",IF(EH6=Assumptions!$F$40,SUM('Draw Schedule'!EI63:ET63)-SUM('Draw Schedule'!EI60:ET60)-SUM('Draw Schedule'!EI59:ET59)+'Draw Schedule'!EH65,0),IF(EH6=Assumptions!$F$40,SUM('Draw Schedule'!EI63:ET63)-SUM('Draw Schedule'!EI60:ET60),0))</f>
        <v>0</v>
      </c>
      <c r="EI66" s="242">
        <f>IF(Assumptions!$L$43="Yes",IF(EI6=Assumptions!$F$40,SUM('Draw Schedule'!EJ63:EU63)-SUM('Draw Schedule'!EJ60:EU60)-SUM('Draw Schedule'!EJ59:EU59)+'Draw Schedule'!EI65,0),IF(EI6=Assumptions!$F$40,SUM('Draw Schedule'!EJ63:EU63)-SUM('Draw Schedule'!EJ60:EU60),0))</f>
        <v>0</v>
      </c>
      <c r="EJ66" s="242">
        <f>IF(Assumptions!$L$43="Yes",IF(EJ6=Assumptions!$F$40,SUM('Draw Schedule'!EK63:EV63)-SUM('Draw Schedule'!EK60:EV60)-SUM('Draw Schedule'!EK59:EV59)+'Draw Schedule'!EJ65,0),IF(EJ6=Assumptions!$F$40,SUM('Draw Schedule'!EK63:EV63)-SUM('Draw Schedule'!EK60:EV60),0))</f>
        <v>0</v>
      </c>
      <c r="EK66" s="242">
        <f>IF(Assumptions!$L$43="Yes",IF(EK6=Assumptions!$F$40,SUM('Draw Schedule'!EL63:EW63)-SUM('Draw Schedule'!EL60:EW60)-SUM('Draw Schedule'!EL59:EW59)+'Draw Schedule'!EK65,0),IF(EK6=Assumptions!$F$40,SUM('Draw Schedule'!EL63:EW63)-SUM('Draw Schedule'!EL60:EW60),0))</f>
        <v>0</v>
      </c>
      <c r="EL66" s="242">
        <f>IF(Assumptions!$L$43="Yes",IF(EL6=Assumptions!$F$40,SUM('Draw Schedule'!EM63:EX63)-SUM('Draw Schedule'!EM60:EX60)-SUM('Draw Schedule'!EM59:EX59)+'Draw Schedule'!EL65,0),IF(EL6=Assumptions!$F$40,SUM('Draw Schedule'!EM63:EX63)-SUM('Draw Schedule'!EM60:EX60),0))</f>
        <v>0</v>
      </c>
      <c r="EM66" s="242">
        <f>IF(Assumptions!$L$43="Yes",IF(EM6=Assumptions!$F$40,SUM('Draw Schedule'!EN63:EY63)-SUM('Draw Schedule'!EN60:EY60)-SUM('Draw Schedule'!EN59:EY59)+'Draw Schedule'!EM65,0),IF(EM6=Assumptions!$F$40,SUM('Draw Schedule'!EN63:EY63)-SUM('Draw Schedule'!EN60:EY60),0))</f>
        <v>0</v>
      </c>
      <c r="EN66" s="242">
        <f>IF(Assumptions!$L$43="Yes",IF(EN6=Assumptions!$F$40,SUM('Draw Schedule'!EO63:EZ63)-SUM('Draw Schedule'!EO60:EZ60)-SUM('Draw Schedule'!EO59:EZ59)+'Draw Schedule'!EN65,0),IF(EN6=Assumptions!$F$40,SUM('Draw Schedule'!EO63:EZ63)-SUM('Draw Schedule'!EO60:EZ60),0))</f>
        <v>0</v>
      </c>
      <c r="EO66" s="242">
        <f>IF(Assumptions!$L$43="Yes",IF(EO6=Assumptions!$F$40,SUM('Draw Schedule'!EP63:FA63)-SUM('Draw Schedule'!EP60:FA60)-SUM('Draw Schedule'!EP59:FA59)+'Draw Schedule'!EO65,0),IF(EO6=Assumptions!$F$40,SUM('Draw Schedule'!EP63:FA63)-SUM('Draw Schedule'!EP60:FA60),0))</f>
        <v>0</v>
      </c>
      <c r="EP66" s="242">
        <f>IF(Assumptions!$L$43="Yes",IF(EP6=Assumptions!$F$40,SUM('Draw Schedule'!EQ63:FB63)-SUM('Draw Schedule'!EQ60:FB60)-SUM('Draw Schedule'!EQ59:FB59)+'Draw Schedule'!EP65,0),IF(EP6=Assumptions!$F$40,SUM('Draw Schedule'!EQ63:FB63)-SUM('Draw Schedule'!EQ60:FB60),0))</f>
        <v>0</v>
      </c>
      <c r="EQ66" s="242">
        <f>IF(Assumptions!$L$43="Yes",IF(EQ6=Assumptions!$F$40,SUM('Draw Schedule'!ER63:FC63)-SUM('Draw Schedule'!ER60:FC60)-SUM('Draw Schedule'!ER59:FC59)+'Draw Schedule'!EQ65,0),IF(EQ6=Assumptions!$F$40,SUM('Draw Schedule'!ER63:FC63)-SUM('Draw Schedule'!ER60:FC60),0))</f>
        <v>0</v>
      </c>
      <c r="ER66" s="242">
        <f>IF(Assumptions!$L$43="Yes",IF(ER6=Assumptions!$F$40,SUM('Draw Schedule'!ES63:FD63)-SUM('Draw Schedule'!ES60:FD60)-SUM('Draw Schedule'!ES59:FD59)+'Draw Schedule'!ER65,0),IF(ER6=Assumptions!$F$40,SUM('Draw Schedule'!ES63:FD63)-SUM('Draw Schedule'!ES60:FD60),0))</f>
        <v>0</v>
      </c>
      <c r="ES66" s="242">
        <f>IF(Assumptions!$L$43="Yes",IF(ES6=Assumptions!$F$40,SUM('Draw Schedule'!ET63:FE63)-SUM('Draw Schedule'!ET60:FE60)-SUM('Draw Schedule'!ET59:FE59)+'Draw Schedule'!ES65,0),IF(ES6=Assumptions!$F$40,SUM('Draw Schedule'!ET63:FE63)-SUM('Draw Schedule'!ET60:FE60),0))</f>
        <v>0</v>
      </c>
      <c r="ET66" s="242">
        <f>IF(Assumptions!$L$43="Yes",IF(ET6=Assumptions!$F$40,SUM('Draw Schedule'!EU63:FF63)-SUM('Draw Schedule'!EU60:FF60)-SUM('Draw Schedule'!EU59:FF59)+'Draw Schedule'!ET65,0),IF(ET6=Assumptions!$F$40,SUM('Draw Schedule'!EU63:FF63)-SUM('Draw Schedule'!EU60:FF60),0))</f>
        <v>0</v>
      </c>
    </row>
    <row r="67" spans="2:150" x14ac:dyDescent="0.2"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</row>
    <row r="68" spans="2:150" x14ac:dyDescent="0.2">
      <c r="B68" t="s">
        <v>157</v>
      </c>
      <c r="F68" s="242">
        <f>F40*Assumptions!$F$16</f>
        <v>0</v>
      </c>
      <c r="G68" s="242">
        <f>G40*Assumptions!$F$16</f>
        <v>0</v>
      </c>
      <c r="H68" s="242">
        <f>H40*Assumptions!$F$16</f>
        <v>0</v>
      </c>
      <c r="I68" s="242">
        <f>I40*Assumptions!$F$16</f>
        <v>0</v>
      </c>
      <c r="J68" s="242">
        <f>J40*Assumptions!$F$16</f>
        <v>0</v>
      </c>
      <c r="K68" s="242">
        <f>K40*Assumptions!$F$16</f>
        <v>0</v>
      </c>
      <c r="L68" s="242">
        <f>L40*Assumptions!$F$16</f>
        <v>0</v>
      </c>
      <c r="M68" s="242">
        <f>M40*Assumptions!$F$16</f>
        <v>0</v>
      </c>
      <c r="N68" s="242">
        <f>N40*Assumptions!$F$16</f>
        <v>0</v>
      </c>
      <c r="O68" s="242">
        <f>O40*Assumptions!$F$16</f>
        <v>0</v>
      </c>
      <c r="P68" s="242">
        <f>P40*Assumptions!$F$16</f>
        <v>0</v>
      </c>
      <c r="Q68" s="242">
        <f>Q40*Assumptions!$F$16</f>
        <v>0</v>
      </c>
      <c r="R68" s="242">
        <f>R40*Assumptions!$F$16</f>
        <v>0</v>
      </c>
      <c r="S68" s="242">
        <f>S40*Assumptions!$F$16</f>
        <v>0</v>
      </c>
      <c r="T68" s="242">
        <f>T40*Assumptions!$F$16</f>
        <v>0</v>
      </c>
      <c r="U68" s="242">
        <f>U40*Assumptions!$F$16</f>
        <v>0</v>
      </c>
      <c r="V68" s="242">
        <f>V40*Assumptions!$F$16</f>
        <v>0</v>
      </c>
      <c r="W68" s="242">
        <f>W40*Assumptions!$F$16</f>
        <v>0</v>
      </c>
      <c r="X68" s="242">
        <f>X40*Assumptions!$F$16</f>
        <v>0</v>
      </c>
      <c r="Y68" s="242">
        <f>Y40*Assumptions!$F$16</f>
        <v>0</v>
      </c>
      <c r="Z68" s="242">
        <f>Z40*Assumptions!$F$16</f>
        <v>0</v>
      </c>
      <c r="AA68" s="242">
        <f>AA40*Assumptions!$F$16</f>
        <v>0</v>
      </c>
      <c r="AB68" s="242">
        <f>AB40*Assumptions!$F$16</f>
        <v>0</v>
      </c>
      <c r="AC68" s="242">
        <f>AC40*Assumptions!$F$16</f>
        <v>0</v>
      </c>
      <c r="AD68" s="242">
        <f>AD40*Assumptions!$F$16</f>
        <v>0</v>
      </c>
      <c r="AE68" s="242">
        <f>AE40*Assumptions!$F$16</f>
        <v>0</v>
      </c>
      <c r="AF68" s="242">
        <f>AF40*Assumptions!$F$16</f>
        <v>0</v>
      </c>
      <c r="AG68" s="242">
        <f>AG40*Assumptions!$F$16</f>
        <v>0</v>
      </c>
      <c r="AH68" s="242">
        <f>AH40*Assumptions!$F$16</f>
        <v>0</v>
      </c>
      <c r="AI68" s="242">
        <f>AI40*Assumptions!$F$16</f>
        <v>0</v>
      </c>
      <c r="AJ68" s="242">
        <f>AJ40*Assumptions!$F$16</f>
        <v>0</v>
      </c>
      <c r="AK68" s="242">
        <f>AK40*Assumptions!$F$16</f>
        <v>0</v>
      </c>
      <c r="AL68" s="242">
        <f>AL40*Assumptions!$F$16</f>
        <v>0</v>
      </c>
      <c r="AM68" s="242">
        <f>AM40*Assumptions!$F$16</f>
        <v>0</v>
      </c>
      <c r="AN68" s="242">
        <f>AN40*Assumptions!$F$16</f>
        <v>0</v>
      </c>
      <c r="AO68" s="242">
        <f>AO40*Assumptions!$F$16</f>
        <v>11880</v>
      </c>
      <c r="AP68" s="242">
        <f>AP40*Assumptions!$F$16</f>
        <v>11880</v>
      </c>
      <c r="AQ68" s="242">
        <f>AQ40*Assumptions!$F$16</f>
        <v>11880</v>
      </c>
      <c r="AR68" s="242">
        <f>AR40*Assumptions!$F$16</f>
        <v>11880</v>
      </c>
      <c r="AS68" s="242">
        <f>AS40*Assumptions!$F$16</f>
        <v>11880</v>
      </c>
      <c r="AT68" s="242">
        <f>AT40*Assumptions!$F$16</f>
        <v>11880</v>
      </c>
      <c r="AU68" s="242">
        <f>AU40*Assumptions!$F$16</f>
        <v>11880</v>
      </c>
      <c r="AV68" s="242">
        <f>AV40*Assumptions!$F$16</f>
        <v>11880</v>
      </c>
      <c r="AW68" s="242">
        <f>AW40*Assumptions!$F$16</f>
        <v>11880</v>
      </c>
      <c r="AX68" s="242">
        <f>AX40*Assumptions!$F$16</f>
        <v>11880</v>
      </c>
      <c r="AY68" s="242">
        <f>AY40*Assumptions!$F$16</f>
        <v>11880</v>
      </c>
      <c r="AZ68" s="242">
        <f>AZ40*Assumptions!$F$16</f>
        <v>11880</v>
      </c>
      <c r="BA68" s="242">
        <f>BA40*Assumptions!$F$16</f>
        <v>12236.400000000001</v>
      </c>
      <c r="BB68" s="242">
        <f>BB40*Assumptions!$F$16</f>
        <v>12236.400000000001</v>
      </c>
      <c r="BC68" s="242">
        <f>BC40*Assumptions!$F$16</f>
        <v>12236.400000000001</v>
      </c>
      <c r="BD68" s="242">
        <f>BD40*Assumptions!$F$16</f>
        <v>12236.400000000001</v>
      </c>
      <c r="BE68" s="242">
        <f>BE40*Assumptions!$F$16</f>
        <v>12236.400000000001</v>
      </c>
      <c r="BF68" s="242">
        <f>BF40*Assumptions!$F$16</f>
        <v>12236.400000000001</v>
      </c>
      <c r="BG68" s="242">
        <f>BG40*Assumptions!$F$16</f>
        <v>12236.400000000001</v>
      </c>
      <c r="BH68" s="242">
        <f>BH40*Assumptions!$F$16</f>
        <v>12236.400000000001</v>
      </c>
      <c r="BI68" s="242">
        <f>BI40*Assumptions!$F$16</f>
        <v>12236.400000000001</v>
      </c>
      <c r="BJ68" s="242">
        <f>BJ40*Assumptions!$F$16</f>
        <v>12236.400000000001</v>
      </c>
      <c r="BK68" s="242">
        <f>BK40*Assumptions!$F$16</f>
        <v>12236.400000000001</v>
      </c>
      <c r="BL68" s="242">
        <f>BL40*Assumptions!$F$16</f>
        <v>12236.400000000001</v>
      </c>
      <c r="BM68" s="242">
        <f>BM40*Assumptions!$F$16</f>
        <v>12603.492</v>
      </c>
      <c r="BN68" s="242">
        <f>BN40*Assumptions!$F$16</f>
        <v>12603.492</v>
      </c>
      <c r="BO68" s="242">
        <f>BO40*Assumptions!$F$16</f>
        <v>12603.492</v>
      </c>
      <c r="BP68" s="242">
        <f>BP40*Assumptions!$F$16</f>
        <v>12603.492</v>
      </c>
      <c r="BQ68" s="242">
        <f>BQ40*Assumptions!$F$16</f>
        <v>12603.492</v>
      </c>
      <c r="BR68" s="242">
        <f>BR40*Assumptions!$F$16</f>
        <v>12603.492</v>
      </c>
      <c r="BS68" s="242">
        <f>BS40*Assumptions!$F$16</f>
        <v>12603.492</v>
      </c>
      <c r="BT68" s="242">
        <f>BT40*Assumptions!$F$16</f>
        <v>12603.492</v>
      </c>
      <c r="BU68" s="242">
        <f>BU40*Assumptions!$F$16</f>
        <v>12603.492</v>
      </c>
      <c r="BV68" s="242">
        <f>BV40*Assumptions!$F$16</f>
        <v>12603.492</v>
      </c>
      <c r="BW68" s="242">
        <f>BW40*Assumptions!$F$16</f>
        <v>12603.492</v>
      </c>
      <c r="BX68" s="242">
        <f>BX40*Assumptions!$F$16</f>
        <v>12603.492</v>
      </c>
      <c r="BY68" s="242">
        <f>BY40*Assumptions!$F$16</f>
        <v>12981.59676</v>
      </c>
      <c r="BZ68" s="242">
        <f>BZ40*Assumptions!$F$16</f>
        <v>12981.59676</v>
      </c>
      <c r="CA68" s="242">
        <f>CA40*Assumptions!$F$16</f>
        <v>12981.59676</v>
      </c>
      <c r="CB68" s="242">
        <f>CB40*Assumptions!$F$16</f>
        <v>12981.59676</v>
      </c>
      <c r="CC68" s="242">
        <f>CC40*Assumptions!$F$16</f>
        <v>12981.59676</v>
      </c>
      <c r="CD68" s="242">
        <f>CD40*Assumptions!$F$16</f>
        <v>12981.59676</v>
      </c>
      <c r="CE68" s="242">
        <f>CE40*Assumptions!$F$16</f>
        <v>12981.59676</v>
      </c>
      <c r="CF68" s="242">
        <f>CF40*Assumptions!$F$16</f>
        <v>12981.59676</v>
      </c>
      <c r="CG68" s="242">
        <f>CG40*Assumptions!$F$16</f>
        <v>12981.59676</v>
      </c>
      <c r="CH68" s="242">
        <f>CH40*Assumptions!$F$16</f>
        <v>12981.59676</v>
      </c>
      <c r="CI68" s="242">
        <f>CI40*Assumptions!$F$16</f>
        <v>12981.59676</v>
      </c>
      <c r="CJ68" s="242">
        <f>CJ40*Assumptions!$F$16</f>
        <v>12981.59676</v>
      </c>
      <c r="CK68" s="242">
        <f>CK40*Assumptions!$F$16</f>
        <v>13371.044662799999</v>
      </c>
      <c r="CL68" s="242">
        <f>CL40*Assumptions!$F$16</f>
        <v>13371.044662799999</v>
      </c>
      <c r="CM68" s="242">
        <f>CM40*Assumptions!$F$16</f>
        <v>13371.044662799999</v>
      </c>
      <c r="CN68" s="242">
        <f>CN40*Assumptions!$F$16</f>
        <v>13371.044662799999</v>
      </c>
      <c r="CO68" s="242">
        <f>CO40*Assumptions!$F$16</f>
        <v>13371.044662799999</v>
      </c>
      <c r="CP68" s="242">
        <f>CP40*Assumptions!$F$16</f>
        <v>13371.044662799999</v>
      </c>
      <c r="CQ68" s="242">
        <f>CQ40*Assumptions!$F$16</f>
        <v>13371.044662799999</v>
      </c>
      <c r="CR68" s="242">
        <f>CR40*Assumptions!$F$16</f>
        <v>13371.044662799999</v>
      </c>
      <c r="CS68" s="242">
        <f>CS40*Assumptions!$F$16</f>
        <v>13371.044662799999</v>
      </c>
      <c r="CT68" s="242">
        <f>CT40*Assumptions!$F$16</f>
        <v>13371.044662799999</v>
      </c>
      <c r="CU68" s="242">
        <f>CU40*Assumptions!$F$16</f>
        <v>13371.044662799999</v>
      </c>
      <c r="CV68" s="242">
        <f>CV40*Assumptions!$F$16</f>
        <v>13371.044662799999</v>
      </c>
      <c r="CW68" s="242">
        <f>CW40*Assumptions!$F$16</f>
        <v>13772.176002683998</v>
      </c>
      <c r="CX68" s="242">
        <f>CX40*Assumptions!$F$16</f>
        <v>13772.176002683998</v>
      </c>
      <c r="CY68" s="242">
        <f>CY40*Assumptions!$F$16</f>
        <v>13772.176002683998</v>
      </c>
      <c r="CZ68" s="242">
        <f>CZ40*Assumptions!$F$16</f>
        <v>13772.176002683998</v>
      </c>
      <c r="DA68" s="242">
        <f>DA40*Assumptions!$F$16</f>
        <v>13772.176002683998</v>
      </c>
      <c r="DB68" s="242">
        <f>DB40*Assumptions!$F$16</f>
        <v>13772.176002683998</v>
      </c>
      <c r="DC68" s="242">
        <f>DC40*Assumptions!$F$16</f>
        <v>13772.176002683998</v>
      </c>
      <c r="DD68" s="242">
        <f>DD40*Assumptions!$F$16</f>
        <v>13772.176002683998</v>
      </c>
      <c r="DE68" s="242">
        <f>DE40*Assumptions!$F$16</f>
        <v>13772.176002683998</v>
      </c>
      <c r="DF68" s="242">
        <f>DF40*Assumptions!$F$16</f>
        <v>13772.176002683998</v>
      </c>
      <c r="DG68" s="242">
        <f>DG40*Assumptions!$F$16</f>
        <v>13772.176002683998</v>
      </c>
      <c r="DH68" s="242">
        <f>DH40*Assumptions!$F$16</f>
        <v>13772.176002683998</v>
      </c>
      <c r="DI68" s="242">
        <f>DI40*Assumptions!$F$16</f>
        <v>14185.341282764521</v>
      </c>
      <c r="DJ68" s="242">
        <f>DJ40*Assumptions!$F$16</f>
        <v>14185.341282764521</v>
      </c>
      <c r="DK68" s="242">
        <f>DK40*Assumptions!$F$16</f>
        <v>14185.341282764521</v>
      </c>
      <c r="DL68" s="242">
        <f>DL40*Assumptions!$F$16</f>
        <v>14185.341282764521</v>
      </c>
      <c r="DM68" s="242">
        <f>DM40*Assumptions!$F$16</f>
        <v>14185.341282764521</v>
      </c>
      <c r="DN68" s="242">
        <f>DN40*Assumptions!$F$16</f>
        <v>14185.341282764521</v>
      </c>
      <c r="DO68" s="242">
        <f>DO40*Assumptions!$F$16</f>
        <v>14185.341282764521</v>
      </c>
      <c r="DP68" s="242">
        <f>DP40*Assumptions!$F$16</f>
        <v>14185.341282764521</v>
      </c>
      <c r="DQ68" s="242">
        <f>DQ40*Assumptions!$F$16</f>
        <v>14185.341282764521</v>
      </c>
      <c r="DR68" s="242">
        <f>DR40*Assumptions!$F$16</f>
        <v>14185.341282764521</v>
      </c>
      <c r="DS68" s="242">
        <f>DS40*Assumptions!$F$16</f>
        <v>14185.341282764521</v>
      </c>
      <c r="DT68" s="242">
        <f>DT40*Assumptions!$F$16</f>
        <v>14185.341282764521</v>
      </c>
      <c r="DU68" s="242">
        <f>DU40*Assumptions!$F$16</f>
        <v>14610.901521247457</v>
      </c>
      <c r="DV68" s="242">
        <f>DV40*Assumptions!$F$16</f>
        <v>14610.901521247457</v>
      </c>
      <c r="DW68" s="242">
        <f>DW40*Assumptions!$F$16</f>
        <v>14610.901521247457</v>
      </c>
      <c r="DX68" s="242">
        <f>DX40*Assumptions!$F$16</f>
        <v>14610.901521247457</v>
      </c>
      <c r="DY68" s="242">
        <f>DY40*Assumptions!$F$16</f>
        <v>14610.901521247457</v>
      </c>
      <c r="DZ68" s="242">
        <f>DZ40*Assumptions!$F$16</f>
        <v>14610.901521247457</v>
      </c>
      <c r="EA68" s="242">
        <f>EA40*Assumptions!$F$16</f>
        <v>14610.901521247457</v>
      </c>
      <c r="EB68" s="242">
        <f>EB40*Assumptions!$F$16</f>
        <v>14610.901521247457</v>
      </c>
      <c r="EC68" s="242">
        <f>EC40*Assumptions!$F$16</f>
        <v>14610.901521247457</v>
      </c>
      <c r="ED68" s="242">
        <f>ED40*Assumptions!$F$16</f>
        <v>14610.901521247457</v>
      </c>
      <c r="EE68" s="242">
        <f>EE40*Assumptions!$F$16</f>
        <v>14610.901521247457</v>
      </c>
      <c r="EF68" s="242">
        <f>EF40*Assumptions!$F$16</f>
        <v>14610.901521247457</v>
      </c>
      <c r="EG68" s="242">
        <f>EG40*Assumptions!$F$16</f>
        <v>15049.22856688488</v>
      </c>
      <c r="EH68" s="242">
        <f>EH40*Assumptions!$F$16</f>
        <v>15049.22856688488</v>
      </c>
      <c r="EI68" s="242">
        <f>EI40*Assumptions!$F$16</f>
        <v>15049.22856688488</v>
      </c>
      <c r="EJ68" s="242">
        <f>EJ40*Assumptions!$F$16</f>
        <v>15049.22856688488</v>
      </c>
      <c r="EK68" s="242">
        <f>EK40*Assumptions!$F$16</f>
        <v>15049.22856688488</v>
      </c>
      <c r="EL68" s="242">
        <f>EL40*Assumptions!$F$16</f>
        <v>15049.22856688488</v>
      </c>
      <c r="EM68" s="242">
        <f>EM40*Assumptions!$F$16</f>
        <v>15049.22856688488</v>
      </c>
      <c r="EN68" s="242">
        <f>EN40*Assumptions!$F$16</f>
        <v>15049.22856688488</v>
      </c>
      <c r="EO68" s="242">
        <f>EO40*Assumptions!$F$16</f>
        <v>15049.22856688488</v>
      </c>
      <c r="EP68" s="242">
        <f>EP40*Assumptions!$F$16</f>
        <v>15049.22856688488</v>
      </c>
      <c r="EQ68" s="242">
        <f>EQ40*Assumptions!$F$16</f>
        <v>15049.22856688488</v>
      </c>
      <c r="ER68" s="242">
        <f>ER40*Assumptions!$F$16</f>
        <v>15049.22856688488</v>
      </c>
      <c r="ES68" s="242">
        <f>ES40*Assumptions!$F$16</f>
        <v>15500.705423891426</v>
      </c>
      <c r="ET68" s="242">
        <f>ET40*Assumptions!$F$16</f>
        <v>15500.705423891426</v>
      </c>
    </row>
    <row r="69" spans="2:150" x14ac:dyDescent="0.2">
      <c r="B69" t="s">
        <v>151</v>
      </c>
      <c r="F69" s="242">
        <f>-F68*(1-F35)</f>
        <v>0</v>
      </c>
      <c r="G69" s="242">
        <f t="shared" ref="G69:AW69" si="606">-G68*(1-G35)</f>
        <v>0</v>
      </c>
      <c r="H69" s="242">
        <f t="shared" si="606"/>
        <v>0</v>
      </c>
      <c r="I69" s="242">
        <f t="shared" si="606"/>
        <v>0</v>
      </c>
      <c r="J69" s="242">
        <f t="shared" si="606"/>
        <v>0</v>
      </c>
      <c r="K69" s="242">
        <f t="shared" si="606"/>
        <v>0</v>
      </c>
      <c r="L69" s="242">
        <f t="shared" si="606"/>
        <v>0</v>
      </c>
      <c r="M69" s="242">
        <f t="shared" si="606"/>
        <v>0</v>
      </c>
      <c r="N69" s="242">
        <f t="shared" si="606"/>
        <v>0</v>
      </c>
      <c r="O69" s="242">
        <f t="shared" si="606"/>
        <v>0</v>
      </c>
      <c r="P69" s="242">
        <f t="shared" si="606"/>
        <v>0</v>
      </c>
      <c r="Q69" s="242">
        <f t="shared" si="606"/>
        <v>0</v>
      </c>
      <c r="R69" s="242">
        <f t="shared" si="606"/>
        <v>0</v>
      </c>
      <c r="S69" s="242">
        <f t="shared" si="606"/>
        <v>0</v>
      </c>
      <c r="T69" s="242">
        <f t="shared" si="606"/>
        <v>0</v>
      </c>
      <c r="U69" s="242">
        <f t="shared" si="606"/>
        <v>0</v>
      </c>
      <c r="V69" s="242">
        <f t="shared" si="606"/>
        <v>0</v>
      </c>
      <c r="W69" s="242">
        <f t="shared" si="606"/>
        <v>0</v>
      </c>
      <c r="X69" s="242">
        <f t="shared" si="606"/>
        <v>0</v>
      </c>
      <c r="Y69" s="242">
        <f t="shared" si="606"/>
        <v>0</v>
      </c>
      <c r="Z69" s="242">
        <f t="shared" si="606"/>
        <v>0</v>
      </c>
      <c r="AA69" s="242">
        <f t="shared" si="606"/>
        <v>0</v>
      </c>
      <c r="AB69" s="242">
        <f t="shared" si="606"/>
        <v>0</v>
      </c>
      <c r="AC69" s="242">
        <f t="shared" si="606"/>
        <v>0</v>
      </c>
      <c r="AD69" s="242">
        <f t="shared" si="606"/>
        <v>0</v>
      </c>
      <c r="AE69" s="242">
        <f t="shared" si="606"/>
        <v>0</v>
      </c>
      <c r="AF69" s="242">
        <f t="shared" si="606"/>
        <v>0</v>
      </c>
      <c r="AG69" s="242">
        <f t="shared" si="606"/>
        <v>0</v>
      </c>
      <c r="AH69" s="242">
        <f t="shared" si="606"/>
        <v>0</v>
      </c>
      <c r="AI69" s="242">
        <f t="shared" si="606"/>
        <v>0</v>
      </c>
      <c r="AJ69" s="242">
        <f t="shared" si="606"/>
        <v>0</v>
      </c>
      <c r="AK69" s="242">
        <f t="shared" si="606"/>
        <v>0</v>
      </c>
      <c r="AL69" s="242">
        <f t="shared" si="606"/>
        <v>0</v>
      </c>
      <c r="AM69" s="242">
        <f t="shared" si="606"/>
        <v>0</v>
      </c>
      <c r="AN69" s="242">
        <f t="shared" si="606"/>
        <v>0</v>
      </c>
      <c r="AO69" s="242">
        <f t="shared" si="606"/>
        <v>-5940</v>
      </c>
      <c r="AP69" s="242">
        <f t="shared" si="606"/>
        <v>-4158</v>
      </c>
      <c r="AQ69" s="242">
        <f t="shared" si="606"/>
        <v>-2375.9999999999995</v>
      </c>
      <c r="AR69" s="242">
        <f t="shared" si="606"/>
        <v>-593.9999999999992</v>
      </c>
      <c r="AS69" s="242">
        <f t="shared" si="606"/>
        <v>0</v>
      </c>
      <c r="AT69" s="242">
        <f t="shared" si="606"/>
        <v>0</v>
      </c>
      <c r="AU69" s="242">
        <f t="shared" si="606"/>
        <v>0</v>
      </c>
      <c r="AV69" s="242">
        <f t="shared" si="606"/>
        <v>0</v>
      </c>
      <c r="AW69" s="242">
        <f t="shared" si="606"/>
        <v>0</v>
      </c>
      <c r="AX69" s="242">
        <f t="shared" ref="AX69" si="607">-AX68*(1-AX35)</f>
        <v>0</v>
      </c>
      <c r="AY69" s="242">
        <f t="shared" ref="AY69" si="608">-AY68*(1-AY35)</f>
        <v>0</v>
      </c>
      <c r="AZ69" s="242">
        <f t="shared" ref="AZ69" si="609">-AZ68*(1-AZ35)</f>
        <v>0</v>
      </c>
      <c r="BA69" s="242">
        <f t="shared" ref="BA69" si="610">-BA68*(1-BA35)</f>
        <v>0</v>
      </c>
      <c r="BB69" s="242">
        <f t="shared" ref="BB69" si="611">-BB68*(1-BB35)</f>
        <v>0</v>
      </c>
      <c r="BC69" s="242">
        <f t="shared" ref="BC69" si="612">-BC68*(1-BC35)</f>
        <v>0</v>
      </c>
      <c r="BD69" s="242">
        <f t="shared" ref="BD69" si="613">-BD68*(1-BD35)</f>
        <v>0</v>
      </c>
      <c r="BE69" s="242">
        <f t="shared" ref="BE69" si="614">-BE68*(1-BE35)</f>
        <v>0</v>
      </c>
      <c r="BF69" s="242">
        <f t="shared" ref="BF69" si="615">-BF68*(1-BF35)</f>
        <v>0</v>
      </c>
      <c r="BG69" s="242">
        <f t="shared" ref="BG69" si="616">-BG68*(1-BG35)</f>
        <v>0</v>
      </c>
      <c r="BH69" s="242">
        <f t="shared" ref="BH69" si="617">-BH68*(1-BH35)</f>
        <v>0</v>
      </c>
      <c r="BI69" s="242">
        <f t="shared" ref="BI69" si="618">-BI68*(1-BI35)</f>
        <v>0</v>
      </c>
      <c r="BJ69" s="242">
        <f t="shared" ref="BJ69" si="619">-BJ68*(1-BJ35)</f>
        <v>0</v>
      </c>
      <c r="BK69" s="242">
        <f t="shared" ref="BK69" si="620">-BK68*(1-BK35)</f>
        <v>0</v>
      </c>
      <c r="BL69" s="242">
        <f t="shared" ref="BL69" si="621">-BL68*(1-BL35)</f>
        <v>0</v>
      </c>
      <c r="BM69" s="242">
        <f t="shared" ref="BM69" si="622">-BM68*(1-BM35)</f>
        <v>0</v>
      </c>
      <c r="BN69" s="242">
        <f t="shared" ref="BN69" si="623">-BN68*(1-BN35)</f>
        <v>0</v>
      </c>
      <c r="BO69" s="242">
        <f t="shared" ref="BO69" si="624">-BO68*(1-BO35)</f>
        <v>0</v>
      </c>
      <c r="BP69" s="242">
        <f t="shared" ref="BP69" si="625">-BP68*(1-BP35)</f>
        <v>0</v>
      </c>
      <c r="BQ69" s="242">
        <f t="shared" ref="BQ69" si="626">-BQ68*(1-BQ35)</f>
        <v>0</v>
      </c>
      <c r="BR69" s="242">
        <f t="shared" ref="BR69" si="627">-BR68*(1-BR35)</f>
        <v>0</v>
      </c>
      <c r="BS69" s="242">
        <f t="shared" ref="BS69" si="628">-BS68*(1-BS35)</f>
        <v>0</v>
      </c>
      <c r="BT69" s="242">
        <f t="shared" ref="BT69" si="629">-BT68*(1-BT35)</f>
        <v>0</v>
      </c>
      <c r="BU69" s="242">
        <f t="shared" ref="BU69" si="630">-BU68*(1-BU35)</f>
        <v>0</v>
      </c>
      <c r="BV69" s="242">
        <f t="shared" ref="BV69" si="631">-BV68*(1-BV35)</f>
        <v>0</v>
      </c>
      <c r="BW69" s="242">
        <f t="shared" ref="BW69" si="632">-BW68*(1-BW35)</f>
        <v>0</v>
      </c>
      <c r="BX69" s="242">
        <f t="shared" ref="BX69" si="633">-BX68*(1-BX35)</f>
        <v>0</v>
      </c>
      <c r="BY69" s="242">
        <f t="shared" ref="BY69" si="634">-BY68*(1-BY35)</f>
        <v>0</v>
      </c>
      <c r="BZ69" s="242">
        <f t="shared" ref="BZ69:EK69" si="635">-BZ68*(1-BZ35)</f>
        <v>0</v>
      </c>
      <c r="CA69" s="242">
        <f t="shared" si="635"/>
        <v>0</v>
      </c>
      <c r="CB69" s="242">
        <f t="shared" si="635"/>
        <v>0</v>
      </c>
      <c r="CC69" s="242">
        <f t="shared" si="635"/>
        <v>0</v>
      </c>
      <c r="CD69" s="242">
        <f t="shared" si="635"/>
        <v>0</v>
      </c>
      <c r="CE69" s="242">
        <f t="shared" si="635"/>
        <v>0</v>
      </c>
      <c r="CF69" s="242">
        <f t="shared" si="635"/>
        <v>0</v>
      </c>
      <c r="CG69" s="242">
        <f t="shared" si="635"/>
        <v>0</v>
      </c>
      <c r="CH69" s="242">
        <f t="shared" si="635"/>
        <v>0</v>
      </c>
      <c r="CI69" s="242">
        <f t="shared" si="635"/>
        <v>0</v>
      </c>
      <c r="CJ69" s="242">
        <f t="shared" si="635"/>
        <v>0</v>
      </c>
      <c r="CK69" s="242">
        <f t="shared" si="635"/>
        <v>0</v>
      </c>
      <c r="CL69" s="242">
        <f t="shared" si="635"/>
        <v>0</v>
      </c>
      <c r="CM69" s="242">
        <f t="shared" si="635"/>
        <v>0</v>
      </c>
      <c r="CN69" s="242">
        <f t="shared" si="635"/>
        <v>0</v>
      </c>
      <c r="CO69" s="242">
        <f t="shared" si="635"/>
        <v>0</v>
      </c>
      <c r="CP69" s="242">
        <f t="shared" si="635"/>
        <v>0</v>
      </c>
      <c r="CQ69" s="242">
        <f t="shared" si="635"/>
        <v>0</v>
      </c>
      <c r="CR69" s="242">
        <f t="shared" si="635"/>
        <v>0</v>
      </c>
      <c r="CS69" s="242">
        <f t="shared" si="635"/>
        <v>0</v>
      </c>
      <c r="CT69" s="242">
        <f t="shared" si="635"/>
        <v>0</v>
      </c>
      <c r="CU69" s="242">
        <f t="shared" si="635"/>
        <v>0</v>
      </c>
      <c r="CV69" s="242">
        <f t="shared" si="635"/>
        <v>0</v>
      </c>
      <c r="CW69" s="242">
        <f t="shared" si="635"/>
        <v>0</v>
      </c>
      <c r="CX69" s="242">
        <f t="shared" si="635"/>
        <v>0</v>
      </c>
      <c r="CY69" s="242">
        <f t="shared" si="635"/>
        <v>0</v>
      </c>
      <c r="CZ69" s="242">
        <f t="shared" si="635"/>
        <v>0</v>
      </c>
      <c r="DA69" s="242">
        <f t="shared" si="635"/>
        <v>0</v>
      </c>
      <c r="DB69" s="242">
        <f t="shared" si="635"/>
        <v>0</v>
      </c>
      <c r="DC69" s="242">
        <f t="shared" si="635"/>
        <v>0</v>
      </c>
      <c r="DD69" s="242">
        <f t="shared" si="635"/>
        <v>0</v>
      </c>
      <c r="DE69" s="242">
        <f t="shared" si="635"/>
        <v>0</v>
      </c>
      <c r="DF69" s="242">
        <f t="shared" si="635"/>
        <v>0</v>
      </c>
      <c r="DG69" s="242">
        <f t="shared" si="635"/>
        <v>0</v>
      </c>
      <c r="DH69" s="242">
        <f t="shared" si="635"/>
        <v>0</v>
      </c>
      <c r="DI69" s="242">
        <f t="shared" si="635"/>
        <v>0</v>
      </c>
      <c r="DJ69" s="242">
        <f t="shared" si="635"/>
        <v>0</v>
      </c>
      <c r="DK69" s="242">
        <f t="shared" si="635"/>
        <v>0</v>
      </c>
      <c r="DL69" s="242">
        <f t="shared" si="635"/>
        <v>0</v>
      </c>
      <c r="DM69" s="242">
        <f t="shared" si="635"/>
        <v>0</v>
      </c>
      <c r="DN69" s="242">
        <f t="shared" si="635"/>
        <v>0</v>
      </c>
      <c r="DO69" s="242">
        <f t="shared" si="635"/>
        <v>0</v>
      </c>
      <c r="DP69" s="242">
        <f t="shared" si="635"/>
        <v>0</v>
      </c>
      <c r="DQ69" s="242">
        <f t="shared" si="635"/>
        <v>0</v>
      </c>
      <c r="DR69" s="242">
        <f t="shared" si="635"/>
        <v>0</v>
      </c>
      <c r="DS69" s="242">
        <f t="shared" si="635"/>
        <v>0</v>
      </c>
      <c r="DT69" s="242">
        <f t="shared" si="635"/>
        <v>0</v>
      </c>
      <c r="DU69" s="242">
        <f t="shared" si="635"/>
        <v>0</v>
      </c>
      <c r="DV69" s="242">
        <f t="shared" si="635"/>
        <v>0</v>
      </c>
      <c r="DW69" s="242">
        <f t="shared" si="635"/>
        <v>0</v>
      </c>
      <c r="DX69" s="242">
        <f t="shared" si="635"/>
        <v>0</v>
      </c>
      <c r="DY69" s="242">
        <f t="shared" si="635"/>
        <v>0</v>
      </c>
      <c r="DZ69" s="242">
        <f t="shared" si="635"/>
        <v>0</v>
      </c>
      <c r="EA69" s="242">
        <f t="shared" si="635"/>
        <v>0</v>
      </c>
      <c r="EB69" s="242">
        <f t="shared" si="635"/>
        <v>0</v>
      </c>
      <c r="EC69" s="242">
        <f t="shared" si="635"/>
        <v>0</v>
      </c>
      <c r="ED69" s="242">
        <f t="shared" si="635"/>
        <v>0</v>
      </c>
      <c r="EE69" s="242">
        <f t="shared" si="635"/>
        <v>0</v>
      </c>
      <c r="EF69" s="242">
        <f t="shared" si="635"/>
        <v>0</v>
      </c>
      <c r="EG69" s="242">
        <f t="shared" si="635"/>
        <v>0</v>
      </c>
      <c r="EH69" s="242">
        <f t="shared" si="635"/>
        <v>0</v>
      </c>
      <c r="EI69" s="242">
        <f t="shared" si="635"/>
        <v>0</v>
      </c>
      <c r="EJ69" s="242">
        <f t="shared" si="635"/>
        <v>0</v>
      </c>
      <c r="EK69" s="242">
        <f t="shared" si="635"/>
        <v>0</v>
      </c>
      <c r="EL69" s="242">
        <f t="shared" ref="EL69:ET69" si="636">-EL68*(1-EL35)</f>
        <v>0</v>
      </c>
      <c r="EM69" s="242">
        <f t="shared" si="636"/>
        <v>0</v>
      </c>
      <c r="EN69" s="242">
        <f t="shared" si="636"/>
        <v>0</v>
      </c>
      <c r="EO69" s="242">
        <f t="shared" si="636"/>
        <v>0</v>
      </c>
      <c r="EP69" s="242">
        <f t="shared" si="636"/>
        <v>0</v>
      </c>
      <c r="EQ69" s="242">
        <f t="shared" si="636"/>
        <v>0</v>
      </c>
      <c r="ER69" s="242">
        <f t="shared" si="636"/>
        <v>0</v>
      </c>
      <c r="ES69" s="242">
        <f t="shared" si="636"/>
        <v>0</v>
      </c>
      <c r="ET69" s="242">
        <f t="shared" si="636"/>
        <v>0</v>
      </c>
    </row>
    <row r="70" spans="2:150" x14ac:dyDescent="0.2">
      <c r="B70" t="s">
        <v>79</v>
      </c>
      <c r="F70" s="242">
        <f>-SUM(F68:F69)*Assumptions!$K$30</f>
        <v>0</v>
      </c>
      <c r="G70" s="242">
        <f>-SUM(G68:G69)*Assumptions!$K$30</f>
        <v>0</v>
      </c>
      <c r="H70" s="242">
        <f>-SUM(H68:H69)*Assumptions!$K$30</f>
        <v>0</v>
      </c>
      <c r="I70" s="242">
        <f>-SUM(I68:I69)*Assumptions!$K$30</f>
        <v>0</v>
      </c>
      <c r="J70" s="242">
        <f>-SUM(J68:J69)*Assumptions!$K$30</f>
        <v>0</v>
      </c>
      <c r="K70" s="242">
        <f>-SUM(K68:K69)*Assumptions!$K$30</f>
        <v>0</v>
      </c>
      <c r="L70" s="242">
        <f>-SUM(L68:L69)*Assumptions!$K$30</f>
        <v>0</v>
      </c>
      <c r="M70" s="242">
        <f>-SUM(M68:M69)*Assumptions!$K$30</f>
        <v>0</v>
      </c>
      <c r="N70" s="242">
        <f>-SUM(N68:N69)*Assumptions!$K$30</f>
        <v>0</v>
      </c>
      <c r="O70" s="242">
        <f>-SUM(O68:O69)*Assumptions!$K$30</f>
        <v>0</v>
      </c>
      <c r="P70" s="242">
        <f>-SUM(P68:P69)*Assumptions!$K$30</f>
        <v>0</v>
      </c>
      <c r="Q70" s="242">
        <f>-SUM(Q68:Q69)*Assumptions!$K$30</f>
        <v>0</v>
      </c>
      <c r="R70" s="242">
        <f>-SUM(R68:R69)*Assumptions!$K$30</f>
        <v>0</v>
      </c>
      <c r="S70" s="242">
        <f>-SUM(S68:S69)*Assumptions!$K$30</f>
        <v>0</v>
      </c>
      <c r="T70" s="242">
        <f>-SUM(T68:T69)*Assumptions!$K$30</f>
        <v>0</v>
      </c>
      <c r="U70" s="242">
        <f>-SUM(U68:U69)*Assumptions!$K$30</f>
        <v>0</v>
      </c>
      <c r="V70" s="242">
        <f>-SUM(V68:V69)*Assumptions!$K$30</f>
        <v>0</v>
      </c>
      <c r="W70" s="242">
        <f>-SUM(W68:W69)*Assumptions!$K$30</f>
        <v>0</v>
      </c>
      <c r="X70" s="242">
        <f>-SUM(X68:X69)*Assumptions!$K$30</f>
        <v>0</v>
      </c>
      <c r="Y70" s="242">
        <f>-SUM(Y68:Y69)*Assumptions!$K$30</f>
        <v>0</v>
      </c>
      <c r="Z70" s="242">
        <f>-SUM(Z68:Z69)*Assumptions!$K$30</f>
        <v>0</v>
      </c>
      <c r="AA70" s="242">
        <f>-SUM(AA68:AA69)*Assumptions!$K$30</f>
        <v>0</v>
      </c>
      <c r="AB70" s="242">
        <f>-SUM(AB68:AB69)*Assumptions!$K$30</f>
        <v>0</v>
      </c>
      <c r="AC70" s="242">
        <f>-SUM(AC68:AC69)*Assumptions!$K$30</f>
        <v>0</v>
      </c>
      <c r="AD70" s="242">
        <f>-SUM(AD68:AD69)*Assumptions!$K$30</f>
        <v>0</v>
      </c>
      <c r="AE70" s="242">
        <f>-SUM(AE68:AE69)*Assumptions!$K$30</f>
        <v>0</v>
      </c>
      <c r="AF70" s="242">
        <f>-SUM(AF68:AF69)*Assumptions!$K$30</f>
        <v>0</v>
      </c>
      <c r="AG70" s="242">
        <f>-SUM(AG68:AG69)*Assumptions!$K$30</f>
        <v>0</v>
      </c>
      <c r="AH70" s="242">
        <f>-SUM(AH68:AH69)*Assumptions!$K$30</f>
        <v>0</v>
      </c>
      <c r="AI70" s="242">
        <f>-SUM(AI68:AI69)*Assumptions!$K$30</f>
        <v>0</v>
      </c>
      <c r="AJ70" s="242">
        <f>-SUM(AJ68:AJ69)*Assumptions!$K$30</f>
        <v>0</v>
      </c>
      <c r="AK70" s="242">
        <f>-SUM(AK68:AK69)*Assumptions!$K$30</f>
        <v>0</v>
      </c>
      <c r="AL70" s="242">
        <f>-SUM(AL68:AL69)*Assumptions!$K$30</f>
        <v>0</v>
      </c>
      <c r="AM70" s="242">
        <f>-SUM(AM68:AM69)*Assumptions!$K$30</f>
        <v>0</v>
      </c>
      <c r="AN70" s="242">
        <f>-SUM(AN68:AN69)*Assumptions!$K$30</f>
        <v>0</v>
      </c>
      <c r="AO70" s="242">
        <f>-SUM(AO68:AO69)*Assumptions!$K$30</f>
        <v>-118.8</v>
      </c>
      <c r="AP70" s="242">
        <f>-SUM(AP68:AP69)*Assumptions!$K$30</f>
        <v>-154.44</v>
      </c>
      <c r="AQ70" s="242">
        <f>-SUM(AQ68:AQ69)*Assumptions!$K$30</f>
        <v>-190.08</v>
      </c>
      <c r="AR70" s="242">
        <f>-SUM(AR68:AR69)*Assumptions!$K$30</f>
        <v>-225.72</v>
      </c>
      <c r="AS70" s="242">
        <f>-SUM(AS68:AS69)*Assumptions!$K$30</f>
        <v>-237.6</v>
      </c>
      <c r="AT70" s="242">
        <f>-SUM(AT68:AT69)*Assumptions!$K$30</f>
        <v>-237.6</v>
      </c>
      <c r="AU70" s="242">
        <f>-SUM(AU68:AU69)*Assumptions!$K$30</f>
        <v>-237.6</v>
      </c>
      <c r="AV70" s="242">
        <f>-SUM(AV68:AV69)*Assumptions!$K$30</f>
        <v>-237.6</v>
      </c>
      <c r="AW70" s="242">
        <f>-SUM(AW68:AW69)*Assumptions!$K$30</f>
        <v>-237.6</v>
      </c>
      <c r="AX70" s="242">
        <f>-SUM(AX68:AX69)*Assumptions!$K$30</f>
        <v>-237.6</v>
      </c>
      <c r="AY70" s="242">
        <f>-SUM(AY68:AY69)*Assumptions!$K$30</f>
        <v>-237.6</v>
      </c>
      <c r="AZ70" s="242">
        <f>-SUM(AZ68:AZ69)*Assumptions!$K$30</f>
        <v>-237.6</v>
      </c>
      <c r="BA70" s="242">
        <f>-SUM(BA68:BA69)*Assumptions!$K$30</f>
        <v>-244.72800000000004</v>
      </c>
      <c r="BB70" s="242">
        <f>-SUM(BB68:BB69)*Assumptions!$K$30</f>
        <v>-244.72800000000004</v>
      </c>
      <c r="BC70" s="242">
        <f>-SUM(BC68:BC69)*Assumptions!$K$30</f>
        <v>-244.72800000000004</v>
      </c>
      <c r="BD70" s="242">
        <f>-SUM(BD68:BD69)*Assumptions!$K$30</f>
        <v>-244.72800000000004</v>
      </c>
      <c r="BE70" s="242">
        <f>-SUM(BE68:BE69)*Assumptions!$K$30</f>
        <v>-244.72800000000004</v>
      </c>
      <c r="BF70" s="242">
        <f>-SUM(BF68:BF69)*Assumptions!$K$30</f>
        <v>-244.72800000000004</v>
      </c>
      <c r="BG70" s="242">
        <f>-SUM(BG68:BG69)*Assumptions!$K$30</f>
        <v>-244.72800000000004</v>
      </c>
      <c r="BH70" s="242">
        <f>-SUM(BH68:BH69)*Assumptions!$K$30</f>
        <v>-244.72800000000004</v>
      </c>
      <c r="BI70" s="242">
        <f>-SUM(BI68:BI69)*Assumptions!$K$30</f>
        <v>-244.72800000000004</v>
      </c>
      <c r="BJ70" s="242">
        <f>-SUM(BJ68:BJ69)*Assumptions!$K$30</f>
        <v>-244.72800000000004</v>
      </c>
      <c r="BK70" s="242">
        <f>-SUM(BK68:BK69)*Assumptions!$K$30</f>
        <v>-244.72800000000004</v>
      </c>
      <c r="BL70" s="242">
        <f>-SUM(BL68:BL69)*Assumptions!$K$30</f>
        <v>-244.72800000000004</v>
      </c>
      <c r="BM70" s="242">
        <f>-SUM(BM68:BM69)*Assumptions!$K$30</f>
        <v>-252.06984</v>
      </c>
      <c r="BN70" s="242">
        <f>-SUM(BN68:BN69)*Assumptions!$K$30</f>
        <v>-252.06984</v>
      </c>
      <c r="BO70" s="242">
        <f>-SUM(BO68:BO69)*Assumptions!$K$30</f>
        <v>-252.06984</v>
      </c>
      <c r="BP70" s="242">
        <f>-SUM(BP68:BP69)*Assumptions!$K$30</f>
        <v>-252.06984</v>
      </c>
      <c r="BQ70" s="242">
        <f>-SUM(BQ68:BQ69)*Assumptions!$K$30</f>
        <v>-252.06984</v>
      </c>
      <c r="BR70" s="242">
        <f>-SUM(BR68:BR69)*Assumptions!$K$30</f>
        <v>-252.06984</v>
      </c>
      <c r="BS70" s="242">
        <f>-SUM(BS68:BS69)*Assumptions!$K$30</f>
        <v>-252.06984</v>
      </c>
      <c r="BT70" s="242">
        <f>-SUM(BT68:BT69)*Assumptions!$K$30</f>
        <v>-252.06984</v>
      </c>
      <c r="BU70" s="242">
        <f>-SUM(BU68:BU69)*Assumptions!$K$30</f>
        <v>-252.06984</v>
      </c>
      <c r="BV70" s="242">
        <f>-SUM(BV68:BV69)*Assumptions!$K$30</f>
        <v>-252.06984</v>
      </c>
      <c r="BW70" s="242">
        <f>-SUM(BW68:BW69)*Assumptions!$K$30</f>
        <v>-252.06984</v>
      </c>
      <c r="BX70" s="242">
        <f>-SUM(BX68:BX69)*Assumptions!$K$30</f>
        <v>-252.06984</v>
      </c>
      <c r="BY70" s="242">
        <f>-SUM(BY68:BY69)*Assumptions!$K$30</f>
        <v>-259.63193519999999</v>
      </c>
      <c r="BZ70" s="242">
        <f>-SUM(BZ68:BZ69)*Assumptions!$K$30</f>
        <v>-259.63193519999999</v>
      </c>
      <c r="CA70" s="242">
        <f>-SUM(CA68:CA69)*Assumptions!$K$30</f>
        <v>-259.63193519999999</v>
      </c>
      <c r="CB70" s="242">
        <f>-SUM(CB68:CB69)*Assumptions!$K$30</f>
        <v>-259.63193519999999</v>
      </c>
      <c r="CC70" s="242">
        <f>-SUM(CC68:CC69)*Assumptions!$K$30</f>
        <v>-259.63193519999999</v>
      </c>
      <c r="CD70" s="242">
        <f>-SUM(CD68:CD69)*Assumptions!$K$30</f>
        <v>-259.63193519999999</v>
      </c>
      <c r="CE70" s="242">
        <f>-SUM(CE68:CE69)*Assumptions!$K$30</f>
        <v>-259.63193519999999</v>
      </c>
      <c r="CF70" s="242">
        <f>-SUM(CF68:CF69)*Assumptions!$K$30</f>
        <v>-259.63193519999999</v>
      </c>
      <c r="CG70" s="242">
        <f>-SUM(CG68:CG69)*Assumptions!$K$30</f>
        <v>-259.63193519999999</v>
      </c>
      <c r="CH70" s="242">
        <f>-SUM(CH68:CH69)*Assumptions!$K$30</f>
        <v>-259.63193519999999</v>
      </c>
      <c r="CI70" s="242">
        <f>-SUM(CI68:CI69)*Assumptions!$K$30</f>
        <v>-259.63193519999999</v>
      </c>
      <c r="CJ70" s="242">
        <f>-SUM(CJ68:CJ69)*Assumptions!$K$30</f>
        <v>-259.63193519999999</v>
      </c>
      <c r="CK70" s="242">
        <f>-SUM(CK68:CK69)*Assumptions!$K$30</f>
        <v>-267.420893256</v>
      </c>
      <c r="CL70" s="242">
        <f>-SUM(CL68:CL69)*Assumptions!$K$30</f>
        <v>-267.420893256</v>
      </c>
      <c r="CM70" s="242">
        <f>-SUM(CM68:CM69)*Assumptions!$K$30</f>
        <v>-267.420893256</v>
      </c>
      <c r="CN70" s="242">
        <f>-SUM(CN68:CN69)*Assumptions!$K$30</f>
        <v>-267.420893256</v>
      </c>
      <c r="CO70" s="242">
        <f>-SUM(CO68:CO69)*Assumptions!$K$30</f>
        <v>-267.420893256</v>
      </c>
      <c r="CP70" s="242">
        <f>-SUM(CP68:CP69)*Assumptions!$K$30</f>
        <v>-267.420893256</v>
      </c>
      <c r="CQ70" s="242">
        <f>-SUM(CQ68:CQ69)*Assumptions!$K$30</f>
        <v>-267.420893256</v>
      </c>
      <c r="CR70" s="242">
        <f>-SUM(CR68:CR69)*Assumptions!$K$30</f>
        <v>-267.420893256</v>
      </c>
      <c r="CS70" s="242">
        <f>-SUM(CS68:CS69)*Assumptions!$K$30</f>
        <v>-267.420893256</v>
      </c>
      <c r="CT70" s="242">
        <f>-SUM(CT68:CT69)*Assumptions!$K$30</f>
        <v>-267.420893256</v>
      </c>
      <c r="CU70" s="242">
        <f>-SUM(CU68:CU69)*Assumptions!$K$30</f>
        <v>-267.420893256</v>
      </c>
      <c r="CV70" s="242">
        <f>-SUM(CV68:CV69)*Assumptions!$K$30</f>
        <v>-267.420893256</v>
      </c>
      <c r="CW70" s="242">
        <f>-SUM(CW68:CW69)*Assumptions!$K$30</f>
        <v>-275.44352005367995</v>
      </c>
      <c r="CX70" s="242">
        <f>-SUM(CX68:CX69)*Assumptions!$K$30</f>
        <v>-275.44352005367995</v>
      </c>
      <c r="CY70" s="242">
        <f>-SUM(CY68:CY69)*Assumptions!$K$30</f>
        <v>-275.44352005367995</v>
      </c>
      <c r="CZ70" s="242">
        <f>-SUM(CZ68:CZ69)*Assumptions!$K$30</f>
        <v>-275.44352005367995</v>
      </c>
      <c r="DA70" s="242">
        <f>-SUM(DA68:DA69)*Assumptions!$K$30</f>
        <v>-275.44352005367995</v>
      </c>
      <c r="DB70" s="242">
        <f>-SUM(DB68:DB69)*Assumptions!$K$30</f>
        <v>-275.44352005367995</v>
      </c>
      <c r="DC70" s="242">
        <f>-SUM(DC68:DC69)*Assumptions!$K$30</f>
        <v>-275.44352005367995</v>
      </c>
      <c r="DD70" s="242">
        <f>-SUM(DD68:DD69)*Assumptions!$K$30</f>
        <v>-275.44352005367995</v>
      </c>
      <c r="DE70" s="242">
        <f>-SUM(DE68:DE69)*Assumptions!$K$30</f>
        <v>-275.44352005367995</v>
      </c>
      <c r="DF70" s="242">
        <f>-SUM(DF68:DF69)*Assumptions!$K$30</f>
        <v>-275.44352005367995</v>
      </c>
      <c r="DG70" s="242">
        <f>-SUM(DG68:DG69)*Assumptions!$K$30</f>
        <v>-275.44352005367995</v>
      </c>
      <c r="DH70" s="242">
        <f>-SUM(DH68:DH69)*Assumptions!$K$30</f>
        <v>-275.44352005367995</v>
      </c>
      <c r="DI70" s="242">
        <f>-SUM(DI68:DI69)*Assumptions!$K$30</f>
        <v>-283.7068256552904</v>
      </c>
      <c r="DJ70" s="242">
        <f>-SUM(DJ68:DJ69)*Assumptions!$K$30</f>
        <v>-283.7068256552904</v>
      </c>
      <c r="DK70" s="242">
        <f>-SUM(DK68:DK69)*Assumptions!$K$30</f>
        <v>-283.7068256552904</v>
      </c>
      <c r="DL70" s="242">
        <f>-SUM(DL68:DL69)*Assumptions!$K$30</f>
        <v>-283.7068256552904</v>
      </c>
      <c r="DM70" s="242">
        <f>-SUM(DM68:DM69)*Assumptions!$K$30</f>
        <v>-283.7068256552904</v>
      </c>
      <c r="DN70" s="242">
        <f>-SUM(DN68:DN69)*Assumptions!$K$30</f>
        <v>-283.7068256552904</v>
      </c>
      <c r="DO70" s="242">
        <f>-SUM(DO68:DO69)*Assumptions!$K$30</f>
        <v>-283.7068256552904</v>
      </c>
      <c r="DP70" s="242">
        <f>-SUM(DP68:DP69)*Assumptions!$K$30</f>
        <v>-283.7068256552904</v>
      </c>
      <c r="DQ70" s="242">
        <f>-SUM(DQ68:DQ69)*Assumptions!$K$30</f>
        <v>-283.7068256552904</v>
      </c>
      <c r="DR70" s="242">
        <f>-SUM(DR68:DR69)*Assumptions!$K$30</f>
        <v>-283.7068256552904</v>
      </c>
      <c r="DS70" s="242">
        <f>-SUM(DS68:DS69)*Assumptions!$K$30</f>
        <v>-283.7068256552904</v>
      </c>
      <c r="DT70" s="242">
        <f>-SUM(DT68:DT69)*Assumptions!$K$30</f>
        <v>-283.7068256552904</v>
      </c>
      <c r="DU70" s="242">
        <f>-SUM(DU68:DU69)*Assumptions!$K$30</f>
        <v>-292.21803042494912</v>
      </c>
      <c r="DV70" s="242">
        <f>-SUM(DV68:DV69)*Assumptions!$K$30</f>
        <v>-292.21803042494912</v>
      </c>
      <c r="DW70" s="242">
        <f>-SUM(DW68:DW69)*Assumptions!$K$30</f>
        <v>-292.21803042494912</v>
      </c>
      <c r="DX70" s="242">
        <f>-SUM(DX68:DX69)*Assumptions!$K$30</f>
        <v>-292.21803042494912</v>
      </c>
      <c r="DY70" s="242">
        <f>-SUM(DY68:DY69)*Assumptions!$K$30</f>
        <v>-292.21803042494912</v>
      </c>
      <c r="DZ70" s="242">
        <f>-SUM(DZ68:DZ69)*Assumptions!$K$30</f>
        <v>-292.21803042494912</v>
      </c>
      <c r="EA70" s="242">
        <f>-SUM(EA68:EA69)*Assumptions!$K$30</f>
        <v>-292.21803042494912</v>
      </c>
      <c r="EB70" s="242">
        <f>-SUM(EB68:EB69)*Assumptions!$K$30</f>
        <v>-292.21803042494912</v>
      </c>
      <c r="EC70" s="242">
        <f>-SUM(EC68:EC69)*Assumptions!$K$30</f>
        <v>-292.21803042494912</v>
      </c>
      <c r="ED70" s="242">
        <f>-SUM(ED68:ED69)*Assumptions!$K$30</f>
        <v>-292.21803042494912</v>
      </c>
      <c r="EE70" s="242">
        <f>-SUM(EE68:EE69)*Assumptions!$K$30</f>
        <v>-292.21803042494912</v>
      </c>
      <c r="EF70" s="242">
        <f>-SUM(EF68:EF69)*Assumptions!$K$30</f>
        <v>-292.21803042494912</v>
      </c>
      <c r="EG70" s="242">
        <f>-SUM(EG68:EG69)*Assumptions!$K$30</f>
        <v>-300.98457133769762</v>
      </c>
      <c r="EH70" s="242">
        <f>-SUM(EH68:EH69)*Assumptions!$K$30</f>
        <v>-300.98457133769762</v>
      </c>
      <c r="EI70" s="242">
        <f>-SUM(EI68:EI69)*Assumptions!$K$30</f>
        <v>-300.98457133769762</v>
      </c>
      <c r="EJ70" s="242">
        <f>-SUM(EJ68:EJ69)*Assumptions!$K$30</f>
        <v>-300.98457133769762</v>
      </c>
      <c r="EK70" s="242">
        <f>-SUM(EK68:EK69)*Assumptions!$K$30</f>
        <v>-300.98457133769762</v>
      </c>
      <c r="EL70" s="242">
        <f>-SUM(EL68:EL69)*Assumptions!$K$30</f>
        <v>-300.98457133769762</v>
      </c>
      <c r="EM70" s="242">
        <f>-SUM(EM68:EM69)*Assumptions!$K$30</f>
        <v>-300.98457133769762</v>
      </c>
      <c r="EN70" s="242">
        <f>-SUM(EN68:EN69)*Assumptions!$K$30</f>
        <v>-300.98457133769762</v>
      </c>
      <c r="EO70" s="242">
        <f>-SUM(EO68:EO69)*Assumptions!$K$30</f>
        <v>-300.98457133769762</v>
      </c>
      <c r="EP70" s="242">
        <f>-SUM(EP68:EP69)*Assumptions!$K$30</f>
        <v>-300.98457133769762</v>
      </c>
      <c r="EQ70" s="242">
        <f>-SUM(EQ68:EQ69)*Assumptions!$K$30</f>
        <v>-300.98457133769762</v>
      </c>
      <c r="ER70" s="242">
        <f>-SUM(ER68:ER69)*Assumptions!$K$30</f>
        <v>-300.98457133769762</v>
      </c>
      <c r="ES70" s="242">
        <f>-SUM(ES68:ES69)*Assumptions!$K$30</f>
        <v>-310.01410847782853</v>
      </c>
      <c r="ET70" s="242">
        <f>-SUM(ET68:ET69)*Assumptions!$K$30</f>
        <v>-310.01410847782853</v>
      </c>
    </row>
    <row r="71" spans="2:150" x14ac:dyDescent="0.2">
      <c r="B71" t="s">
        <v>158</v>
      </c>
      <c r="F71" s="242">
        <f>IF(AND(F6&lt;=EDATE(Assumptions!$F$38,Assumptions!$L$35-1),Assumptions!$L$35&gt;=1),-SUM(F68:F70),0)</f>
        <v>0</v>
      </c>
      <c r="G71" s="242">
        <f>IF(AND(G6&lt;=EDATE(Assumptions!$F$38,Assumptions!$L$35-1),Assumptions!$L$35&gt;=1),-SUM(G68:G70),0)</f>
        <v>0</v>
      </c>
      <c r="H71" s="242">
        <f>IF(AND(H6&lt;=EDATE(Assumptions!$F$38,Assumptions!$L$35-1),Assumptions!$L$35&gt;=1),-SUM(H68:H70),0)</f>
        <v>0</v>
      </c>
      <c r="I71" s="242">
        <f>IF(AND(I6&lt;=EDATE(Assumptions!$F$38,Assumptions!$L$35-1),Assumptions!$L$35&gt;=1),-SUM(I68:I70),0)</f>
        <v>0</v>
      </c>
      <c r="J71" s="242">
        <f>IF(AND(J6&lt;=EDATE(Assumptions!$F$38,Assumptions!$L$35-1),Assumptions!$L$35&gt;=1),-SUM(J68:J70),0)</f>
        <v>0</v>
      </c>
      <c r="K71" s="242">
        <f>IF(AND(K6&lt;=EDATE(Assumptions!$F$38,Assumptions!$L$35-1),Assumptions!$L$35&gt;=1),-SUM(K68:K70),0)</f>
        <v>0</v>
      </c>
      <c r="L71" s="242">
        <f>IF(AND(L6&lt;=EDATE(Assumptions!$F$38,Assumptions!$L$35-1),Assumptions!$L$35&gt;=1),-SUM(L68:L70),0)</f>
        <v>0</v>
      </c>
      <c r="M71" s="242">
        <f>IF(AND(M6&lt;=EDATE(Assumptions!$F$38,Assumptions!$L$35-1),Assumptions!$L$35&gt;=1),-SUM(M68:M70),0)</f>
        <v>0</v>
      </c>
      <c r="N71" s="242">
        <f>IF(AND(N6&lt;=EDATE(Assumptions!$F$38,Assumptions!$L$35-1),Assumptions!$L$35&gt;=1),-SUM(N68:N70),0)</f>
        <v>0</v>
      </c>
      <c r="O71" s="242">
        <f>IF(AND(O6&lt;=EDATE(Assumptions!$F$38,Assumptions!$L$35-1),Assumptions!$L$35&gt;=1),-SUM(O68:O70),0)</f>
        <v>0</v>
      </c>
      <c r="P71" s="242">
        <f>IF(AND(P6&lt;=EDATE(Assumptions!$F$38,Assumptions!$L$35-1),Assumptions!$L$35&gt;=1),-SUM(P68:P70),0)</f>
        <v>0</v>
      </c>
      <c r="Q71" s="242">
        <f>IF(AND(Q6&lt;=EDATE(Assumptions!$F$38,Assumptions!$L$35-1),Assumptions!$L$35&gt;=1),-SUM(Q68:Q70),0)</f>
        <v>0</v>
      </c>
      <c r="R71" s="242">
        <f>IF(AND(R6&lt;=EDATE(Assumptions!$F$38,Assumptions!$L$35-1),Assumptions!$L$35&gt;=1),-SUM(R68:R70),0)</f>
        <v>0</v>
      </c>
      <c r="S71" s="242">
        <f>IF(AND(S6&lt;=EDATE(Assumptions!$F$38,Assumptions!$L$35-1),Assumptions!$L$35&gt;=1),-SUM(S68:S70),0)</f>
        <v>0</v>
      </c>
      <c r="T71" s="242">
        <f>IF(AND(T6&lt;=EDATE(Assumptions!$F$38,Assumptions!$L$35-1),Assumptions!$L$35&gt;=1),-SUM(T68:T70),0)</f>
        <v>0</v>
      </c>
      <c r="U71" s="242">
        <f>IF(AND(U6&lt;=EDATE(Assumptions!$F$38,Assumptions!$L$35-1),Assumptions!$L$35&gt;=1),-SUM(U68:U70),0)</f>
        <v>0</v>
      </c>
      <c r="V71" s="242">
        <f>IF(AND(V6&lt;=EDATE(Assumptions!$F$38,Assumptions!$L$35-1),Assumptions!$L$35&gt;=1),-SUM(V68:V70),0)</f>
        <v>0</v>
      </c>
      <c r="W71" s="242">
        <f>IF(AND(W6&lt;=EDATE(Assumptions!$F$38,Assumptions!$L$35-1),Assumptions!$L$35&gt;=1),-SUM(W68:W70),0)</f>
        <v>0</v>
      </c>
      <c r="X71" s="242">
        <f>IF(AND(X6&lt;=EDATE(Assumptions!$F$38,Assumptions!$L$35-1),Assumptions!$L$35&gt;=1),-SUM(X68:X70),0)</f>
        <v>0</v>
      </c>
      <c r="Y71" s="242">
        <f>IF(AND(Y6&lt;=EDATE(Assumptions!$F$38,Assumptions!$L$35-1),Assumptions!$L$35&gt;=1),-SUM(Y68:Y70),0)</f>
        <v>0</v>
      </c>
      <c r="Z71" s="242">
        <f>IF(AND(Z6&lt;=EDATE(Assumptions!$F$38,Assumptions!$L$35-1),Assumptions!$L$35&gt;=1),-SUM(Z68:Z70),0)</f>
        <v>0</v>
      </c>
      <c r="AA71" s="242">
        <f>IF(AND(AA6&lt;=EDATE(Assumptions!$F$38,Assumptions!$L$35-1),Assumptions!$L$35&gt;=1),-SUM(AA68:AA70),0)</f>
        <v>0</v>
      </c>
      <c r="AB71" s="242">
        <f>IF(AND(AB6&lt;=EDATE(Assumptions!$F$38,Assumptions!$L$35-1),Assumptions!$L$35&gt;=1),-SUM(AB68:AB70),0)</f>
        <v>0</v>
      </c>
      <c r="AC71" s="242">
        <f>IF(AND(AC6&lt;=EDATE(Assumptions!$F$38,Assumptions!$L$35-1),Assumptions!$L$35&gt;=1),-SUM(AC68:AC70),0)</f>
        <v>0</v>
      </c>
      <c r="AD71" s="242">
        <f>IF(AND(AD6&lt;=EDATE(Assumptions!$F$38,Assumptions!$L$35-1),Assumptions!$L$35&gt;=1),-SUM(AD68:AD70),0)</f>
        <v>0</v>
      </c>
      <c r="AE71" s="242">
        <f>IF(AND(AE6&lt;=EDATE(Assumptions!$F$38,Assumptions!$L$35-1),Assumptions!$L$35&gt;=1),-SUM(AE68:AE70),0)</f>
        <v>0</v>
      </c>
      <c r="AF71" s="242">
        <f>IF(AND(AF6&lt;=EDATE(Assumptions!$F$38,Assumptions!$L$35-1),Assumptions!$L$35&gt;=1),-SUM(AF68:AF70),0)</f>
        <v>0</v>
      </c>
      <c r="AG71" s="242">
        <f>IF(AND(AG6&lt;=EDATE(Assumptions!$F$38,Assumptions!$L$35-1),Assumptions!$L$35&gt;=1),-SUM(AG68:AG70),0)</f>
        <v>0</v>
      </c>
      <c r="AH71" s="242">
        <f>IF(AND(AH6&lt;=EDATE(Assumptions!$F$38,Assumptions!$L$35-1),Assumptions!$L$35&gt;=1),-SUM(AH68:AH70),0)</f>
        <v>0</v>
      </c>
      <c r="AI71" s="242">
        <f>IF(AND(AI6&lt;=EDATE(Assumptions!$F$38,Assumptions!$L$35-1),Assumptions!$L$35&gt;=1),-SUM(AI68:AI70),0)</f>
        <v>0</v>
      </c>
      <c r="AJ71" s="242">
        <f>IF(AND(AJ6&lt;=EDATE(Assumptions!$F$38,Assumptions!$L$35-1),Assumptions!$L$35&gt;=1),-SUM(AJ68:AJ70),0)</f>
        <v>0</v>
      </c>
      <c r="AK71" s="242">
        <f>IF(AND(AK6&lt;=EDATE(Assumptions!$F$38,Assumptions!$L$35-1),Assumptions!$L$35&gt;=1),-SUM(AK68:AK70),0)</f>
        <v>0</v>
      </c>
      <c r="AL71" s="242">
        <f>IF(AND(AL6&lt;=EDATE(Assumptions!$F$38,Assumptions!$L$35-1),Assumptions!$L$35&gt;=1),-SUM(AL68:AL70),0)</f>
        <v>0</v>
      </c>
      <c r="AM71" s="242">
        <f>IF(AND(AM6&lt;=EDATE(Assumptions!$F$38,Assumptions!$L$35-1),Assumptions!$L$35&gt;=1),-SUM(AM68:AM70),0)</f>
        <v>0</v>
      </c>
      <c r="AN71" s="242">
        <f>IF(AND(AN6&lt;=EDATE(Assumptions!$F$38,Assumptions!$L$35-1),Assumptions!$L$35&gt;=1),-SUM(AN68:AN70),0)</f>
        <v>0</v>
      </c>
      <c r="AO71" s="242">
        <f>IF(AND(AO6&lt;=EDATE(Assumptions!$F$38,Assumptions!$L$35-1),Assumptions!$L$35&gt;=1),-SUM(AO68:AO70),0)</f>
        <v>-5821.2</v>
      </c>
      <c r="AP71" s="242">
        <f>IF(AND(AP6&lt;=EDATE(Assumptions!$F$38,Assumptions!$L$35-1),Assumptions!$L$35&gt;=1),-SUM(AP68:AP70),0)</f>
        <v>-7567.56</v>
      </c>
      <c r="AQ71" s="242">
        <f>IF(AND(AQ6&lt;=EDATE(Assumptions!$F$38,Assumptions!$L$35-1),Assumptions!$L$35&gt;=1),-SUM(AQ68:AQ70),0)</f>
        <v>0</v>
      </c>
      <c r="AR71" s="242">
        <f>IF(AND(AR6&lt;=EDATE(Assumptions!$F$38,Assumptions!$L$35-1),Assumptions!$L$35&gt;=1),-SUM(AR68:AR70),0)</f>
        <v>0</v>
      </c>
      <c r="AS71" s="242">
        <f>IF(AND(AS6&lt;=EDATE(Assumptions!$F$38,Assumptions!$L$35-1),Assumptions!$L$35&gt;=1),-SUM(AS68:AS70),0)</f>
        <v>0</v>
      </c>
      <c r="AT71" s="242">
        <f>IF(AND(AT6&lt;=EDATE(Assumptions!$F$38,Assumptions!$L$35-1),Assumptions!$L$35&gt;=1),-SUM(AT68:AT70),0)</f>
        <v>0</v>
      </c>
      <c r="AU71" s="242">
        <f>IF(AND(AU6&lt;=EDATE(Assumptions!$F$38,Assumptions!$L$35-1),Assumptions!$L$35&gt;=1),-SUM(AU68:AU70),0)</f>
        <v>0</v>
      </c>
      <c r="AV71" s="242">
        <f>IF(AND(AV6&lt;=EDATE(Assumptions!$F$38,Assumptions!$L$35-1),Assumptions!$L$35&gt;=1),-SUM(AV68:AV70),0)</f>
        <v>0</v>
      </c>
      <c r="AW71" s="242">
        <f>IF(AND(AW6&lt;=EDATE(Assumptions!$F$38,Assumptions!$L$35-1),Assumptions!$L$35&gt;=1),-SUM(AW68:AW70),0)</f>
        <v>0</v>
      </c>
      <c r="AX71" s="242">
        <f>IF(AND(AX6&lt;=EDATE(Assumptions!$F$38,Assumptions!$L$35-1),Assumptions!$L$35&gt;=1),-SUM(AX68:AX70),0)</f>
        <v>0</v>
      </c>
      <c r="AY71" s="242">
        <f>IF(AND(AY6&lt;=EDATE(Assumptions!$F$38,Assumptions!$L$35-1),Assumptions!$L$35&gt;=1),-SUM(AY68:AY70),0)</f>
        <v>0</v>
      </c>
      <c r="AZ71" s="242">
        <f>IF(AND(AZ6&lt;=EDATE(Assumptions!$F$38,Assumptions!$L$35-1),Assumptions!$L$35&gt;=1),-SUM(AZ68:AZ70),0)</f>
        <v>0</v>
      </c>
      <c r="BA71" s="242">
        <f>IF(AND(BA6&lt;=EDATE(Assumptions!$F$38,Assumptions!$L$35-1),Assumptions!$L$35&gt;=1),-SUM(BA68:BA70),0)</f>
        <v>0</v>
      </c>
      <c r="BB71" s="242">
        <f>IF(AND(BB6&lt;=EDATE(Assumptions!$F$38,Assumptions!$L$35-1),Assumptions!$L$35&gt;=1),-SUM(BB68:BB70),0)</f>
        <v>0</v>
      </c>
      <c r="BC71" s="242">
        <f>IF(AND(BC6&lt;=EDATE(Assumptions!$F$38,Assumptions!$L$35-1),Assumptions!$L$35&gt;=1),-SUM(BC68:BC70),0)</f>
        <v>0</v>
      </c>
      <c r="BD71" s="242">
        <f>IF(AND(BD6&lt;=EDATE(Assumptions!$F$38,Assumptions!$L$35-1),Assumptions!$L$35&gt;=1),-SUM(BD68:BD70),0)</f>
        <v>0</v>
      </c>
      <c r="BE71" s="242">
        <f>IF(AND(BE6&lt;=EDATE(Assumptions!$F$38,Assumptions!$L$35-1),Assumptions!$L$35&gt;=1),-SUM(BE68:BE70),0)</f>
        <v>0</v>
      </c>
      <c r="BF71" s="242">
        <f>IF(AND(BF6&lt;=EDATE(Assumptions!$F$38,Assumptions!$L$35-1),Assumptions!$L$35&gt;=1),-SUM(BF68:BF70),0)</f>
        <v>0</v>
      </c>
      <c r="BG71" s="242">
        <f>IF(AND(BG6&lt;=EDATE(Assumptions!$F$38,Assumptions!$L$35-1),Assumptions!$L$35&gt;=1),-SUM(BG68:BG70),0)</f>
        <v>0</v>
      </c>
      <c r="BH71" s="242">
        <f>IF(AND(BH6&lt;=EDATE(Assumptions!$F$38,Assumptions!$L$35-1),Assumptions!$L$35&gt;=1),-SUM(BH68:BH70),0)</f>
        <v>0</v>
      </c>
      <c r="BI71" s="242">
        <f>IF(AND(BI6&lt;=EDATE(Assumptions!$F$38,Assumptions!$L$35-1),Assumptions!$L$35&gt;=1),-SUM(BI68:BI70),0)</f>
        <v>0</v>
      </c>
      <c r="BJ71" s="242">
        <f>IF(AND(BJ6&lt;=EDATE(Assumptions!$F$38,Assumptions!$L$35-1),Assumptions!$L$35&gt;=1),-SUM(BJ68:BJ70),0)</f>
        <v>0</v>
      </c>
      <c r="BK71" s="242">
        <f>IF(AND(BK6&lt;=EDATE(Assumptions!$F$38,Assumptions!$L$35-1),Assumptions!$L$35&gt;=1),-SUM(BK68:BK70),0)</f>
        <v>0</v>
      </c>
      <c r="BL71" s="242">
        <f>IF(AND(BL6&lt;=EDATE(Assumptions!$F$38,Assumptions!$L$35-1),Assumptions!$L$35&gt;=1),-SUM(BL68:BL70),0)</f>
        <v>0</v>
      </c>
      <c r="BM71" s="242">
        <f>IF(AND(BM6&lt;=EDATE(Assumptions!$F$38,Assumptions!$L$35-1),Assumptions!$L$35&gt;=1),-SUM(BM68:BM70),0)</f>
        <v>0</v>
      </c>
      <c r="BN71" s="242">
        <f>IF(AND(BN6&lt;=EDATE(Assumptions!$F$38,Assumptions!$L$35-1),Assumptions!$L$35&gt;=1),-SUM(BN68:BN70),0)</f>
        <v>0</v>
      </c>
      <c r="BO71" s="242">
        <f>IF(AND(BO6&lt;=EDATE(Assumptions!$F$38,Assumptions!$L$35-1),Assumptions!$L$35&gt;=1),-SUM(BO68:BO70),0)</f>
        <v>0</v>
      </c>
      <c r="BP71" s="242">
        <f>IF(AND(BP6&lt;=EDATE(Assumptions!$F$38,Assumptions!$L$35-1),Assumptions!$L$35&gt;=1),-SUM(BP68:BP70),0)</f>
        <v>0</v>
      </c>
      <c r="BQ71" s="242">
        <f>IF(AND(BQ6&lt;=EDATE(Assumptions!$F$38,Assumptions!$L$35-1),Assumptions!$L$35&gt;=1),-SUM(BQ68:BQ70),0)</f>
        <v>0</v>
      </c>
      <c r="BR71" s="242">
        <f>IF(AND(BR6&lt;=EDATE(Assumptions!$F$38,Assumptions!$L$35-1),Assumptions!$L$35&gt;=1),-SUM(BR68:BR70),0)</f>
        <v>0</v>
      </c>
      <c r="BS71" s="242">
        <f>IF(AND(BS6&lt;=EDATE(Assumptions!$F$38,Assumptions!$L$35-1),Assumptions!$L$35&gt;=1),-SUM(BS68:BS70),0)</f>
        <v>0</v>
      </c>
      <c r="BT71" s="242">
        <f>IF(AND(BT6&lt;=EDATE(Assumptions!$F$38,Assumptions!$L$35-1),Assumptions!$L$35&gt;=1),-SUM(BT68:BT70),0)</f>
        <v>0</v>
      </c>
      <c r="BU71" s="242">
        <f>IF(AND(BU6&lt;=EDATE(Assumptions!$F$38,Assumptions!$L$35-1),Assumptions!$L$35&gt;=1),-SUM(BU68:BU70),0)</f>
        <v>0</v>
      </c>
      <c r="BV71" s="242">
        <f>IF(AND(BV6&lt;=EDATE(Assumptions!$F$38,Assumptions!$L$35-1),Assumptions!$L$35&gt;=1),-SUM(BV68:BV70),0)</f>
        <v>0</v>
      </c>
      <c r="BW71" s="242">
        <f>IF(AND(BW6&lt;=EDATE(Assumptions!$F$38,Assumptions!$L$35-1),Assumptions!$L$35&gt;=1),-SUM(BW68:BW70),0)</f>
        <v>0</v>
      </c>
      <c r="BX71" s="242">
        <f>IF(AND(BX6&lt;=EDATE(Assumptions!$F$38,Assumptions!$L$35-1),Assumptions!$L$35&gt;=1),-SUM(BX68:BX70),0)</f>
        <v>0</v>
      </c>
      <c r="BY71" s="242">
        <f>IF(AND(BY6&lt;=EDATE(Assumptions!$F$38,Assumptions!$L$35-1),Assumptions!$L$35&gt;=1),-SUM(BY68:BY70),0)</f>
        <v>0</v>
      </c>
      <c r="BZ71" s="242">
        <f>IF(AND(BZ6&lt;=EDATE(Assumptions!$F$38,Assumptions!$L$35-1),Assumptions!$L$35&gt;=1),-SUM(BZ68:BZ70),0)</f>
        <v>0</v>
      </c>
      <c r="CA71" s="242">
        <f>IF(AND(CA6&lt;=EDATE(Assumptions!$F$38,Assumptions!$L$35-1),Assumptions!$L$35&gt;=1),-SUM(CA68:CA70),0)</f>
        <v>0</v>
      </c>
      <c r="CB71" s="242">
        <f>IF(AND(CB6&lt;=EDATE(Assumptions!$F$38,Assumptions!$L$35-1),Assumptions!$L$35&gt;=1),-SUM(CB68:CB70),0)</f>
        <v>0</v>
      </c>
      <c r="CC71" s="242">
        <f>IF(AND(CC6&lt;=EDATE(Assumptions!$F$38,Assumptions!$L$35-1),Assumptions!$L$35&gt;=1),-SUM(CC68:CC70),0)</f>
        <v>0</v>
      </c>
      <c r="CD71" s="242">
        <f>IF(AND(CD6&lt;=EDATE(Assumptions!$F$38,Assumptions!$L$35-1),Assumptions!$L$35&gt;=1),-SUM(CD68:CD70),0)</f>
        <v>0</v>
      </c>
      <c r="CE71" s="242">
        <f>IF(AND(CE6&lt;=EDATE(Assumptions!$F$38,Assumptions!$L$35-1),Assumptions!$L$35&gt;=1),-SUM(CE68:CE70),0)</f>
        <v>0</v>
      </c>
      <c r="CF71" s="242">
        <f>IF(AND(CF6&lt;=EDATE(Assumptions!$F$38,Assumptions!$L$35-1),Assumptions!$L$35&gt;=1),-SUM(CF68:CF70),0)</f>
        <v>0</v>
      </c>
      <c r="CG71" s="242">
        <f>IF(AND(CG6&lt;=EDATE(Assumptions!$F$38,Assumptions!$L$35-1),Assumptions!$L$35&gt;=1),-SUM(CG68:CG70),0)</f>
        <v>0</v>
      </c>
      <c r="CH71" s="242">
        <f>IF(AND(CH6&lt;=EDATE(Assumptions!$F$38,Assumptions!$L$35-1),Assumptions!$L$35&gt;=1),-SUM(CH68:CH70),0)</f>
        <v>0</v>
      </c>
      <c r="CI71" s="242">
        <f>IF(AND(CI6&lt;=EDATE(Assumptions!$F$38,Assumptions!$L$35-1),Assumptions!$L$35&gt;=1),-SUM(CI68:CI70),0)</f>
        <v>0</v>
      </c>
      <c r="CJ71" s="242">
        <f>IF(AND(CJ6&lt;=EDATE(Assumptions!$F$38,Assumptions!$L$35-1),Assumptions!$L$35&gt;=1),-SUM(CJ68:CJ70),0)</f>
        <v>0</v>
      </c>
      <c r="CK71" s="242">
        <f>IF(AND(CK6&lt;=EDATE(Assumptions!$F$38,Assumptions!$L$35-1),Assumptions!$L$35&gt;=1),-SUM(CK68:CK70),0)</f>
        <v>0</v>
      </c>
      <c r="CL71" s="242">
        <f>IF(AND(CL6&lt;=EDATE(Assumptions!$F$38,Assumptions!$L$35-1),Assumptions!$L$35&gt;=1),-SUM(CL68:CL70),0)</f>
        <v>0</v>
      </c>
      <c r="CM71" s="242">
        <f>IF(AND(CM6&lt;=EDATE(Assumptions!$F$38,Assumptions!$L$35-1),Assumptions!$L$35&gt;=1),-SUM(CM68:CM70),0)</f>
        <v>0</v>
      </c>
      <c r="CN71" s="242">
        <f>IF(AND(CN6&lt;=EDATE(Assumptions!$F$38,Assumptions!$L$35-1),Assumptions!$L$35&gt;=1),-SUM(CN68:CN70),0)</f>
        <v>0</v>
      </c>
      <c r="CO71" s="242">
        <f>IF(AND(CO6&lt;=EDATE(Assumptions!$F$38,Assumptions!$L$35-1),Assumptions!$L$35&gt;=1),-SUM(CO68:CO70),0)</f>
        <v>0</v>
      </c>
      <c r="CP71" s="242">
        <f>IF(AND(CP6&lt;=EDATE(Assumptions!$F$38,Assumptions!$L$35-1),Assumptions!$L$35&gt;=1),-SUM(CP68:CP70),0)</f>
        <v>0</v>
      </c>
      <c r="CQ71" s="242">
        <f>IF(AND(CQ6&lt;=EDATE(Assumptions!$F$38,Assumptions!$L$35-1),Assumptions!$L$35&gt;=1),-SUM(CQ68:CQ70),0)</f>
        <v>0</v>
      </c>
      <c r="CR71" s="242">
        <f>IF(AND(CR6&lt;=EDATE(Assumptions!$F$38,Assumptions!$L$35-1),Assumptions!$L$35&gt;=1),-SUM(CR68:CR70),0)</f>
        <v>0</v>
      </c>
      <c r="CS71" s="242">
        <f>IF(AND(CS6&lt;=EDATE(Assumptions!$F$38,Assumptions!$L$35-1),Assumptions!$L$35&gt;=1),-SUM(CS68:CS70),0)</f>
        <v>0</v>
      </c>
      <c r="CT71" s="242">
        <f>IF(AND(CT6&lt;=EDATE(Assumptions!$F$38,Assumptions!$L$35-1),Assumptions!$L$35&gt;=1),-SUM(CT68:CT70),0)</f>
        <v>0</v>
      </c>
      <c r="CU71" s="242">
        <f>IF(AND(CU6&lt;=EDATE(Assumptions!$F$38,Assumptions!$L$35-1),Assumptions!$L$35&gt;=1),-SUM(CU68:CU70),0)</f>
        <v>0</v>
      </c>
      <c r="CV71" s="242">
        <f>IF(AND(CV6&lt;=EDATE(Assumptions!$F$38,Assumptions!$L$35-1),Assumptions!$L$35&gt;=1),-SUM(CV68:CV70),0)</f>
        <v>0</v>
      </c>
      <c r="CW71" s="242">
        <f>IF(AND(CW6&lt;=EDATE(Assumptions!$F$38,Assumptions!$L$35-1),Assumptions!$L$35&gt;=1),-SUM(CW68:CW70),0)</f>
        <v>0</v>
      </c>
      <c r="CX71" s="242">
        <f>IF(AND(CX6&lt;=EDATE(Assumptions!$F$38,Assumptions!$L$35-1),Assumptions!$L$35&gt;=1),-SUM(CX68:CX70),0)</f>
        <v>0</v>
      </c>
      <c r="CY71" s="242">
        <f>IF(AND(CY6&lt;=EDATE(Assumptions!$F$38,Assumptions!$L$35-1),Assumptions!$L$35&gt;=1),-SUM(CY68:CY70),0)</f>
        <v>0</v>
      </c>
      <c r="CZ71" s="242">
        <f>IF(AND(CZ6&lt;=EDATE(Assumptions!$F$38,Assumptions!$L$35-1),Assumptions!$L$35&gt;=1),-SUM(CZ68:CZ70),0)</f>
        <v>0</v>
      </c>
      <c r="DA71" s="242">
        <f>IF(AND(DA6&lt;=EDATE(Assumptions!$F$38,Assumptions!$L$35-1),Assumptions!$L$35&gt;=1),-SUM(DA68:DA70),0)</f>
        <v>0</v>
      </c>
      <c r="DB71" s="242">
        <f>IF(AND(DB6&lt;=EDATE(Assumptions!$F$38,Assumptions!$L$35-1),Assumptions!$L$35&gt;=1),-SUM(DB68:DB70),0)</f>
        <v>0</v>
      </c>
      <c r="DC71" s="242">
        <f>IF(AND(DC6&lt;=EDATE(Assumptions!$F$38,Assumptions!$L$35-1),Assumptions!$L$35&gt;=1),-SUM(DC68:DC70),0)</f>
        <v>0</v>
      </c>
      <c r="DD71" s="242">
        <f>IF(AND(DD6&lt;=EDATE(Assumptions!$F$38,Assumptions!$L$35-1),Assumptions!$L$35&gt;=1),-SUM(DD68:DD70),0)</f>
        <v>0</v>
      </c>
      <c r="DE71" s="242">
        <f>IF(AND(DE6&lt;=EDATE(Assumptions!$F$38,Assumptions!$L$35-1),Assumptions!$L$35&gt;=1),-SUM(DE68:DE70),0)</f>
        <v>0</v>
      </c>
      <c r="DF71" s="242">
        <f>IF(AND(DF6&lt;=EDATE(Assumptions!$F$38,Assumptions!$L$35-1),Assumptions!$L$35&gt;=1),-SUM(DF68:DF70),0)</f>
        <v>0</v>
      </c>
      <c r="DG71" s="242">
        <f>IF(AND(DG6&lt;=EDATE(Assumptions!$F$38,Assumptions!$L$35-1),Assumptions!$L$35&gt;=1),-SUM(DG68:DG70),0)</f>
        <v>0</v>
      </c>
      <c r="DH71" s="242">
        <f>IF(AND(DH6&lt;=EDATE(Assumptions!$F$38,Assumptions!$L$35-1),Assumptions!$L$35&gt;=1),-SUM(DH68:DH70),0)</f>
        <v>0</v>
      </c>
      <c r="DI71" s="242">
        <f>IF(AND(DI6&lt;=EDATE(Assumptions!$F$38,Assumptions!$L$35-1),Assumptions!$L$35&gt;=1),-SUM(DI68:DI70),0)</f>
        <v>0</v>
      </c>
      <c r="DJ71" s="242">
        <f>IF(AND(DJ6&lt;=EDATE(Assumptions!$F$38,Assumptions!$L$35-1),Assumptions!$L$35&gt;=1),-SUM(DJ68:DJ70),0)</f>
        <v>0</v>
      </c>
      <c r="DK71" s="242">
        <f>IF(AND(DK6&lt;=EDATE(Assumptions!$F$38,Assumptions!$L$35-1),Assumptions!$L$35&gt;=1),-SUM(DK68:DK70),0)</f>
        <v>0</v>
      </c>
      <c r="DL71" s="242">
        <f>IF(AND(DL6&lt;=EDATE(Assumptions!$F$38,Assumptions!$L$35-1),Assumptions!$L$35&gt;=1),-SUM(DL68:DL70),0)</f>
        <v>0</v>
      </c>
      <c r="DM71" s="242">
        <f>IF(AND(DM6&lt;=EDATE(Assumptions!$F$38,Assumptions!$L$35-1),Assumptions!$L$35&gt;=1),-SUM(DM68:DM70),0)</f>
        <v>0</v>
      </c>
      <c r="DN71" s="242">
        <f>IF(AND(DN6&lt;=EDATE(Assumptions!$F$38,Assumptions!$L$35-1),Assumptions!$L$35&gt;=1),-SUM(DN68:DN70),0)</f>
        <v>0</v>
      </c>
      <c r="DO71" s="242">
        <f>IF(AND(DO6&lt;=EDATE(Assumptions!$F$38,Assumptions!$L$35-1),Assumptions!$L$35&gt;=1),-SUM(DO68:DO70),0)</f>
        <v>0</v>
      </c>
      <c r="DP71" s="242">
        <f>IF(AND(DP6&lt;=EDATE(Assumptions!$F$38,Assumptions!$L$35-1),Assumptions!$L$35&gt;=1),-SUM(DP68:DP70),0)</f>
        <v>0</v>
      </c>
      <c r="DQ71" s="242">
        <f>IF(AND(DQ6&lt;=EDATE(Assumptions!$F$38,Assumptions!$L$35-1),Assumptions!$L$35&gt;=1),-SUM(DQ68:DQ70),0)</f>
        <v>0</v>
      </c>
      <c r="DR71" s="242">
        <f>IF(AND(DR6&lt;=EDATE(Assumptions!$F$38,Assumptions!$L$35-1),Assumptions!$L$35&gt;=1),-SUM(DR68:DR70),0)</f>
        <v>0</v>
      </c>
      <c r="DS71" s="242">
        <f>IF(AND(DS6&lt;=EDATE(Assumptions!$F$38,Assumptions!$L$35-1),Assumptions!$L$35&gt;=1),-SUM(DS68:DS70),0)</f>
        <v>0</v>
      </c>
      <c r="DT71" s="242">
        <f>IF(AND(DT6&lt;=EDATE(Assumptions!$F$38,Assumptions!$L$35-1),Assumptions!$L$35&gt;=1),-SUM(DT68:DT70),0)</f>
        <v>0</v>
      </c>
      <c r="DU71" s="242">
        <f>IF(AND(DU6&lt;=EDATE(Assumptions!$F$38,Assumptions!$L$35-1),Assumptions!$L$35&gt;=1),-SUM(DU68:DU70),0)</f>
        <v>0</v>
      </c>
      <c r="DV71" s="242">
        <f>IF(AND(DV6&lt;=EDATE(Assumptions!$F$38,Assumptions!$L$35-1),Assumptions!$L$35&gt;=1),-SUM(DV68:DV70),0)</f>
        <v>0</v>
      </c>
      <c r="DW71" s="242">
        <f>IF(AND(DW6&lt;=EDATE(Assumptions!$F$38,Assumptions!$L$35-1),Assumptions!$L$35&gt;=1),-SUM(DW68:DW70),0)</f>
        <v>0</v>
      </c>
      <c r="DX71" s="242">
        <f>IF(AND(DX6&lt;=EDATE(Assumptions!$F$38,Assumptions!$L$35-1),Assumptions!$L$35&gt;=1),-SUM(DX68:DX70),0)</f>
        <v>0</v>
      </c>
      <c r="DY71" s="242">
        <f>IF(AND(DY6&lt;=EDATE(Assumptions!$F$38,Assumptions!$L$35-1),Assumptions!$L$35&gt;=1),-SUM(DY68:DY70),0)</f>
        <v>0</v>
      </c>
      <c r="DZ71" s="242">
        <f>IF(AND(DZ6&lt;=EDATE(Assumptions!$F$38,Assumptions!$L$35-1),Assumptions!$L$35&gt;=1),-SUM(DZ68:DZ70),0)</f>
        <v>0</v>
      </c>
      <c r="EA71" s="242">
        <f>IF(AND(EA6&lt;=EDATE(Assumptions!$F$38,Assumptions!$L$35-1),Assumptions!$L$35&gt;=1),-SUM(EA68:EA70),0)</f>
        <v>0</v>
      </c>
      <c r="EB71" s="242">
        <f>IF(AND(EB6&lt;=EDATE(Assumptions!$F$38,Assumptions!$L$35-1),Assumptions!$L$35&gt;=1),-SUM(EB68:EB70),0)</f>
        <v>0</v>
      </c>
      <c r="EC71" s="242">
        <f>IF(AND(EC6&lt;=EDATE(Assumptions!$F$38,Assumptions!$L$35-1),Assumptions!$L$35&gt;=1),-SUM(EC68:EC70),0)</f>
        <v>0</v>
      </c>
      <c r="ED71" s="242">
        <f>IF(AND(ED6&lt;=EDATE(Assumptions!$F$38,Assumptions!$L$35-1),Assumptions!$L$35&gt;=1),-SUM(ED68:ED70),0)</f>
        <v>0</v>
      </c>
      <c r="EE71" s="242">
        <f>IF(AND(EE6&lt;=EDATE(Assumptions!$F$38,Assumptions!$L$35-1),Assumptions!$L$35&gt;=1),-SUM(EE68:EE70),0)</f>
        <v>0</v>
      </c>
      <c r="EF71" s="242">
        <f>IF(AND(EF6&lt;=EDATE(Assumptions!$F$38,Assumptions!$L$35-1),Assumptions!$L$35&gt;=1),-SUM(EF68:EF70),0)</f>
        <v>0</v>
      </c>
      <c r="EG71" s="242">
        <f>IF(AND(EG6&lt;=EDATE(Assumptions!$F$38,Assumptions!$L$35-1),Assumptions!$L$35&gt;=1),-SUM(EG68:EG70),0)</f>
        <v>0</v>
      </c>
      <c r="EH71" s="242">
        <f>IF(AND(EH6&lt;=EDATE(Assumptions!$F$38,Assumptions!$L$35-1),Assumptions!$L$35&gt;=1),-SUM(EH68:EH70),0)</f>
        <v>0</v>
      </c>
      <c r="EI71" s="242">
        <f>IF(AND(EI6&lt;=EDATE(Assumptions!$F$38,Assumptions!$L$35-1),Assumptions!$L$35&gt;=1),-SUM(EI68:EI70),0)</f>
        <v>0</v>
      </c>
      <c r="EJ71" s="242">
        <f>IF(AND(EJ6&lt;=EDATE(Assumptions!$F$38,Assumptions!$L$35-1),Assumptions!$L$35&gt;=1),-SUM(EJ68:EJ70),0)</f>
        <v>0</v>
      </c>
      <c r="EK71" s="242">
        <f>IF(AND(EK6&lt;=EDATE(Assumptions!$F$38,Assumptions!$L$35-1),Assumptions!$L$35&gt;=1),-SUM(EK68:EK70),0)</f>
        <v>0</v>
      </c>
      <c r="EL71" s="242">
        <f>IF(AND(EL6&lt;=EDATE(Assumptions!$F$38,Assumptions!$L$35-1),Assumptions!$L$35&gt;=1),-SUM(EL68:EL70),0)</f>
        <v>0</v>
      </c>
      <c r="EM71" s="242">
        <f>IF(AND(EM6&lt;=EDATE(Assumptions!$F$38,Assumptions!$L$35-1),Assumptions!$L$35&gt;=1),-SUM(EM68:EM70),0)</f>
        <v>0</v>
      </c>
      <c r="EN71" s="242">
        <f>IF(AND(EN6&lt;=EDATE(Assumptions!$F$38,Assumptions!$L$35-1),Assumptions!$L$35&gt;=1),-SUM(EN68:EN70),0)</f>
        <v>0</v>
      </c>
      <c r="EO71" s="242">
        <f>IF(AND(EO6&lt;=EDATE(Assumptions!$F$38,Assumptions!$L$35-1),Assumptions!$L$35&gt;=1),-SUM(EO68:EO70),0)</f>
        <v>0</v>
      </c>
      <c r="EP71" s="242">
        <f>IF(AND(EP6&lt;=EDATE(Assumptions!$F$38,Assumptions!$L$35-1),Assumptions!$L$35&gt;=1),-SUM(EP68:EP70),0)</f>
        <v>0</v>
      </c>
      <c r="EQ71" s="242">
        <f>IF(AND(EQ6&lt;=EDATE(Assumptions!$F$38,Assumptions!$L$35-1),Assumptions!$L$35&gt;=1),-SUM(EQ68:EQ70),0)</f>
        <v>0</v>
      </c>
      <c r="ER71" s="242">
        <f>IF(AND(ER6&lt;=EDATE(Assumptions!$F$38,Assumptions!$L$35-1),Assumptions!$L$35&gt;=1),-SUM(ER68:ER70),0)</f>
        <v>0</v>
      </c>
      <c r="ES71" s="242">
        <f>IF(AND(ES6&lt;=EDATE(Assumptions!$F$38,Assumptions!$L$35-1),Assumptions!$L$35&gt;=1),-SUM(ES68:ES70),0)</f>
        <v>0</v>
      </c>
      <c r="ET71" s="242">
        <f>IF(AND(ET6&lt;=EDATE(Assumptions!$F$38,Assumptions!$L$35-1),Assumptions!$L$35&gt;=1),-SUM(ET68:ET70),0)</f>
        <v>0</v>
      </c>
    </row>
    <row r="72" spans="2:150" x14ac:dyDescent="0.2">
      <c r="B72" t="s">
        <v>348</v>
      </c>
      <c r="D72" s="242">
        <f t="shared" ref="D72" si="637">SUM(F72:ET72)</f>
        <v>-5860.2890978279947</v>
      </c>
      <c r="F72" s="242">
        <f>IF(F6&gt;Assumptions!$F$40,0,IF(SUM(F68:F71)&gt;0,-MIN(F68*Assumptions!$K$33,SUM(F68:F71)),0))</f>
        <v>0</v>
      </c>
      <c r="G72" s="242">
        <f>IF(G6&gt;Assumptions!$F$40,0,IF(SUM(G68:G71)&gt;0,-MIN(G68*Assumptions!$K$33,SUM(G68:G71)),0))</f>
        <v>0</v>
      </c>
      <c r="H72" s="242">
        <f>IF(H6&gt;Assumptions!$F$40,0,IF(SUM(H68:H71)&gt;0,-MIN(H68*Assumptions!$K$33,SUM(H68:H71)),0))</f>
        <v>0</v>
      </c>
      <c r="I72" s="242">
        <f>IF(I6&gt;Assumptions!$F$40,0,IF(SUM(I68:I71)&gt;0,-MIN(I68*Assumptions!$K$33,SUM(I68:I71)),0))</f>
        <v>0</v>
      </c>
      <c r="J72" s="242">
        <f>IF(J6&gt;Assumptions!$F$40,0,IF(SUM(J68:J71)&gt;0,-MIN(J68*Assumptions!$K$33,SUM(J68:J71)),0))</f>
        <v>0</v>
      </c>
      <c r="K72" s="242">
        <f>IF(K6&gt;Assumptions!$F$40,0,IF(SUM(K68:K71)&gt;0,-MIN(K68*Assumptions!$K$33,SUM(K68:K71)),0))</f>
        <v>0</v>
      </c>
      <c r="L72" s="242">
        <f>IF(L6&gt;Assumptions!$F$40,0,IF(SUM(L68:L71)&gt;0,-MIN(L68*Assumptions!$K$33,SUM(L68:L71)),0))</f>
        <v>0</v>
      </c>
      <c r="M72" s="242">
        <f>IF(M6&gt;Assumptions!$F$40,0,IF(SUM(M68:M71)&gt;0,-MIN(M68*Assumptions!$K$33,SUM(M68:M71)),0))</f>
        <v>0</v>
      </c>
      <c r="N72" s="242">
        <f>IF(N6&gt;Assumptions!$F$40,0,IF(SUM(N68:N71)&gt;0,-MIN(N68*Assumptions!$K$33,SUM(N68:N71)),0))</f>
        <v>0</v>
      </c>
      <c r="O72" s="242">
        <f>IF(O6&gt;Assumptions!$F$40,0,IF(SUM(O68:O71)&gt;0,-MIN(O68*Assumptions!$K$33,SUM(O68:O71)),0))</f>
        <v>0</v>
      </c>
      <c r="P72" s="242">
        <f>IF(P6&gt;Assumptions!$F$40,0,IF(SUM(P68:P71)&gt;0,-MIN(P68*Assumptions!$K$33,SUM(P68:P71)),0))</f>
        <v>0</v>
      </c>
      <c r="Q72" s="242">
        <f>IF(Q6&gt;Assumptions!$F$40,0,IF(SUM(Q68:Q71)&gt;0,-MIN(Q68*Assumptions!$K$33,SUM(Q68:Q71)),0))</f>
        <v>0</v>
      </c>
      <c r="R72" s="242">
        <f>IF(R6&gt;Assumptions!$F$40,0,IF(SUM(R68:R71)&gt;0,-MIN(R68*Assumptions!$K$33,SUM(R68:R71)),0))</f>
        <v>0</v>
      </c>
      <c r="S72" s="242">
        <f>IF(S6&gt;Assumptions!$F$40,0,IF(SUM(S68:S71)&gt;0,-MIN(S68*Assumptions!$K$33,SUM(S68:S71)),0))</f>
        <v>0</v>
      </c>
      <c r="T72" s="242">
        <f>IF(T6&gt;Assumptions!$F$40,0,IF(SUM(T68:T71)&gt;0,-MIN(T68*Assumptions!$K$33,SUM(T68:T71)),0))</f>
        <v>0</v>
      </c>
      <c r="U72" s="242">
        <f>IF(U6&gt;Assumptions!$F$40,0,IF(SUM(U68:U71)&gt;0,-MIN(U68*Assumptions!$K$33,SUM(U68:U71)),0))</f>
        <v>0</v>
      </c>
      <c r="V72" s="242">
        <f>IF(V6&gt;Assumptions!$F$40,0,IF(SUM(V68:V71)&gt;0,-MIN(V68*Assumptions!$K$33,SUM(V68:V71)),0))</f>
        <v>0</v>
      </c>
      <c r="W72" s="242">
        <f>IF(W6&gt;Assumptions!$F$40,0,IF(SUM(W68:W71)&gt;0,-MIN(W68*Assumptions!$K$33,SUM(W68:W71)),0))</f>
        <v>0</v>
      </c>
      <c r="X72" s="242">
        <f>IF(X6&gt;Assumptions!$F$40,0,IF(SUM(X68:X71)&gt;0,-MIN(X68*Assumptions!$K$33,SUM(X68:X71)),0))</f>
        <v>0</v>
      </c>
      <c r="Y72" s="242">
        <f>IF(Y6&gt;Assumptions!$F$40,0,IF(SUM(Y68:Y71)&gt;0,-MIN(Y68*Assumptions!$K$33,SUM(Y68:Y71)),0))</f>
        <v>0</v>
      </c>
      <c r="Z72" s="242">
        <f>IF(Z6&gt;Assumptions!$F$40,0,IF(SUM(Z68:Z71)&gt;0,-MIN(Z68*Assumptions!$K$33,SUM(Z68:Z71)),0))</f>
        <v>0</v>
      </c>
      <c r="AA72" s="242">
        <f>IF(AA6&gt;Assumptions!$F$40,0,IF(SUM(AA68:AA71)&gt;0,-MIN(AA68*Assumptions!$K$33,SUM(AA68:AA71)),0))</f>
        <v>0</v>
      </c>
      <c r="AB72" s="242">
        <f>IF(AB6&gt;Assumptions!$F$40,0,IF(SUM(AB68:AB71)&gt;0,-MIN(AB68*Assumptions!$K$33,SUM(AB68:AB71)),0))</f>
        <v>0</v>
      </c>
      <c r="AC72" s="242">
        <f>IF(AC6&gt;Assumptions!$F$40,0,IF(SUM(AC68:AC71)&gt;0,-MIN(AC68*Assumptions!$K$33,SUM(AC68:AC71)),0))</f>
        <v>0</v>
      </c>
      <c r="AD72" s="242">
        <f>IF(AD6&gt;Assumptions!$F$40,0,IF(SUM(AD68:AD71)&gt;0,-MIN(AD68*Assumptions!$K$33,SUM(AD68:AD71)),0))</f>
        <v>0</v>
      </c>
      <c r="AE72" s="242">
        <f>IF(AE6&gt;Assumptions!$F$40,0,IF(SUM(AE68:AE71)&gt;0,-MIN(AE68*Assumptions!$K$33,SUM(AE68:AE71)),0))</f>
        <v>0</v>
      </c>
      <c r="AF72" s="242">
        <f>IF(AF6&gt;Assumptions!$F$40,0,IF(SUM(AF68:AF71)&gt;0,-MIN(AF68*Assumptions!$K$33,SUM(AF68:AF71)),0))</f>
        <v>0</v>
      </c>
      <c r="AG72" s="242">
        <f>IF(AG6&gt;Assumptions!$F$40,0,IF(SUM(AG68:AG71)&gt;0,-MIN(AG68*Assumptions!$K$33,SUM(AG68:AG71)),0))</f>
        <v>0</v>
      </c>
      <c r="AH72" s="242">
        <f>IF(AH6&gt;Assumptions!$F$40,0,IF(SUM(AH68:AH71)&gt;0,-MIN(AH68*Assumptions!$K$33,SUM(AH68:AH71)),0))</f>
        <v>0</v>
      </c>
      <c r="AI72" s="242">
        <f>IF(AI6&gt;Assumptions!$F$40,0,IF(SUM(AI68:AI71)&gt;0,-MIN(AI68*Assumptions!$K$33,SUM(AI68:AI71)),0))</f>
        <v>0</v>
      </c>
      <c r="AJ72" s="242">
        <f>IF(AJ6&gt;Assumptions!$F$40,0,IF(SUM(AJ68:AJ71)&gt;0,-MIN(AJ68*Assumptions!$K$33,SUM(AJ68:AJ71)),0))</f>
        <v>0</v>
      </c>
      <c r="AK72" s="242">
        <f>IF(AK6&gt;Assumptions!$F$40,0,IF(SUM(AK68:AK71)&gt;0,-MIN(AK68*Assumptions!$K$33,SUM(AK68:AK71)),0))</f>
        <v>0</v>
      </c>
      <c r="AL72" s="242">
        <f>IF(AL6&gt;Assumptions!$F$40,0,IF(SUM(AL68:AL71)&gt;0,-MIN(AL68*Assumptions!$K$33,SUM(AL68:AL71)),0))</f>
        <v>0</v>
      </c>
      <c r="AM72" s="242">
        <f>IF(AM6&gt;Assumptions!$F$40,0,IF(SUM(AM68:AM71)&gt;0,-MIN(AM68*Assumptions!$K$33,SUM(AM68:AM71)),0))</f>
        <v>0</v>
      </c>
      <c r="AN72" s="242">
        <f>IF(AN6&gt;Assumptions!$F$40,0,IF(SUM(AN68:AN71)&gt;0,-MIN(AN68*Assumptions!$K$33,SUM(AN68:AN71)),0))</f>
        <v>0</v>
      </c>
      <c r="AO72" s="242">
        <f>IF(AO6&gt;Assumptions!$F$40,0,IF(SUM(AO68:AO71)&gt;0,-MIN(AO68*Assumptions!$K$33,SUM(AO68:AO71)),0))</f>
        <v>0</v>
      </c>
      <c r="AP72" s="242">
        <f>IF(AP6&gt;Assumptions!$F$40,0,IF(SUM(AP68:AP71)&gt;0,-MIN(AP68*Assumptions!$K$33,SUM(AP68:AP71)),0))</f>
        <v>0</v>
      </c>
      <c r="AQ72" s="242">
        <f>IF(AQ6&gt;Assumptions!$F$40,0,IF(SUM(AQ68:AQ71)&gt;0,-MIN(AQ68*Assumptions!$K$33,SUM(AQ68:AQ71)),0))</f>
        <v>-118.8</v>
      </c>
      <c r="AR72" s="242">
        <f>IF(AR6&gt;Assumptions!$F$40,0,IF(SUM(AR68:AR71)&gt;0,-MIN(AR68*Assumptions!$K$33,SUM(AR68:AR71)),0))</f>
        <v>-118.8</v>
      </c>
      <c r="AS72" s="242">
        <f>IF(AS6&gt;Assumptions!$F$40,0,IF(SUM(AS68:AS71)&gt;0,-MIN(AS68*Assumptions!$K$33,SUM(AS68:AS71)),0))</f>
        <v>-118.8</v>
      </c>
      <c r="AT72" s="242">
        <f>IF(AT6&gt;Assumptions!$F$40,0,IF(SUM(AT68:AT71)&gt;0,-MIN(AT68*Assumptions!$K$33,SUM(AT68:AT71)),0))</f>
        <v>-118.8</v>
      </c>
      <c r="AU72" s="242">
        <f>IF(AU6&gt;Assumptions!$F$40,0,IF(SUM(AU68:AU71)&gt;0,-MIN(AU68*Assumptions!$K$33,SUM(AU68:AU71)),0))</f>
        <v>-118.8</v>
      </c>
      <c r="AV72" s="242">
        <f>IF(AV6&gt;Assumptions!$F$40,0,IF(SUM(AV68:AV71)&gt;0,-MIN(AV68*Assumptions!$K$33,SUM(AV68:AV71)),0))</f>
        <v>-118.8</v>
      </c>
      <c r="AW72" s="242">
        <f>IF(AW6&gt;Assumptions!$F$40,0,IF(SUM(AW68:AW71)&gt;0,-MIN(AW68*Assumptions!$K$33,SUM(AW68:AW71)),0))</f>
        <v>-118.8</v>
      </c>
      <c r="AX72" s="242">
        <f>IF(AX6&gt;Assumptions!$F$40,0,IF(SUM(AX68:AX71)&gt;0,-MIN(AX68*Assumptions!$K$33,SUM(AX68:AX71)),0))</f>
        <v>-118.8</v>
      </c>
      <c r="AY72" s="242">
        <f>IF(AY6&gt;Assumptions!$F$40,0,IF(SUM(AY68:AY71)&gt;0,-MIN(AY68*Assumptions!$K$33,SUM(AY68:AY71)),0))</f>
        <v>-118.8</v>
      </c>
      <c r="AZ72" s="242">
        <f>IF(AZ6&gt;Assumptions!$F$40,0,IF(SUM(AZ68:AZ71)&gt;0,-MIN(AZ68*Assumptions!$K$33,SUM(AZ68:AZ71)),0))</f>
        <v>-118.8</v>
      </c>
      <c r="BA72" s="242">
        <f>IF(BA6&gt;Assumptions!$F$40,0,IF(SUM(BA68:BA71)&gt;0,-MIN(BA68*Assumptions!$K$33,SUM(BA68:BA71)),0))</f>
        <v>-122.36400000000002</v>
      </c>
      <c r="BB72" s="242">
        <f>IF(BB6&gt;Assumptions!$F$40,0,IF(SUM(BB68:BB71)&gt;0,-MIN(BB68*Assumptions!$K$33,SUM(BB68:BB71)),0))</f>
        <v>-122.36400000000002</v>
      </c>
      <c r="BC72" s="242">
        <f>IF(BC6&gt;Assumptions!$F$40,0,IF(SUM(BC68:BC71)&gt;0,-MIN(BC68*Assumptions!$K$33,SUM(BC68:BC71)),0))</f>
        <v>-122.36400000000002</v>
      </c>
      <c r="BD72" s="242">
        <f>IF(BD6&gt;Assumptions!$F$40,0,IF(SUM(BD68:BD71)&gt;0,-MIN(BD68*Assumptions!$K$33,SUM(BD68:BD71)),0))</f>
        <v>-122.36400000000002</v>
      </c>
      <c r="BE72" s="242">
        <f>IF(BE6&gt;Assumptions!$F$40,0,IF(SUM(BE68:BE71)&gt;0,-MIN(BE68*Assumptions!$K$33,SUM(BE68:BE71)),0))</f>
        <v>-122.36400000000002</v>
      </c>
      <c r="BF72" s="242">
        <f>IF(BF6&gt;Assumptions!$F$40,0,IF(SUM(BF68:BF71)&gt;0,-MIN(BF68*Assumptions!$K$33,SUM(BF68:BF71)),0))</f>
        <v>-122.36400000000002</v>
      </c>
      <c r="BG72" s="242">
        <f>IF(BG6&gt;Assumptions!$F$40,0,IF(SUM(BG68:BG71)&gt;0,-MIN(BG68*Assumptions!$K$33,SUM(BG68:BG71)),0))</f>
        <v>-122.36400000000002</v>
      </c>
      <c r="BH72" s="242">
        <f>IF(BH6&gt;Assumptions!$F$40,0,IF(SUM(BH68:BH71)&gt;0,-MIN(BH68*Assumptions!$K$33,SUM(BH68:BH71)),0))</f>
        <v>-122.36400000000002</v>
      </c>
      <c r="BI72" s="242">
        <f>IF(BI6&gt;Assumptions!$F$40,0,IF(SUM(BI68:BI71)&gt;0,-MIN(BI68*Assumptions!$K$33,SUM(BI68:BI71)),0))</f>
        <v>-122.36400000000002</v>
      </c>
      <c r="BJ72" s="242">
        <f>IF(BJ6&gt;Assumptions!$F$40,0,IF(SUM(BJ68:BJ71)&gt;0,-MIN(BJ68*Assumptions!$K$33,SUM(BJ68:BJ71)),0))</f>
        <v>-122.36400000000002</v>
      </c>
      <c r="BK72" s="242">
        <f>IF(BK6&gt;Assumptions!$F$40,0,IF(SUM(BK68:BK71)&gt;0,-MIN(BK68*Assumptions!$K$33,SUM(BK68:BK71)),0))</f>
        <v>-122.36400000000002</v>
      </c>
      <c r="BL72" s="242">
        <f>IF(BL6&gt;Assumptions!$F$40,0,IF(SUM(BL68:BL71)&gt;0,-MIN(BL68*Assumptions!$K$33,SUM(BL68:BL71)),0))</f>
        <v>-122.36400000000002</v>
      </c>
      <c r="BM72" s="242">
        <f>IF(BM6&gt;Assumptions!$F$40,0,IF(SUM(BM68:BM71)&gt;0,-MIN(BM68*Assumptions!$K$33,SUM(BM68:BM71)),0))</f>
        <v>-126.03492</v>
      </c>
      <c r="BN72" s="242">
        <f>IF(BN6&gt;Assumptions!$F$40,0,IF(SUM(BN68:BN71)&gt;0,-MIN(BN68*Assumptions!$K$33,SUM(BN68:BN71)),0))</f>
        <v>-126.03492</v>
      </c>
      <c r="BO72" s="242">
        <f>IF(BO6&gt;Assumptions!$F$40,0,IF(SUM(BO68:BO71)&gt;0,-MIN(BO68*Assumptions!$K$33,SUM(BO68:BO71)),0))</f>
        <v>-126.03492</v>
      </c>
      <c r="BP72" s="242">
        <f>IF(BP6&gt;Assumptions!$F$40,0,IF(SUM(BP68:BP71)&gt;0,-MIN(BP68*Assumptions!$K$33,SUM(BP68:BP71)),0))</f>
        <v>-126.03492</v>
      </c>
      <c r="BQ72" s="242">
        <f>IF(BQ6&gt;Assumptions!$F$40,0,IF(SUM(BQ68:BQ71)&gt;0,-MIN(BQ68*Assumptions!$K$33,SUM(BQ68:BQ71)),0))</f>
        <v>-126.03492</v>
      </c>
      <c r="BR72" s="242">
        <f>IF(BR6&gt;Assumptions!$F$40,0,IF(SUM(BR68:BR71)&gt;0,-MIN(BR68*Assumptions!$K$33,SUM(BR68:BR71)),0))</f>
        <v>-126.03492</v>
      </c>
      <c r="BS72" s="242">
        <f>IF(BS6&gt;Assumptions!$F$40,0,IF(SUM(BS68:BS71)&gt;0,-MIN(BS68*Assumptions!$K$33,SUM(BS68:BS71)),0))</f>
        <v>-126.03492</v>
      </c>
      <c r="BT72" s="242">
        <f>IF(BT6&gt;Assumptions!$F$40,0,IF(SUM(BT68:BT71)&gt;0,-MIN(BT68*Assumptions!$K$33,SUM(BT68:BT71)),0))</f>
        <v>-126.03492</v>
      </c>
      <c r="BU72" s="242">
        <f>IF(BU6&gt;Assumptions!$F$40,0,IF(SUM(BU68:BU71)&gt;0,-MIN(BU68*Assumptions!$K$33,SUM(BU68:BU71)),0))</f>
        <v>-126.03492</v>
      </c>
      <c r="BV72" s="242">
        <f>IF(BV6&gt;Assumptions!$F$40,0,IF(SUM(BV68:BV71)&gt;0,-MIN(BV68*Assumptions!$K$33,SUM(BV68:BV71)),0))</f>
        <v>-126.03492</v>
      </c>
      <c r="BW72" s="242">
        <f>IF(BW6&gt;Assumptions!$F$40,0,IF(SUM(BW68:BW71)&gt;0,-MIN(BW68*Assumptions!$K$33,SUM(BW68:BW71)),0))</f>
        <v>-126.03492</v>
      </c>
      <c r="BX72" s="242">
        <f>IF(BX6&gt;Assumptions!$F$40,0,IF(SUM(BX68:BX71)&gt;0,-MIN(BX68*Assumptions!$K$33,SUM(BX68:BX71)),0))</f>
        <v>-126.03492</v>
      </c>
      <c r="BY72" s="242">
        <f>IF(BY6&gt;Assumptions!$F$40,0,IF(SUM(BY68:BY71)&gt;0,-MIN(BY68*Assumptions!$K$33,SUM(BY68:BY71)),0))</f>
        <v>-129.81596759999999</v>
      </c>
      <c r="BZ72" s="242">
        <f>IF(BZ6&gt;Assumptions!$F$40,0,IF(SUM(BZ68:BZ71)&gt;0,-MIN(BZ68*Assumptions!$K$33,SUM(BZ68:BZ71)),0))</f>
        <v>-129.81596759999999</v>
      </c>
      <c r="CA72" s="242">
        <f>IF(CA6&gt;Assumptions!$F$40,0,IF(SUM(CA68:CA71)&gt;0,-MIN(CA68*Assumptions!$K$33,SUM(CA68:CA71)),0))</f>
        <v>-129.81596759999999</v>
      </c>
      <c r="CB72" s="242">
        <f>IF(CB6&gt;Assumptions!$F$40,0,IF(SUM(CB68:CB71)&gt;0,-MIN(CB68*Assumptions!$K$33,SUM(CB68:CB71)),0))</f>
        <v>-129.81596759999999</v>
      </c>
      <c r="CC72" s="242">
        <f>IF(CC6&gt;Assumptions!$F$40,0,IF(SUM(CC68:CC71)&gt;0,-MIN(CC68*Assumptions!$K$33,SUM(CC68:CC71)),0))</f>
        <v>-129.81596759999999</v>
      </c>
      <c r="CD72" s="242">
        <f>IF(CD6&gt;Assumptions!$F$40,0,IF(SUM(CD68:CD71)&gt;0,-MIN(CD68*Assumptions!$K$33,SUM(CD68:CD71)),0))</f>
        <v>-129.81596759999999</v>
      </c>
      <c r="CE72" s="242">
        <f>IF(CE6&gt;Assumptions!$F$40,0,IF(SUM(CE68:CE71)&gt;0,-MIN(CE68*Assumptions!$K$33,SUM(CE68:CE71)),0))</f>
        <v>-129.81596759999999</v>
      </c>
      <c r="CF72" s="242">
        <f>IF(CF6&gt;Assumptions!$F$40,0,IF(SUM(CF68:CF71)&gt;0,-MIN(CF68*Assumptions!$K$33,SUM(CF68:CF71)),0))</f>
        <v>-129.81596759999999</v>
      </c>
      <c r="CG72" s="242">
        <f>IF(CG6&gt;Assumptions!$F$40,0,IF(SUM(CG68:CG71)&gt;0,-MIN(CG68*Assumptions!$K$33,SUM(CG68:CG71)),0))</f>
        <v>-129.81596759999999</v>
      </c>
      <c r="CH72" s="242">
        <f>IF(CH6&gt;Assumptions!$F$40,0,IF(SUM(CH68:CH71)&gt;0,-MIN(CH68*Assumptions!$K$33,SUM(CH68:CH71)),0))</f>
        <v>-129.81596759999999</v>
      </c>
      <c r="CI72" s="242">
        <f>IF(CI6&gt;Assumptions!$F$40,0,IF(SUM(CI68:CI71)&gt;0,-MIN(CI68*Assumptions!$K$33,SUM(CI68:CI71)),0))</f>
        <v>-129.81596759999999</v>
      </c>
      <c r="CJ72" s="242">
        <f>IF(CJ6&gt;Assumptions!$F$40,0,IF(SUM(CJ68:CJ71)&gt;0,-MIN(CJ68*Assumptions!$K$33,SUM(CJ68:CJ71)),0))</f>
        <v>-129.81596759999999</v>
      </c>
      <c r="CK72" s="242">
        <f>IF(CK6&gt;Assumptions!$F$40,0,IF(SUM(CK68:CK71)&gt;0,-MIN(CK68*Assumptions!$K$33,SUM(CK68:CK71)),0))</f>
        <v>-133.710446628</v>
      </c>
      <c r="CL72" s="242">
        <f>IF(CL6&gt;Assumptions!$F$40,0,IF(SUM(CL68:CL71)&gt;0,-MIN(CL68*Assumptions!$K$33,SUM(CL68:CL71)),0))</f>
        <v>0</v>
      </c>
      <c r="CM72" s="242">
        <f>IF(CM6&gt;Assumptions!$F$40,0,IF(SUM(CM68:CM71)&gt;0,-MIN(CM68*Assumptions!$K$33,SUM(CM68:CM71)),0))</f>
        <v>0</v>
      </c>
      <c r="CN72" s="242">
        <f>IF(CN6&gt;Assumptions!$F$40,0,IF(SUM(CN68:CN71)&gt;0,-MIN(CN68*Assumptions!$K$33,SUM(CN68:CN71)),0))</f>
        <v>0</v>
      </c>
      <c r="CO72" s="242">
        <f>IF(CO6&gt;Assumptions!$F$40,0,IF(SUM(CO68:CO71)&gt;0,-MIN(CO68*Assumptions!$K$33,SUM(CO68:CO71)),0))</f>
        <v>0</v>
      </c>
      <c r="CP72" s="242">
        <f>IF(CP6&gt;Assumptions!$F$40,0,IF(SUM(CP68:CP71)&gt;0,-MIN(CP68*Assumptions!$K$33,SUM(CP68:CP71)),0))</f>
        <v>0</v>
      </c>
      <c r="CQ72" s="242">
        <f>IF(CQ6&gt;Assumptions!$F$40,0,IF(SUM(CQ68:CQ71)&gt;0,-MIN(CQ68*Assumptions!$K$33,SUM(CQ68:CQ71)),0))</f>
        <v>0</v>
      </c>
      <c r="CR72" s="242">
        <f>IF(CR6&gt;Assumptions!$F$40,0,IF(SUM(CR68:CR71)&gt;0,-MIN(CR68*Assumptions!$K$33,SUM(CR68:CR71)),0))</f>
        <v>0</v>
      </c>
      <c r="CS72" s="242">
        <f>IF(CS6&gt;Assumptions!$F$40,0,IF(SUM(CS68:CS71)&gt;0,-MIN(CS68*Assumptions!$K$33,SUM(CS68:CS71)),0))</f>
        <v>0</v>
      </c>
      <c r="CT72" s="242">
        <f>IF(CT6&gt;Assumptions!$F$40,0,IF(SUM(CT68:CT71)&gt;0,-MIN(CT68*Assumptions!$K$33,SUM(CT68:CT71)),0))</f>
        <v>0</v>
      </c>
      <c r="CU72" s="242">
        <f>IF(CU6&gt;Assumptions!$F$40,0,IF(SUM(CU68:CU71)&gt;0,-MIN(CU68*Assumptions!$K$33,SUM(CU68:CU71)),0))</f>
        <v>0</v>
      </c>
      <c r="CV72" s="242">
        <f>IF(CV6&gt;Assumptions!$F$40,0,IF(SUM(CV68:CV71)&gt;0,-MIN(CV68*Assumptions!$K$33,SUM(CV68:CV71)),0))</f>
        <v>0</v>
      </c>
      <c r="CW72" s="242">
        <f>IF(CW6&gt;Assumptions!$F$40,0,IF(SUM(CW68:CW71)&gt;0,-MIN(CW68*Assumptions!$K$33,SUM(CW68:CW71)),0))</f>
        <v>0</v>
      </c>
      <c r="CX72" s="242">
        <f>IF(CX6&gt;Assumptions!$F$40,0,IF(SUM(CX68:CX71)&gt;0,-MIN(CX68*Assumptions!$K$33,SUM(CX68:CX71)),0))</f>
        <v>0</v>
      </c>
      <c r="CY72" s="242">
        <f>IF(CY6&gt;Assumptions!$F$40,0,IF(SUM(CY68:CY71)&gt;0,-MIN(CY68*Assumptions!$K$33,SUM(CY68:CY71)),0))</f>
        <v>0</v>
      </c>
      <c r="CZ72" s="242">
        <f>IF(CZ6&gt;Assumptions!$F$40,0,IF(SUM(CZ68:CZ71)&gt;0,-MIN(CZ68*Assumptions!$K$33,SUM(CZ68:CZ71)),0))</f>
        <v>0</v>
      </c>
      <c r="DA72" s="242">
        <f>IF(DA6&gt;Assumptions!$F$40,0,IF(SUM(DA68:DA71)&gt;0,-MIN(DA68*Assumptions!$K$33,SUM(DA68:DA71)),0))</f>
        <v>0</v>
      </c>
      <c r="DB72" s="242">
        <f>IF(DB6&gt;Assumptions!$F$40,0,IF(SUM(DB68:DB71)&gt;0,-MIN(DB68*Assumptions!$K$33,SUM(DB68:DB71)),0))</f>
        <v>0</v>
      </c>
      <c r="DC72" s="242">
        <f>IF(DC6&gt;Assumptions!$F$40,0,IF(SUM(DC68:DC71)&gt;0,-MIN(DC68*Assumptions!$K$33,SUM(DC68:DC71)),0))</f>
        <v>0</v>
      </c>
      <c r="DD72" s="242">
        <f>IF(DD6&gt;Assumptions!$F$40,0,IF(SUM(DD68:DD71)&gt;0,-MIN(DD68*Assumptions!$K$33,SUM(DD68:DD71)),0))</f>
        <v>0</v>
      </c>
      <c r="DE72" s="242">
        <f>IF(DE6&gt;Assumptions!$F$40,0,IF(SUM(DE68:DE71)&gt;0,-MIN(DE68*Assumptions!$K$33,SUM(DE68:DE71)),0))</f>
        <v>0</v>
      </c>
      <c r="DF72" s="242">
        <f>IF(DF6&gt;Assumptions!$F$40,0,IF(SUM(DF68:DF71)&gt;0,-MIN(DF68*Assumptions!$K$33,SUM(DF68:DF71)),0))</f>
        <v>0</v>
      </c>
      <c r="DG72" s="242">
        <f>IF(DG6&gt;Assumptions!$F$40,0,IF(SUM(DG68:DG71)&gt;0,-MIN(DG68*Assumptions!$K$33,SUM(DG68:DG71)),0))</f>
        <v>0</v>
      </c>
      <c r="DH72" s="242">
        <f>IF(DH6&gt;Assumptions!$F$40,0,IF(SUM(DH68:DH71)&gt;0,-MIN(DH68*Assumptions!$K$33,SUM(DH68:DH71)),0))</f>
        <v>0</v>
      </c>
      <c r="DI72" s="242">
        <f>IF(DI6&gt;Assumptions!$F$40,0,IF(SUM(DI68:DI71)&gt;0,-MIN(DI68*Assumptions!$K$33,SUM(DI68:DI71)),0))</f>
        <v>0</v>
      </c>
      <c r="DJ72" s="242">
        <f>IF(DJ6&gt;Assumptions!$F$40,0,IF(SUM(DJ68:DJ71)&gt;0,-MIN(DJ68*Assumptions!$K$33,SUM(DJ68:DJ71)),0))</f>
        <v>0</v>
      </c>
      <c r="DK72" s="242">
        <f>IF(DK6&gt;Assumptions!$F$40,0,IF(SUM(DK68:DK71)&gt;0,-MIN(DK68*Assumptions!$K$33,SUM(DK68:DK71)),0))</f>
        <v>0</v>
      </c>
      <c r="DL72" s="242">
        <f>IF(DL6&gt;Assumptions!$F$40,0,IF(SUM(DL68:DL71)&gt;0,-MIN(DL68*Assumptions!$K$33,SUM(DL68:DL71)),0))</f>
        <v>0</v>
      </c>
      <c r="DM72" s="242">
        <f>IF(DM6&gt;Assumptions!$F$40,0,IF(SUM(DM68:DM71)&gt;0,-MIN(DM68*Assumptions!$K$33,SUM(DM68:DM71)),0))</f>
        <v>0</v>
      </c>
      <c r="DN72" s="242">
        <f>IF(DN6&gt;Assumptions!$F$40,0,IF(SUM(DN68:DN71)&gt;0,-MIN(DN68*Assumptions!$K$33,SUM(DN68:DN71)),0))</f>
        <v>0</v>
      </c>
      <c r="DO72" s="242">
        <f>IF(DO6&gt;Assumptions!$F$40,0,IF(SUM(DO68:DO71)&gt;0,-MIN(DO68*Assumptions!$K$33,SUM(DO68:DO71)),0))</f>
        <v>0</v>
      </c>
      <c r="DP72" s="242">
        <f>IF(DP6&gt;Assumptions!$F$40,0,IF(SUM(DP68:DP71)&gt;0,-MIN(DP68*Assumptions!$K$33,SUM(DP68:DP71)),0))</f>
        <v>0</v>
      </c>
      <c r="DQ72" s="242">
        <f>IF(DQ6&gt;Assumptions!$F$40,0,IF(SUM(DQ68:DQ71)&gt;0,-MIN(DQ68*Assumptions!$K$33,SUM(DQ68:DQ71)),0))</f>
        <v>0</v>
      </c>
      <c r="DR72" s="242">
        <f>IF(DR6&gt;Assumptions!$F$40,0,IF(SUM(DR68:DR71)&gt;0,-MIN(DR68*Assumptions!$K$33,SUM(DR68:DR71)),0))</f>
        <v>0</v>
      </c>
      <c r="DS72" s="242">
        <f>IF(DS6&gt;Assumptions!$F$40,0,IF(SUM(DS68:DS71)&gt;0,-MIN(DS68*Assumptions!$K$33,SUM(DS68:DS71)),0))</f>
        <v>0</v>
      </c>
      <c r="DT72" s="242">
        <f>IF(DT6&gt;Assumptions!$F$40,0,IF(SUM(DT68:DT71)&gt;0,-MIN(DT68*Assumptions!$K$33,SUM(DT68:DT71)),0))</f>
        <v>0</v>
      </c>
      <c r="DU72" s="242">
        <f>IF(DU6&gt;Assumptions!$F$40,0,IF(SUM(DU68:DU71)&gt;0,-MIN(DU68*Assumptions!$K$33,SUM(DU68:DU71)),0))</f>
        <v>0</v>
      </c>
      <c r="DV72" s="242">
        <f>IF(DV6&gt;Assumptions!$F$40,0,IF(SUM(DV68:DV71)&gt;0,-MIN(DV68*Assumptions!$K$33,SUM(DV68:DV71)),0))</f>
        <v>0</v>
      </c>
      <c r="DW72" s="242">
        <f>IF(DW6&gt;Assumptions!$F$40,0,IF(SUM(DW68:DW71)&gt;0,-MIN(DW68*Assumptions!$K$33,SUM(DW68:DW71)),0))</f>
        <v>0</v>
      </c>
      <c r="DX72" s="242">
        <f>IF(DX6&gt;Assumptions!$F$40,0,IF(SUM(DX68:DX71)&gt;0,-MIN(DX68*Assumptions!$K$33,SUM(DX68:DX71)),0))</f>
        <v>0</v>
      </c>
      <c r="DY72" s="242">
        <f>IF(DY6&gt;Assumptions!$F$40,0,IF(SUM(DY68:DY71)&gt;0,-MIN(DY68*Assumptions!$K$33,SUM(DY68:DY71)),0))</f>
        <v>0</v>
      </c>
      <c r="DZ72" s="242">
        <f>IF(DZ6&gt;Assumptions!$F$40,0,IF(SUM(DZ68:DZ71)&gt;0,-MIN(DZ68*Assumptions!$K$33,SUM(DZ68:DZ71)),0))</f>
        <v>0</v>
      </c>
      <c r="EA72" s="242">
        <f>IF(EA6&gt;Assumptions!$F$40,0,IF(SUM(EA68:EA71)&gt;0,-MIN(EA68*Assumptions!$K$33,SUM(EA68:EA71)),0))</f>
        <v>0</v>
      </c>
      <c r="EB72" s="242">
        <f>IF(EB6&gt;Assumptions!$F$40,0,IF(SUM(EB68:EB71)&gt;0,-MIN(EB68*Assumptions!$K$33,SUM(EB68:EB71)),0))</f>
        <v>0</v>
      </c>
      <c r="EC72" s="242">
        <f>IF(EC6&gt;Assumptions!$F$40,0,IF(SUM(EC68:EC71)&gt;0,-MIN(EC68*Assumptions!$K$33,SUM(EC68:EC71)),0))</f>
        <v>0</v>
      </c>
      <c r="ED72" s="242">
        <f>IF(ED6&gt;Assumptions!$F$40,0,IF(SUM(ED68:ED71)&gt;0,-MIN(ED68*Assumptions!$K$33,SUM(ED68:ED71)),0))</f>
        <v>0</v>
      </c>
      <c r="EE72" s="242">
        <f>IF(EE6&gt;Assumptions!$F$40,0,IF(SUM(EE68:EE71)&gt;0,-MIN(EE68*Assumptions!$K$33,SUM(EE68:EE71)),0))</f>
        <v>0</v>
      </c>
      <c r="EF72" s="242">
        <f>IF(EF6&gt;Assumptions!$F$40,0,IF(SUM(EF68:EF71)&gt;0,-MIN(EF68*Assumptions!$K$33,SUM(EF68:EF71)),0))</f>
        <v>0</v>
      </c>
      <c r="EG72" s="242">
        <f>IF(EG6&gt;Assumptions!$F$40,0,IF(SUM(EG68:EG71)&gt;0,-MIN(EG68*Assumptions!$K$33,SUM(EG68:EG71)),0))</f>
        <v>0</v>
      </c>
      <c r="EH72" s="242">
        <f>IF(EH6&gt;Assumptions!$F$40,0,IF(SUM(EH68:EH71)&gt;0,-MIN(EH68*Assumptions!$K$33,SUM(EH68:EH71)),0))</f>
        <v>0</v>
      </c>
      <c r="EI72" s="242">
        <f>IF(EI6&gt;Assumptions!$F$40,0,IF(SUM(EI68:EI71)&gt;0,-MIN(EI68*Assumptions!$K$33,SUM(EI68:EI71)),0))</f>
        <v>0</v>
      </c>
      <c r="EJ72" s="242">
        <f>IF(EJ6&gt;Assumptions!$F$40,0,IF(SUM(EJ68:EJ71)&gt;0,-MIN(EJ68*Assumptions!$K$33,SUM(EJ68:EJ71)),0))</f>
        <v>0</v>
      </c>
      <c r="EK72" s="242">
        <f>IF(EK6&gt;Assumptions!$F$40,0,IF(SUM(EK68:EK71)&gt;0,-MIN(EK68*Assumptions!$K$33,SUM(EK68:EK71)),0))</f>
        <v>0</v>
      </c>
      <c r="EL72" s="242">
        <f>IF(EL6&gt;Assumptions!$F$40,0,IF(SUM(EL68:EL71)&gt;0,-MIN(EL68*Assumptions!$K$33,SUM(EL68:EL71)),0))</f>
        <v>0</v>
      </c>
      <c r="EM72" s="242">
        <f>IF(EM6&gt;Assumptions!$F$40,0,IF(SUM(EM68:EM71)&gt;0,-MIN(EM68*Assumptions!$K$33,SUM(EM68:EM71)),0))</f>
        <v>0</v>
      </c>
      <c r="EN72" s="242">
        <f>IF(EN6&gt;Assumptions!$F$40,0,IF(SUM(EN68:EN71)&gt;0,-MIN(EN68*Assumptions!$K$33,SUM(EN68:EN71)),0))</f>
        <v>0</v>
      </c>
      <c r="EO72" s="242">
        <f>IF(EO6&gt;Assumptions!$F$40,0,IF(SUM(EO68:EO71)&gt;0,-MIN(EO68*Assumptions!$K$33,SUM(EO68:EO71)),0))</f>
        <v>0</v>
      </c>
      <c r="EP72" s="242">
        <f>IF(EP6&gt;Assumptions!$F$40,0,IF(SUM(EP68:EP71)&gt;0,-MIN(EP68*Assumptions!$K$33,SUM(EP68:EP71)),0))</f>
        <v>0</v>
      </c>
      <c r="EQ72" s="242">
        <f>IF(EQ6&gt;Assumptions!$F$40,0,IF(SUM(EQ68:EQ71)&gt;0,-MIN(EQ68*Assumptions!$K$33,SUM(EQ68:EQ71)),0))</f>
        <v>0</v>
      </c>
      <c r="ER72" s="242">
        <f>IF(ER6&gt;Assumptions!$F$40,0,IF(SUM(ER68:ER71)&gt;0,-MIN(ER68*Assumptions!$K$33,SUM(ER68:ER71)),0))</f>
        <v>0</v>
      </c>
      <c r="ES72" s="242">
        <f>IF(ES6&gt;Assumptions!$F$40,0,IF(SUM(ES68:ES71)&gt;0,-MIN(ES68*Assumptions!$K$33,SUM(ES68:ES71)),0))</f>
        <v>0</v>
      </c>
      <c r="ET72" s="242">
        <f>IF(ET6&gt;Assumptions!$F$40,0,IF(SUM(ET68:ET71)&gt;0,-MIN(ET68*Assumptions!$K$33,SUM(ET68:ET71)),0))</f>
        <v>0</v>
      </c>
    </row>
    <row r="73" spans="2:150" s="83" customFormat="1" x14ac:dyDescent="0.2">
      <c r="B73" s="99" t="s">
        <v>159</v>
      </c>
      <c r="C73" s="99"/>
      <c r="D73" s="246">
        <f t="shared" ref="D73" si="638">SUM(F73:ET73)</f>
        <v>1417642.2196984398</v>
      </c>
      <c r="E73" s="99"/>
      <c r="F73" s="246">
        <f>SUM(F68:F72)</f>
        <v>0</v>
      </c>
      <c r="G73" s="246">
        <f t="shared" ref="G73:BR73" si="639">SUM(G68:G72)</f>
        <v>0</v>
      </c>
      <c r="H73" s="246">
        <f t="shared" si="639"/>
        <v>0</v>
      </c>
      <c r="I73" s="246">
        <f t="shared" si="639"/>
        <v>0</v>
      </c>
      <c r="J73" s="246">
        <f t="shared" si="639"/>
        <v>0</v>
      </c>
      <c r="K73" s="246">
        <f t="shared" si="639"/>
        <v>0</v>
      </c>
      <c r="L73" s="246">
        <f t="shared" si="639"/>
        <v>0</v>
      </c>
      <c r="M73" s="246">
        <f t="shared" si="639"/>
        <v>0</v>
      </c>
      <c r="N73" s="246">
        <f t="shared" si="639"/>
        <v>0</v>
      </c>
      <c r="O73" s="246">
        <f t="shared" si="639"/>
        <v>0</v>
      </c>
      <c r="P73" s="246">
        <f t="shared" si="639"/>
        <v>0</v>
      </c>
      <c r="Q73" s="246">
        <f t="shared" si="639"/>
        <v>0</v>
      </c>
      <c r="R73" s="246">
        <f t="shared" si="639"/>
        <v>0</v>
      </c>
      <c r="S73" s="246">
        <f t="shared" si="639"/>
        <v>0</v>
      </c>
      <c r="T73" s="246">
        <f t="shared" si="639"/>
        <v>0</v>
      </c>
      <c r="U73" s="246">
        <f t="shared" si="639"/>
        <v>0</v>
      </c>
      <c r="V73" s="246">
        <f t="shared" si="639"/>
        <v>0</v>
      </c>
      <c r="W73" s="246">
        <f t="shared" si="639"/>
        <v>0</v>
      </c>
      <c r="X73" s="246">
        <f t="shared" si="639"/>
        <v>0</v>
      </c>
      <c r="Y73" s="246">
        <f t="shared" si="639"/>
        <v>0</v>
      </c>
      <c r="Z73" s="246">
        <f t="shared" si="639"/>
        <v>0</v>
      </c>
      <c r="AA73" s="246">
        <f t="shared" si="639"/>
        <v>0</v>
      </c>
      <c r="AB73" s="246">
        <f t="shared" si="639"/>
        <v>0</v>
      </c>
      <c r="AC73" s="246">
        <f t="shared" si="639"/>
        <v>0</v>
      </c>
      <c r="AD73" s="246">
        <f t="shared" si="639"/>
        <v>0</v>
      </c>
      <c r="AE73" s="246">
        <f t="shared" si="639"/>
        <v>0</v>
      </c>
      <c r="AF73" s="246">
        <f t="shared" si="639"/>
        <v>0</v>
      </c>
      <c r="AG73" s="246">
        <f t="shared" si="639"/>
        <v>0</v>
      </c>
      <c r="AH73" s="246">
        <f t="shared" si="639"/>
        <v>0</v>
      </c>
      <c r="AI73" s="246">
        <f t="shared" si="639"/>
        <v>0</v>
      </c>
      <c r="AJ73" s="246">
        <f t="shared" si="639"/>
        <v>0</v>
      </c>
      <c r="AK73" s="246">
        <f t="shared" si="639"/>
        <v>0</v>
      </c>
      <c r="AL73" s="246">
        <f t="shared" si="639"/>
        <v>0</v>
      </c>
      <c r="AM73" s="246">
        <f t="shared" si="639"/>
        <v>0</v>
      </c>
      <c r="AN73" s="246">
        <f t="shared" si="639"/>
        <v>0</v>
      </c>
      <c r="AO73" s="246">
        <f t="shared" si="639"/>
        <v>0</v>
      </c>
      <c r="AP73" s="246">
        <f t="shared" si="639"/>
        <v>0</v>
      </c>
      <c r="AQ73" s="246">
        <f t="shared" si="639"/>
        <v>9195.1200000000008</v>
      </c>
      <c r="AR73" s="246">
        <f t="shared" si="639"/>
        <v>10941.480000000001</v>
      </c>
      <c r="AS73" s="246">
        <f t="shared" si="639"/>
        <v>11523.6</v>
      </c>
      <c r="AT73" s="246">
        <f t="shared" si="639"/>
        <v>11523.6</v>
      </c>
      <c r="AU73" s="246">
        <f t="shared" si="639"/>
        <v>11523.6</v>
      </c>
      <c r="AV73" s="246">
        <f t="shared" si="639"/>
        <v>11523.6</v>
      </c>
      <c r="AW73" s="246">
        <f t="shared" si="639"/>
        <v>11523.6</v>
      </c>
      <c r="AX73" s="246">
        <f t="shared" si="639"/>
        <v>11523.6</v>
      </c>
      <c r="AY73" s="246">
        <f t="shared" si="639"/>
        <v>11523.6</v>
      </c>
      <c r="AZ73" s="246">
        <f t="shared" si="639"/>
        <v>11523.6</v>
      </c>
      <c r="BA73" s="246">
        <f t="shared" si="639"/>
        <v>11869.308000000003</v>
      </c>
      <c r="BB73" s="246">
        <f t="shared" si="639"/>
        <v>11869.308000000003</v>
      </c>
      <c r="BC73" s="246">
        <f t="shared" si="639"/>
        <v>11869.308000000003</v>
      </c>
      <c r="BD73" s="246">
        <f t="shared" si="639"/>
        <v>11869.308000000003</v>
      </c>
      <c r="BE73" s="246">
        <f t="shared" si="639"/>
        <v>11869.308000000003</v>
      </c>
      <c r="BF73" s="246">
        <f t="shared" si="639"/>
        <v>11869.308000000003</v>
      </c>
      <c r="BG73" s="246">
        <f t="shared" si="639"/>
        <v>11869.308000000003</v>
      </c>
      <c r="BH73" s="246">
        <f t="shared" si="639"/>
        <v>11869.308000000003</v>
      </c>
      <c r="BI73" s="246">
        <f t="shared" si="639"/>
        <v>11869.308000000003</v>
      </c>
      <c r="BJ73" s="246">
        <f t="shared" si="639"/>
        <v>11869.308000000003</v>
      </c>
      <c r="BK73" s="246">
        <f t="shared" si="639"/>
        <v>11869.308000000003</v>
      </c>
      <c r="BL73" s="246">
        <f t="shared" si="639"/>
        <v>11869.308000000003</v>
      </c>
      <c r="BM73" s="246">
        <f t="shared" si="639"/>
        <v>12225.38724</v>
      </c>
      <c r="BN73" s="246">
        <f t="shared" si="639"/>
        <v>12225.38724</v>
      </c>
      <c r="BO73" s="246">
        <f t="shared" si="639"/>
        <v>12225.38724</v>
      </c>
      <c r="BP73" s="246">
        <f t="shared" si="639"/>
        <v>12225.38724</v>
      </c>
      <c r="BQ73" s="246">
        <f t="shared" si="639"/>
        <v>12225.38724</v>
      </c>
      <c r="BR73" s="246">
        <f t="shared" si="639"/>
        <v>12225.38724</v>
      </c>
      <c r="BS73" s="246">
        <f t="shared" ref="BS73:ED73" si="640">SUM(BS68:BS72)</f>
        <v>12225.38724</v>
      </c>
      <c r="BT73" s="246">
        <f t="shared" si="640"/>
        <v>12225.38724</v>
      </c>
      <c r="BU73" s="246">
        <f t="shared" si="640"/>
        <v>12225.38724</v>
      </c>
      <c r="BV73" s="246">
        <f t="shared" si="640"/>
        <v>12225.38724</v>
      </c>
      <c r="BW73" s="246">
        <f t="shared" si="640"/>
        <v>12225.38724</v>
      </c>
      <c r="BX73" s="246">
        <f t="shared" si="640"/>
        <v>12225.38724</v>
      </c>
      <c r="BY73" s="246">
        <f t="shared" si="640"/>
        <v>12592.148857200002</v>
      </c>
      <c r="BZ73" s="246">
        <f t="shared" si="640"/>
        <v>12592.148857200002</v>
      </c>
      <c r="CA73" s="246">
        <f t="shared" si="640"/>
        <v>12592.148857200002</v>
      </c>
      <c r="CB73" s="246">
        <f t="shared" si="640"/>
        <v>12592.148857200002</v>
      </c>
      <c r="CC73" s="246">
        <f t="shared" si="640"/>
        <v>12592.148857200002</v>
      </c>
      <c r="CD73" s="246">
        <f t="shared" si="640"/>
        <v>12592.148857200002</v>
      </c>
      <c r="CE73" s="246">
        <f t="shared" si="640"/>
        <v>12592.148857200002</v>
      </c>
      <c r="CF73" s="246">
        <f t="shared" si="640"/>
        <v>12592.148857200002</v>
      </c>
      <c r="CG73" s="246">
        <f t="shared" si="640"/>
        <v>12592.148857200002</v>
      </c>
      <c r="CH73" s="246">
        <f t="shared" si="640"/>
        <v>12592.148857200002</v>
      </c>
      <c r="CI73" s="246">
        <f t="shared" si="640"/>
        <v>12592.148857200002</v>
      </c>
      <c r="CJ73" s="246">
        <f t="shared" si="640"/>
        <v>12592.148857200002</v>
      </c>
      <c r="CK73" s="246">
        <f t="shared" si="640"/>
        <v>12969.913322916</v>
      </c>
      <c r="CL73" s="246">
        <f t="shared" si="640"/>
        <v>13103.623769544</v>
      </c>
      <c r="CM73" s="246">
        <f t="shared" si="640"/>
        <v>13103.623769544</v>
      </c>
      <c r="CN73" s="246">
        <f t="shared" si="640"/>
        <v>13103.623769544</v>
      </c>
      <c r="CO73" s="246">
        <f t="shared" si="640"/>
        <v>13103.623769544</v>
      </c>
      <c r="CP73" s="246">
        <f t="shared" si="640"/>
        <v>13103.623769544</v>
      </c>
      <c r="CQ73" s="246">
        <f t="shared" si="640"/>
        <v>13103.623769544</v>
      </c>
      <c r="CR73" s="246">
        <f t="shared" si="640"/>
        <v>13103.623769544</v>
      </c>
      <c r="CS73" s="246">
        <f t="shared" si="640"/>
        <v>13103.623769544</v>
      </c>
      <c r="CT73" s="246">
        <f t="shared" si="640"/>
        <v>13103.623769544</v>
      </c>
      <c r="CU73" s="246">
        <f t="shared" si="640"/>
        <v>13103.623769544</v>
      </c>
      <c r="CV73" s="246">
        <f t="shared" si="640"/>
        <v>13103.623769544</v>
      </c>
      <c r="CW73" s="246">
        <f t="shared" si="640"/>
        <v>13496.732482630319</v>
      </c>
      <c r="CX73" s="246">
        <f t="shared" si="640"/>
        <v>13496.732482630319</v>
      </c>
      <c r="CY73" s="246">
        <f t="shared" si="640"/>
        <v>13496.732482630319</v>
      </c>
      <c r="CZ73" s="246">
        <f t="shared" si="640"/>
        <v>13496.732482630319</v>
      </c>
      <c r="DA73" s="246">
        <f t="shared" si="640"/>
        <v>13496.732482630319</v>
      </c>
      <c r="DB73" s="246">
        <f t="shared" si="640"/>
        <v>13496.732482630319</v>
      </c>
      <c r="DC73" s="246">
        <f t="shared" si="640"/>
        <v>13496.732482630319</v>
      </c>
      <c r="DD73" s="246">
        <f t="shared" si="640"/>
        <v>13496.732482630319</v>
      </c>
      <c r="DE73" s="246">
        <f t="shared" si="640"/>
        <v>13496.732482630319</v>
      </c>
      <c r="DF73" s="246">
        <f t="shared" si="640"/>
        <v>13496.732482630319</v>
      </c>
      <c r="DG73" s="246">
        <f t="shared" si="640"/>
        <v>13496.732482630319</v>
      </c>
      <c r="DH73" s="246">
        <f t="shared" si="640"/>
        <v>13496.732482630319</v>
      </c>
      <c r="DI73" s="246">
        <f t="shared" si="640"/>
        <v>13901.63445710923</v>
      </c>
      <c r="DJ73" s="246">
        <f t="shared" si="640"/>
        <v>13901.63445710923</v>
      </c>
      <c r="DK73" s="246">
        <f t="shared" si="640"/>
        <v>13901.63445710923</v>
      </c>
      <c r="DL73" s="246">
        <f t="shared" si="640"/>
        <v>13901.63445710923</v>
      </c>
      <c r="DM73" s="246">
        <f t="shared" si="640"/>
        <v>13901.63445710923</v>
      </c>
      <c r="DN73" s="246">
        <f t="shared" si="640"/>
        <v>13901.63445710923</v>
      </c>
      <c r="DO73" s="246">
        <f t="shared" si="640"/>
        <v>13901.63445710923</v>
      </c>
      <c r="DP73" s="246">
        <f t="shared" si="640"/>
        <v>13901.63445710923</v>
      </c>
      <c r="DQ73" s="246">
        <f t="shared" si="640"/>
        <v>13901.63445710923</v>
      </c>
      <c r="DR73" s="246">
        <f t="shared" si="640"/>
        <v>13901.63445710923</v>
      </c>
      <c r="DS73" s="246">
        <f t="shared" si="640"/>
        <v>13901.63445710923</v>
      </c>
      <c r="DT73" s="246">
        <f t="shared" si="640"/>
        <v>13901.63445710923</v>
      </c>
      <c r="DU73" s="246">
        <f t="shared" si="640"/>
        <v>14318.683490822508</v>
      </c>
      <c r="DV73" s="246">
        <f t="shared" si="640"/>
        <v>14318.683490822508</v>
      </c>
      <c r="DW73" s="246">
        <f t="shared" si="640"/>
        <v>14318.683490822508</v>
      </c>
      <c r="DX73" s="246">
        <f t="shared" si="640"/>
        <v>14318.683490822508</v>
      </c>
      <c r="DY73" s="246">
        <f t="shared" si="640"/>
        <v>14318.683490822508</v>
      </c>
      <c r="DZ73" s="246">
        <f t="shared" si="640"/>
        <v>14318.683490822508</v>
      </c>
      <c r="EA73" s="246">
        <f t="shared" si="640"/>
        <v>14318.683490822508</v>
      </c>
      <c r="EB73" s="246">
        <f t="shared" si="640"/>
        <v>14318.683490822508</v>
      </c>
      <c r="EC73" s="246">
        <f t="shared" si="640"/>
        <v>14318.683490822508</v>
      </c>
      <c r="ED73" s="246">
        <f t="shared" si="640"/>
        <v>14318.683490822508</v>
      </c>
      <c r="EE73" s="246">
        <f t="shared" ref="EE73:ET73" si="641">SUM(EE68:EE72)</f>
        <v>14318.683490822508</v>
      </c>
      <c r="EF73" s="246">
        <f t="shared" si="641"/>
        <v>14318.683490822508</v>
      </c>
      <c r="EG73" s="246">
        <f t="shared" si="641"/>
        <v>14748.243995547182</v>
      </c>
      <c r="EH73" s="246">
        <f t="shared" si="641"/>
        <v>14748.243995547182</v>
      </c>
      <c r="EI73" s="246">
        <f t="shared" si="641"/>
        <v>14748.243995547182</v>
      </c>
      <c r="EJ73" s="246">
        <f t="shared" si="641"/>
        <v>14748.243995547182</v>
      </c>
      <c r="EK73" s="246">
        <f t="shared" si="641"/>
        <v>14748.243995547182</v>
      </c>
      <c r="EL73" s="246">
        <f t="shared" si="641"/>
        <v>14748.243995547182</v>
      </c>
      <c r="EM73" s="246">
        <f t="shared" si="641"/>
        <v>14748.243995547182</v>
      </c>
      <c r="EN73" s="246">
        <f t="shared" si="641"/>
        <v>14748.243995547182</v>
      </c>
      <c r="EO73" s="246">
        <f t="shared" si="641"/>
        <v>14748.243995547182</v>
      </c>
      <c r="EP73" s="246">
        <f t="shared" si="641"/>
        <v>14748.243995547182</v>
      </c>
      <c r="EQ73" s="246">
        <f t="shared" si="641"/>
        <v>14748.243995547182</v>
      </c>
      <c r="ER73" s="246">
        <f t="shared" si="641"/>
        <v>14748.243995547182</v>
      </c>
      <c r="ES73" s="246">
        <f t="shared" si="641"/>
        <v>15190.691315413598</v>
      </c>
      <c r="ET73" s="246">
        <f t="shared" si="641"/>
        <v>15190.691315413598</v>
      </c>
    </row>
    <row r="74" spans="2:150" x14ac:dyDescent="0.2"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</row>
    <row r="75" spans="2:150" x14ac:dyDescent="0.2">
      <c r="B75" s="116" t="s">
        <v>256</v>
      </c>
      <c r="C75" s="116"/>
      <c r="D75" s="143"/>
      <c r="E75" s="116"/>
      <c r="F75" s="249">
        <f>IF(Assumptions!$Q$24="Yes",-IF(F6&lt;Assumptions!$P$26,0,(-SUM($F$101:F101)*Assumptions!$Q$29/12)*(1+Assumptions!$Q$27)^ROUNDDOWN(YEARFRAC(F6,Assumptions!$P$26),0)),0)</f>
        <v>0</v>
      </c>
      <c r="G75" s="249">
        <f>IF(Assumptions!$Q$24="Yes",-IF(G6&lt;Assumptions!$P$26,0,(-SUM($F$101:G101)*Assumptions!$Q$29/12)*(1+Assumptions!$Q$27)^ROUNDDOWN(YEARFRAC(G6,Assumptions!$P$26),0)),0)</f>
        <v>0</v>
      </c>
      <c r="H75" s="249">
        <f>IF(Assumptions!$Q$24="Yes",-IF(H6&lt;Assumptions!$P$26,0,(-SUM($F$101:H101)*Assumptions!$Q$29/12)*(1+Assumptions!$Q$27)^ROUNDDOWN(YEARFRAC(H6,Assumptions!$P$26),0)),0)</f>
        <v>0</v>
      </c>
      <c r="I75" s="249">
        <f>IF(Assumptions!$Q$24="Yes",-IF(I6&lt;Assumptions!$P$26,0,(-SUM($F$101:I101)*Assumptions!$Q$29/12)*(1+Assumptions!$Q$27)^ROUNDDOWN(YEARFRAC(I6,Assumptions!$P$26),0)),0)</f>
        <v>0</v>
      </c>
      <c r="J75" s="249">
        <f>IF(Assumptions!$Q$24="Yes",-IF(J6&lt;Assumptions!$P$26,0,(-SUM($F$101:J101)*Assumptions!$Q$29/12)*(1+Assumptions!$Q$27)^ROUNDDOWN(YEARFRAC(J6,Assumptions!$P$26),0)),0)</f>
        <v>0</v>
      </c>
      <c r="K75" s="249">
        <f>IF(Assumptions!$Q$24="Yes",-IF(K6&lt;Assumptions!$P$26,0,(-SUM($F$101:K101)*Assumptions!$Q$29/12)*(1+Assumptions!$Q$27)^ROUNDDOWN(YEARFRAC(K6,Assumptions!$P$26),0)),0)</f>
        <v>0</v>
      </c>
      <c r="L75" s="249">
        <f>IF(Assumptions!$Q$24="Yes",-IF(L6&lt;Assumptions!$P$26,0,(-SUM($F$101:L101)*Assumptions!$Q$29/12)*(1+Assumptions!$Q$27)^ROUNDDOWN(YEARFRAC(L6,Assumptions!$P$26),0)),0)</f>
        <v>0</v>
      </c>
      <c r="M75" s="249">
        <f>IF(Assumptions!$Q$24="Yes",-IF(M6&lt;Assumptions!$P$26,0,(-SUM($F$101:M101)*Assumptions!$Q$29/12)*(1+Assumptions!$Q$27)^ROUNDDOWN(YEARFRAC(M6,Assumptions!$P$26),0)),0)</f>
        <v>0</v>
      </c>
      <c r="N75" s="249">
        <f>IF(Assumptions!$Q$24="Yes",-IF(N6&lt;Assumptions!$P$26,0,(-SUM($F$101:N101)*Assumptions!$Q$29/12)*(1+Assumptions!$Q$27)^ROUNDDOWN(YEARFRAC(N6,Assumptions!$P$26),0)),0)</f>
        <v>0</v>
      </c>
      <c r="O75" s="249">
        <f>IF(Assumptions!$Q$24="Yes",-IF(O6&lt;Assumptions!$P$26,0,(-SUM($F$101:O101)*Assumptions!$Q$29/12)*(1+Assumptions!$Q$27)^ROUNDDOWN(YEARFRAC(O6,Assumptions!$P$26),0)),0)</f>
        <v>0</v>
      </c>
      <c r="P75" s="249">
        <f>IF(Assumptions!$Q$24="Yes",-IF(P6&lt;Assumptions!$P$26,0,(-SUM($F$101:P101)*Assumptions!$Q$29/12)*(1+Assumptions!$Q$27)^ROUNDDOWN(YEARFRAC(P6,Assumptions!$P$26),0)),0)</f>
        <v>0</v>
      </c>
      <c r="Q75" s="249">
        <f>IF(Assumptions!$Q$24="Yes",-IF(Q6&lt;Assumptions!$P$26,0,(-SUM($F$101:Q101)*Assumptions!$Q$29/12)*(1+Assumptions!$Q$27)^ROUNDDOWN(YEARFRAC(Q6,Assumptions!$P$26),0)),0)</f>
        <v>0</v>
      </c>
      <c r="R75" s="249">
        <f>IF(Assumptions!$Q$24="Yes",-IF(R6&lt;Assumptions!$P$26,0,(-SUM($F$101:R101)*Assumptions!$Q$29/12)*(1+Assumptions!$Q$27)^ROUNDDOWN(YEARFRAC(R6,Assumptions!$P$26),0)),0)</f>
        <v>0</v>
      </c>
      <c r="S75" s="249">
        <f>IF(Assumptions!$Q$24="Yes",-IF(S6&lt;Assumptions!$P$26,0,(-SUM($F$101:S101)*Assumptions!$Q$29/12)*(1+Assumptions!$Q$27)^ROUNDDOWN(YEARFRAC(S6,Assumptions!$P$26),0)),0)</f>
        <v>0</v>
      </c>
      <c r="T75" s="249">
        <f>IF(Assumptions!$Q$24="Yes",-IF(T6&lt;Assumptions!$P$26,0,(-SUM($F$101:T101)*Assumptions!$Q$29/12)*(1+Assumptions!$Q$27)^ROUNDDOWN(YEARFRAC(T6,Assumptions!$P$26),0)),0)</f>
        <v>0</v>
      </c>
      <c r="U75" s="249">
        <f>IF(Assumptions!$Q$24="Yes",-IF(U6&lt;Assumptions!$P$26,0,(-SUM($F$101:U101)*Assumptions!$Q$29/12)*(1+Assumptions!$Q$27)^ROUNDDOWN(YEARFRAC(U6,Assumptions!$P$26),0)),0)</f>
        <v>0</v>
      </c>
      <c r="V75" s="249">
        <f>IF(Assumptions!$Q$24="Yes",-IF(V6&lt;Assumptions!$P$26,0,(-SUM($F$101:V101)*Assumptions!$Q$29/12)*(1+Assumptions!$Q$27)^ROUNDDOWN(YEARFRAC(V6,Assumptions!$P$26),0)),0)</f>
        <v>0</v>
      </c>
      <c r="W75" s="249">
        <f>IF(Assumptions!$Q$24="Yes",-IF(W6&lt;Assumptions!$P$26,0,(-SUM($F$101:W101)*Assumptions!$Q$29/12)*(1+Assumptions!$Q$27)^ROUNDDOWN(YEARFRAC(W6,Assumptions!$P$26),0)),0)</f>
        <v>0</v>
      </c>
      <c r="X75" s="249">
        <f>IF(Assumptions!$Q$24="Yes",-IF(X6&lt;Assumptions!$P$26,0,(-SUM($F$101:X101)*Assumptions!$Q$29/12)*(1+Assumptions!$Q$27)^ROUNDDOWN(YEARFRAC(X6,Assumptions!$P$26),0)),0)</f>
        <v>0</v>
      </c>
      <c r="Y75" s="249">
        <f>IF(Assumptions!$Q$24="Yes",-IF(Y6&lt;Assumptions!$P$26,0,(-SUM($F$101:Y101)*Assumptions!$Q$29/12)*(1+Assumptions!$Q$27)^ROUNDDOWN(YEARFRAC(Y6,Assumptions!$P$26),0)),0)</f>
        <v>0</v>
      </c>
      <c r="Z75" s="249">
        <f>IF(Assumptions!$Q$24="Yes",-IF(Z6&lt;Assumptions!$P$26,0,(-SUM($F$101:Z101)*Assumptions!$Q$29/12)*(1+Assumptions!$Q$27)^ROUNDDOWN(YEARFRAC(Z6,Assumptions!$P$26),0)),0)</f>
        <v>0</v>
      </c>
      <c r="AA75" s="249">
        <f>IF(Assumptions!$Q$24="Yes",-IF(AA6&lt;Assumptions!$P$26,0,(-SUM($F$101:AA101)*Assumptions!$Q$29/12)*(1+Assumptions!$Q$27)^ROUNDDOWN(YEARFRAC(AA6,Assumptions!$P$26),0)),0)</f>
        <v>0</v>
      </c>
      <c r="AB75" s="249">
        <f>IF(Assumptions!$Q$24="Yes",-IF(AB6&lt;Assumptions!$P$26,0,(-SUM($F$101:AB101)*Assumptions!$Q$29/12)*(1+Assumptions!$Q$27)^ROUNDDOWN(YEARFRAC(AB6,Assumptions!$P$26),0)),0)</f>
        <v>0</v>
      </c>
      <c r="AC75" s="249">
        <f>IF(Assumptions!$Q$24="Yes",-IF(AC6&lt;Assumptions!$P$26,0,(-SUM($F$101:AC101)*Assumptions!$Q$29/12)*(1+Assumptions!$Q$27)^ROUNDDOWN(YEARFRAC(AC6,Assumptions!$P$26),0)),0)</f>
        <v>0</v>
      </c>
      <c r="AD75" s="249">
        <f>IF(Assumptions!$Q$24="Yes",-IF(AD6&lt;Assumptions!$P$26,0,(-SUM($F$101:AD101)*Assumptions!$Q$29/12)*(1+Assumptions!$Q$27)^ROUNDDOWN(YEARFRAC(AD6,Assumptions!$P$26),0)),0)</f>
        <v>0</v>
      </c>
      <c r="AE75" s="249">
        <f>IF(Assumptions!$Q$24="Yes",-IF(AE6&lt;Assumptions!$P$26,0,(-SUM($F$101:AE101)*Assumptions!$Q$29/12)*(1+Assumptions!$Q$27)^ROUNDDOWN(YEARFRAC(AE6,Assumptions!$P$26),0)),0)</f>
        <v>0</v>
      </c>
      <c r="AF75" s="249">
        <f>IF(Assumptions!$Q$24="Yes",-IF(AF6&lt;Assumptions!$P$26,0,(-SUM($F$101:AF101)*Assumptions!$Q$29/12)*(1+Assumptions!$Q$27)^ROUNDDOWN(YEARFRAC(AF6,Assumptions!$P$26),0)),0)</f>
        <v>0</v>
      </c>
      <c r="AG75" s="249">
        <f>IF(Assumptions!$Q$24="Yes",-IF(AG6&lt;Assumptions!$P$26,0,(-SUM($F$101:AG101)*Assumptions!$Q$29/12)*(1+Assumptions!$Q$27)^ROUNDDOWN(YEARFRAC(AG6,Assumptions!$P$26),0)),0)</f>
        <v>0</v>
      </c>
      <c r="AH75" s="249">
        <f>IF(Assumptions!$Q$24="Yes",-IF(AH6&lt;Assumptions!$P$26,0,(-SUM($F$101:AH101)*Assumptions!$Q$29/12)*(1+Assumptions!$Q$27)^ROUNDDOWN(YEARFRAC(AH6,Assumptions!$P$26),0)),0)</f>
        <v>0</v>
      </c>
      <c r="AI75" s="249">
        <f>IF(Assumptions!$Q$24="Yes",-IF(AI6&lt;Assumptions!$P$26,0,(-SUM($F$101:AI101)*Assumptions!$Q$29/12)*(1+Assumptions!$Q$27)^ROUNDDOWN(YEARFRAC(AI6,Assumptions!$P$26),0)),0)</f>
        <v>0</v>
      </c>
      <c r="AJ75" s="249">
        <f>IF(Assumptions!$Q$24="Yes",-IF(AJ6&lt;Assumptions!$P$26,0,(-SUM($F$101:AJ101)*Assumptions!$Q$29/12)*(1+Assumptions!$Q$27)^ROUNDDOWN(YEARFRAC(AJ6,Assumptions!$P$26),0)),0)</f>
        <v>0</v>
      </c>
      <c r="AK75" s="249">
        <f>IF(Assumptions!$Q$24="Yes",-IF(AK6&lt;Assumptions!$P$26,0,(-SUM($F$101:AK101)*Assumptions!$Q$29/12)*(1+Assumptions!$Q$27)^ROUNDDOWN(YEARFRAC(AK6,Assumptions!$P$26),0)),0)</f>
        <v>0</v>
      </c>
      <c r="AL75" s="249">
        <f>IF(Assumptions!$Q$24="Yes",-IF(AL6&lt;Assumptions!$P$26,0,(-SUM($F$101:AL101)*Assumptions!$Q$29/12)*(1+Assumptions!$Q$27)^ROUNDDOWN(YEARFRAC(AL6,Assumptions!$P$26),0)),0)</f>
        <v>0</v>
      </c>
      <c r="AM75" s="249">
        <f>IF(Assumptions!$Q$24="Yes",-IF(AM6&lt;Assumptions!$P$26,0,(-SUM($F$101:AM101)*Assumptions!$Q$29/12)*(1+Assumptions!$Q$27)^ROUNDDOWN(YEARFRAC(AM6,Assumptions!$P$26),0)),0)</f>
        <v>0</v>
      </c>
      <c r="AN75" s="249">
        <f>IF(Assumptions!$Q$24="Yes",-IF(AN6&lt;Assumptions!$P$26,0,(-SUM($F$101:AN101)*Assumptions!$Q$29/12)*(1+Assumptions!$Q$27)^ROUNDDOWN(YEARFRAC(AN6,Assumptions!$P$26),0)),0)</f>
        <v>0</v>
      </c>
      <c r="AO75" s="249">
        <f>IF(Assumptions!$Q$24="Yes",-IF(AO6&lt;Assumptions!$P$26,0,(-SUM($F$101:AO101)*Assumptions!$Q$29/12)*(1+Assumptions!$Q$27)^ROUNDDOWN(YEARFRAC(AO6,Assumptions!$P$26),0)),0)</f>
        <v>0</v>
      </c>
      <c r="AP75" s="249">
        <f>IF(Assumptions!$Q$24="Yes",-IF(AP6&lt;Assumptions!$P$26,0,(-SUM($F$101:AP101)*Assumptions!$Q$29/12)*(1+Assumptions!$Q$27)^ROUNDDOWN(YEARFRAC(AP6,Assumptions!$P$26),0)),0)</f>
        <v>0</v>
      </c>
      <c r="AQ75" s="249">
        <f>IF(Assumptions!$Q$24="Yes",-IF(AQ6&lt;Assumptions!$P$26,0,(-SUM($F$101:AQ101)*Assumptions!$Q$29/12)*(1+Assumptions!$Q$27)^ROUNDDOWN(YEARFRAC(AQ6,Assumptions!$P$26),0)),0)</f>
        <v>0</v>
      </c>
      <c r="AR75" s="249">
        <f>IF(Assumptions!$Q$24="Yes",-IF(AR6&lt;Assumptions!$P$26,0,(-SUM($F$101:AR101)*Assumptions!$Q$29/12)*(1+Assumptions!$Q$27)^ROUNDDOWN(YEARFRAC(AR6,Assumptions!$P$26),0)),0)</f>
        <v>0</v>
      </c>
      <c r="AS75" s="249">
        <f>IF(Assumptions!$Q$24="Yes",-IF(AS6&lt;Assumptions!$P$26,0,(-SUM($F$101:AS101)*Assumptions!$Q$29/12)*(1+Assumptions!$Q$27)^ROUNDDOWN(YEARFRAC(AS6,Assumptions!$P$26),0)),0)</f>
        <v>0</v>
      </c>
      <c r="AT75" s="249">
        <f>IF(Assumptions!$Q$24="Yes",-IF(AT6&lt;Assumptions!$P$26,0,(-SUM($F$101:AT101)*Assumptions!$Q$29/12)*(1+Assumptions!$Q$27)^ROUNDDOWN(YEARFRAC(AT6,Assumptions!$P$26),0)),0)</f>
        <v>0</v>
      </c>
      <c r="AU75" s="249">
        <f>IF(Assumptions!$Q$24="Yes",-IF(AU6&lt;Assumptions!$P$26,0,(-SUM($F$101:AU101)*Assumptions!$Q$29/12)*(1+Assumptions!$Q$27)^ROUNDDOWN(YEARFRAC(AU6,Assumptions!$P$26),0)),0)</f>
        <v>0</v>
      </c>
      <c r="AV75" s="249">
        <f>IF(Assumptions!$Q$24="Yes",-IF(AV6&lt;Assumptions!$P$26,0,(-SUM($F$101:AV101)*Assumptions!$Q$29/12)*(1+Assumptions!$Q$27)^ROUNDDOWN(YEARFRAC(AV6,Assumptions!$P$26),0)),0)</f>
        <v>0</v>
      </c>
      <c r="AW75" s="249">
        <f>IF(Assumptions!$Q$24="Yes",-IF(AW6&lt;Assumptions!$P$26,0,(-SUM($F$101:AW101)*Assumptions!$Q$29/12)*(1+Assumptions!$Q$27)^ROUNDDOWN(YEARFRAC(AW6,Assumptions!$P$26),0)),0)</f>
        <v>0</v>
      </c>
      <c r="AX75" s="249">
        <f>IF(Assumptions!$Q$24="Yes",-IF(AX6&lt;Assumptions!$P$26,0,(-SUM($F$101:AX101)*Assumptions!$Q$29/12)*(1+Assumptions!$Q$27)^ROUNDDOWN(YEARFRAC(AX6,Assumptions!$P$26),0)),0)</f>
        <v>0</v>
      </c>
      <c r="AY75" s="249">
        <f>IF(Assumptions!$Q$24="Yes",-IF(AY6&lt;Assumptions!$P$26,0,(-SUM($F$101:AY101)*Assumptions!$Q$29/12)*(1+Assumptions!$Q$27)^ROUNDDOWN(YEARFRAC(AY6,Assumptions!$P$26),0)),0)</f>
        <v>0</v>
      </c>
      <c r="AZ75" s="249">
        <f>IF(Assumptions!$Q$24="Yes",-IF(AZ6&lt;Assumptions!$P$26,0,(-SUM($F$101:AZ101)*Assumptions!$Q$29/12)*(1+Assumptions!$Q$27)^ROUNDDOWN(YEARFRAC(AZ6,Assumptions!$P$26),0)),0)</f>
        <v>0</v>
      </c>
      <c r="BA75" s="249">
        <f>IF(Assumptions!$Q$24="Yes",-IF(BA6&lt;Assumptions!$P$26,0,(-SUM($F$101:BA101)*Assumptions!$Q$29/12)*(1+Assumptions!$Q$27)^ROUNDDOWN(YEARFRAC(BA6,Assumptions!$P$26),0)),0)</f>
        <v>0</v>
      </c>
      <c r="BB75" s="249">
        <f>IF(Assumptions!$Q$24="Yes",-IF(BB6&lt;Assumptions!$P$26,0,(-SUM($F$101:BB101)*Assumptions!$Q$29/12)*(1+Assumptions!$Q$27)^ROUNDDOWN(YEARFRAC(BB6,Assumptions!$P$26),0)),0)</f>
        <v>0</v>
      </c>
      <c r="BC75" s="249">
        <f>IF(Assumptions!$Q$24="Yes",-IF(BC6&lt;Assumptions!$P$26,0,(-SUM($F$101:BC101)*Assumptions!$Q$29/12)*(1+Assumptions!$Q$27)^ROUNDDOWN(YEARFRAC(BC6,Assumptions!$P$26),0)),0)</f>
        <v>0</v>
      </c>
      <c r="BD75" s="249">
        <f>IF(Assumptions!$Q$24="Yes",-IF(BD6&lt;Assumptions!$P$26,0,(-SUM($F$101:BD101)*Assumptions!$Q$29/12)*(1+Assumptions!$Q$27)^ROUNDDOWN(YEARFRAC(BD6,Assumptions!$P$26),0)),0)</f>
        <v>0</v>
      </c>
      <c r="BE75" s="249">
        <f>IF(Assumptions!$Q$24="Yes",-IF(BE6&lt;Assumptions!$P$26,0,(-SUM($F$101:BE101)*Assumptions!$Q$29/12)*(1+Assumptions!$Q$27)^ROUNDDOWN(YEARFRAC(BE6,Assumptions!$P$26),0)),0)</f>
        <v>0</v>
      </c>
      <c r="BF75" s="249">
        <f>IF(Assumptions!$Q$24="Yes",-IF(BF6&lt;Assumptions!$P$26,0,(-SUM($F$101:BF101)*Assumptions!$Q$29/12)*(1+Assumptions!$Q$27)^ROUNDDOWN(YEARFRAC(BF6,Assumptions!$P$26),0)),0)</f>
        <v>0</v>
      </c>
      <c r="BG75" s="249">
        <f>IF(Assumptions!$Q$24="Yes",-IF(BG6&lt;Assumptions!$P$26,0,(-SUM($F$101:BG101)*Assumptions!$Q$29/12)*(1+Assumptions!$Q$27)^ROUNDDOWN(YEARFRAC(BG6,Assumptions!$P$26),0)),0)</f>
        <v>0</v>
      </c>
      <c r="BH75" s="249">
        <f>IF(Assumptions!$Q$24="Yes",-IF(BH6&lt;Assumptions!$P$26,0,(-SUM($F$101:BH101)*Assumptions!$Q$29/12)*(1+Assumptions!$Q$27)^ROUNDDOWN(YEARFRAC(BH6,Assumptions!$P$26),0)),0)</f>
        <v>0</v>
      </c>
      <c r="BI75" s="249">
        <f>IF(Assumptions!$Q$24="Yes",-IF(BI6&lt;Assumptions!$P$26,0,(-SUM($F$101:BI101)*Assumptions!$Q$29/12)*(1+Assumptions!$Q$27)^ROUNDDOWN(YEARFRAC(BI6,Assumptions!$P$26),0)),0)</f>
        <v>0</v>
      </c>
      <c r="BJ75" s="249">
        <f>IF(Assumptions!$Q$24="Yes",-IF(BJ6&lt;Assumptions!$P$26,0,(-SUM($F$101:BJ101)*Assumptions!$Q$29/12)*(1+Assumptions!$Q$27)^ROUNDDOWN(YEARFRAC(BJ6,Assumptions!$P$26),0)),0)</f>
        <v>0</v>
      </c>
      <c r="BK75" s="249">
        <f>IF(Assumptions!$Q$24="Yes",-IF(BK6&lt;Assumptions!$P$26,0,(-SUM($F$101:BK101)*Assumptions!$Q$29/12)*(1+Assumptions!$Q$27)^ROUNDDOWN(YEARFRAC(BK6,Assumptions!$P$26),0)),0)</f>
        <v>0</v>
      </c>
      <c r="BL75" s="249">
        <f>IF(Assumptions!$Q$24="Yes",-IF(BL6&lt;Assumptions!$P$26,0,(-SUM($F$101:BL101)*Assumptions!$Q$29/12)*(1+Assumptions!$Q$27)^ROUNDDOWN(YEARFRAC(BL6,Assumptions!$P$26),0)),0)</f>
        <v>0</v>
      </c>
      <c r="BM75" s="249">
        <f>IF(Assumptions!$Q$24="Yes",-IF(BM6&lt;Assumptions!$P$26,0,(-SUM($F$101:BM101)*Assumptions!$Q$29/12)*(1+Assumptions!$Q$27)^ROUNDDOWN(YEARFRAC(BM6,Assumptions!$P$26),0)),0)</f>
        <v>0</v>
      </c>
      <c r="BN75" s="249">
        <f>IF(Assumptions!$Q$24="Yes",-IF(BN6&lt;Assumptions!$P$26,0,(-SUM($F$101:BN101)*Assumptions!$Q$29/12)*(1+Assumptions!$Q$27)^ROUNDDOWN(YEARFRAC(BN6,Assumptions!$P$26),0)),0)</f>
        <v>0</v>
      </c>
      <c r="BO75" s="249">
        <f>IF(Assumptions!$Q$24="Yes",-IF(BO6&lt;Assumptions!$P$26,0,(-SUM($F$101:BO101)*Assumptions!$Q$29/12)*(1+Assumptions!$Q$27)^ROUNDDOWN(YEARFRAC(BO6,Assumptions!$P$26),0)),0)</f>
        <v>0</v>
      </c>
      <c r="BP75" s="249">
        <f>IF(Assumptions!$Q$24="Yes",-IF(BP6&lt;Assumptions!$P$26,0,(-SUM($F$101:BP101)*Assumptions!$Q$29/12)*(1+Assumptions!$Q$27)^ROUNDDOWN(YEARFRAC(BP6,Assumptions!$P$26),0)),0)</f>
        <v>0</v>
      </c>
      <c r="BQ75" s="249">
        <f>IF(Assumptions!$Q$24="Yes",-IF(BQ6&lt;Assumptions!$P$26,0,(-SUM($F$101:BQ101)*Assumptions!$Q$29/12)*(1+Assumptions!$Q$27)^ROUNDDOWN(YEARFRAC(BQ6,Assumptions!$P$26),0)),0)</f>
        <v>0</v>
      </c>
      <c r="BR75" s="249">
        <f>IF(Assumptions!$Q$24="Yes",-IF(BR6&lt;Assumptions!$P$26,0,(-SUM($F$101:BR101)*Assumptions!$Q$29/12)*(1+Assumptions!$Q$27)^ROUNDDOWN(YEARFRAC(BR6,Assumptions!$P$26),0)),0)</f>
        <v>0</v>
      </c>
      <c r="BS75" s="249">
        <f>IF(Assumptions!$Q$24="Yes",-IF(BS6&lt;Assumptions!$P$26,0,(-SUM($F$101:BS101)*Assumptions!$Q$29/12)*(1+Assumptions!$Q$27)^ROUNDDOWN(YEARFRAC(BS6,Assumptions!$P$26),0)),0)</f>
        <v>0</v>
      </c>
      <c r="BT75" s="249">
        <f>IF(Assumptions!$Q$24="Yes",-IF(BT6&lt;Assumptions!$P$26,0,(-SUM($F$101:BT101)*Assumptions!$Q$29/12)*(1+Assumptions!$Q$27)^ROUNDDOWN(YEARFRAC(BT6,Assumptions!$P$26),0)),0)</f>
        <v>0</v>
      </c>
      <c r="BU75" s="249">
        <f>IF(Assumptions!$Q$24="Yes",-IF(BU6&lt;Assumptions!$P$26,0,(-SUM($F$101:BU101)*Assumptions!$Q$29/12)*(1+Assumptions!$Q$27)^ROUNDDOWN(YEARFRAC(BU6,Assumptions!$P$26),0)),0)</f>
        <v>0</v>
      </c>
      <c r="BV75" s="249">
        <f>IF(Assumptions!$Q$24="Yes",-IF(BV6&lt;Assumptions!$P$26,0,(-SUM($F$101:BV101)*Assumptions!$Q$29/12)*(1+Assumptions!$Q$27)^ROUNDDOWN(YEARFRAC(BV6,Assumptions!$P$26),0)),0)</f>
        <v>0</v>
      </c>
      <c r="BW75" s="249">
        <f>IF(Assumptions!$Q$24="Yes",-IF(BW6&lt;Assumptions!$P$26,0,(-SUM($F$101:BW101)*Assumptions!$Q$29/12)*(1+Assumptions!$Q$27)^ROUNDDOWN(YEARFRAC(BW6,Assumptions!$P$26),0)),0)</f>
        <v>0</v>
      </c>
      <c r="BX75" s="249">
        <f>IF(Assumptions!$Q$24="Yes",-IF(BX6&lt;Assumptions!$P$26,0,(-SUM($F$101:BX101)*Assumptions!$Q$29/12)*(1+Assumptions!$Q$27)^ROUNDDOWN(YEARFRAC(BX6,Assumptions!$P$26),0)),0)</f>
        <v>0</v>
      </c>
      <c r="BY75" s="249">
        <f>IF(Assumptions!$Q$24="Yes",-IF(BY6&lt;Assumptions!$P$26,0,(-SUM($F$101:BY101)*Assumptions!$Q$29/12)*(1+Assumptions!$Q$27)^ROUNDDOWN(YEARFRAC(BY6,Assumptions!$P$26),0)),0)</f>
        <v>0</v>
      </c>
      <c r="BZ75" s="249">
        <f>IF(Assumptions!$Q$24="Yes",-IF(BZ6&lt;Assumptions!$P$26,0,(-SUM($F$101:BZ101)*Assumptions!$Q$29/12)*(1+Assumptions!$Q$27)^ROUNDDOWN(YEARFRAC(BZ6,Assumptions!$P$26),0)),0)</f>
        <v>0</v>
      </c>
      <c r="CA75" s="249">
        <f>IF(Assumptions!$Q$24="Yes",-IF(CA6&lt;Assumptions!$P$26,0,(-SUM($F$101:CA101)*Assumptions!$Q$29/12)*(1+Assumptions!$Q$27)^ROUNDDOWN(YEARFRAC(CA6,Assumptions!$P$26),0)),0)</f>
        <v>0</v>
      </c>
      <c r="CB75" s="249">
        <f>IF(Assumptions!$Q$24="Yes",-IF(CB6&lt;Assumptions!$P$26,0,(-SUM($F$101:CB101)*Assumptions!$Q$29/12)*(1+Assumptions!$Q$27)^ROUNDDOWN(YEARFRAC(CB6,Assumptions!$P$26),0)),0)</f>
        <v>0</v>
      </c>
      <c r="CC75" s="249">
        <f>IF(Assumptions!$Q$24="Yes",-IF(CC6&lt;Assumptions!$P$26,0,(-SUM($F$101:CC101)*Assumptions!$Q$29/12)*(1+Assumptions!$Q$27)^ROUNDDOWN(YEARFRAC(CC6,Assumptions!$P$26),0)),0)</f>
        <v>0</v>
      </c>
      <c r="CD75" s="249">
        <f>IF(Assumptions!$Q$24="Yes",-IF(CD6&lt;Assumptions!$P$26,0,(-SUM($F$101:CD101)*Assumptions!$Q$29/12)*(1+Assumptions!$Q$27)^ROUNDDOWN(YEARFRAC(CD6,Assumptions!$P$26),0)),0)</f>
        <v>0</v>
      </c>
      <c r="CE75" s="249">
        <f>IF(Assumptions!$Q$24="Yes",-IF(CE6&lt;Assumptions!$P$26,0,(-SUM($F$101:CE101)*Assumptions!$Q$29/12)*(1+Assumptions!$Q$27)^ROUNDDOWN(YEARFRAC(CE6,Assumptions!$P$26),0)),0)</f>
        <v>0</v>
      </c>
      <c r="CF75" s="249">
        <f>IF(Assumptions!$Q$24="Yes",-IF(CF6&lt;Assumptions!$P$26,0,(-SUM($F$101:CF101)*Assumptions!$Q$29/12)*(1+Assumptions!$Q$27)^ROUNDDOWN(YEARFRAC(CF6,Assumptions!$P$26),0)),0)</f>
        <v>0</v>
      </c>
      <c r="CG75" s="249">
        <f>IF(Assumptions!$Q$24="Yes",-IF(CG6&lt;Assumptions!$P$26,0,(-SUM($F$101:CG101)*Assumptions!$Q$29/12)*(1+Assumptions!$Q$27)^ROUNDDOWN(YEARFRAC(CG6,Assumptions!$P$26),0)),0)</f>
        <v>0</v>
      </c>
      <c r="CH75" s="249">
        <f>IF(Assumptions!$Q$24="Yes",-IF(CH6&lt;Assumptions!$P$26,0,(-SUM($F$101:CH101)*Assumptions!$Q$29/12)*(1+Assumptions!$Q$27)^ROUNDDOWN(YEARFRAC(CH6,Assumptions!$P$26),0)),0)</f>
        <v>0</v>
      </c>
      <c r="CI75" s="249">
        <f>IF(Assumptions!$Q$24="Yes",-IF(CI6&lt;Assumptions!$P$26,0,(-SUM($F$101:CI101)*Assumptions!$Q$29/12)*(1+Assumptions!$Q$27)^ROUNDDOWN(YEARFRAC(CI6,Assumptions!$P$26),0)),0)</f>
        <v>0</v>
      </c>
      <c r="CJ75" s="249">
        <f>IF(Assumptions!$Q$24="Yes",-IF(CJ6&lt;Assumptions!$P$26,0,(-SUM($F$101:CJ101)*Assumptions!$Q$29/12)*(1+Assumptions!$Q$27)^ROUNDDOWN(YEARFRAC(CJ6,Assumptions!$P$26),0)),0)</f>
        <v>0</v>
      </c>
      <c r="CK75" s="249">
        <f>IF(Assumptions!$Q$24="Yes",-IF(CK6&lt;Assumptions!$P$26,0,(-SUM($F$101:CK101)*Assumptions!$Q$29/12)*(1+Assumptions!$Q$27)^ROUNDDOWN(YEARFRAC(CK6,Assumptions!$P$26),0)),0)</f>
        <v>0</v>
      </c>
      <c r="CL75" s="249">
        <f>IF(Assumptions!$Q$24="Yes",-IF(CL6&lt;Assumptions!$P$26,0,(-SUM($F$101:CL101)*Assumptions!$Q$29/12)*(1+Assumptions!$Q$27)^ROUNDDOWN(YEARFRAC(CL6,Assumptions!$P$26),0)),0)</f>
        <v>0</v>
      </c>
      <c r="CM75" s="249">
        <f>IF(Assumptions!$Q$24="Yes",-IF(CM6&lt;Assumptions!$P$26,0,(-SUM($F$101:CM101)*Assumptions!$Q$29/12)*(1+Assumptions!$Q$27)^ROUNDDOWN(YEARFRAC(CM6,Assumptions!$P$26),0)),0)</f>
        <v>0</v>
      </c>
      <c r="CN75" s="249">
        <f>IF(Assumptions!$Q$24="Yes",-IF(CN6&lt;Assumptions!$P$26,0,(-SUM($F$101:CN101)*Assumptions!$Q$29/12)*(1+Assumptions!$Q$27)^ROUNDDOWN(YEARFRAC(CN6,Assumptions!$P$26),0)),0)</f>
        <v>0</v>
      </c>
      <c r="CO75" s="249">
        <f>IF(Assumptions!$Q$24="Yes",-IF(CO6&lt;Assumptions!$P$26,0,(-SUM($F$101:CO101)*Assumptions!$Q$29/12)*(1+Assumptions!$Q$27)^ROUNDDOWN(YEARFRAC(CO6,Assumptions!$P$26),0)),0)</f>
        <v>0</v>
      </c>
      <c r="CP75" s="249">
        <f>IF(Assumptions!$Q$24="Yes",-IF(CP6&lt;Assumptions!$P$26,0,(-SUM($F$101:CP101)*Assumptions!$Q$29/12)*(1+Assumptions!$Q$27)^ROUNDDOWN(YEARFRAC(CP6,Assumptions!$P$26),0)),0)</f>
        <v>0</v>
      </c>
      <c r="CQ75" s="249">
        <f>IF(Assumptions!$Q$24="Yes",-IF(CQ6&lt;Assumptions!$P$26,0,(-SUM($F$101:CQ101)*Assumptions!$Q$29/12)*(1+Assumptions!$Q$27)^ROUNDDOWN(YEARFRAC(CQ6,Assumptions!$P$26),0)),0)</f>
        <v>0</v>
      </c>
      <c r="CR75" s="249">
        <f>IF(Assumptions!$Q$24="Yes",-IF(CR6&lt;Assumptions!$P$26,0,(-SUM($F$101:CR101)*Assumptions!$Q$29/12)*(1+Assumptions!$Q$27)^ROUNDDOWN(YEARFRAC(CR6,Assumptions!$P$26),0)),0)</f>
        <v>0</v>
      </c>
      <c r="CS75" s="249">
        <f>IF(Assumptions!$Q$24="Yes",-IF(CS6&lt;Assumptions!$P$26,0,(-SUM($F$101:CS101)*Assumptions!$Q$29/12)*(1+Assumptions!$Q$27)^ROUNDDOWN(YEARFRAC(CS6,Assumptions!$P$26),0)),0)</f>
        <v>0</v>
      </c>
      <c r="CT75" s="249">
        <f>IF(Assumptions!$Q$24="Yes",-IF(CT6&lt;Assumptions!$P$26,0,(-SUM($F$101:CT101)*Assumptions!$Q$29/12)*(1+Assumptions!$Q$27)^ROUNDDOWN(YEARFRAC(CT6,Assumptions!$P$26),0)),0)</f>
        <v>0</v>
      </c>
      <c r="CU75" s="249">
        <f>IF(Assumptions!$Q$24="Yes",-IF(CU6&lt;Assumptions!$P$26,0,(-SUM($F$101:CU101)*Assumptions!$Q$29/12)*(1+Assumptions!$Q$27)^ROUNDDOWN(YEARFRAC(CU6,Assumptions!$P$26),0)),0)</f>
        <v>0</v>
      </c>
      <c r="CV75" s="249">
        <f>IF(Assumptions!$Q$24="Yes",-IF(CV6&lt;Assumptions!$P$26,0,(-SUM($F$101:CV101)*Assumptions!$Q$29/12)*(1+Assumptions!$Q$27)^ROUNDDOWN(YEARFRAC(CV6,Assumptions!$P$26),0)),0)</f>
        <v>0</v>
      </c>
      <c r="CW75" s="249">
        <f>IF(Assumptions!$Q$24="Yes",-IF(CW6&lt;Assumptions!$P$26,0,(-SUM($F$101:CW101)*Assumptions!$Q$29/12)*(1+Assumptions!$Q$27)^ROUNDDOWN(YEARFRAC(CW6,Assumptions!$P$26),0)),0)</f>
        <v>0</v>
      </c>
      <c r="CX75" s="249">
        <f>IF(Assumptions!$Q$24="Yes",-IF(CX6&lt;Assumptions!$P$26,0,(-SUM($F$101:CX101)*Assumptions!$Q$29/12)*(1+Assumptions!$Q$27)^ROUNDDOWN(YEARFRAC(CX6,Assumptions!$P$26),0)),0)</f>
        <v>0</v>
      </c>
      <c r="CY75" s="249">
        <f>IF(Assumptions!$Q$24="Yes",-IF(CY6&lt;Assumptions!$P$26,0,(-SUM($F$101:CY101)*Assumptions!$Q$29/12)*(1+Assumptions!$Q$27)^ROUNDDOWN(YEARFRAC(CY6,Assumptions!$P$26),0)),0)</f>
        <v>0</v>
      </c>
      <c r="CZ75" s="249">
        <f>IF(Assumptions!$Q$24="Yes",-IF(CZ6&lt;Assumptions!$P$26,0,(-SUM($F$101:CZ101)*Assumptions!$Q$29/12)*(1+Assumptions!$Q$27)^ROUNDDOWN(YEARFRAC(CZ6,Assumptions!$P$26),0)),0)</f>
        <v>0</v>
      </c>
      <c r="DA75" s="249">
        <f>IF(Assumptions!$Q$24="Yes",-IF(DA6&lt;Assumptions!$P$26,0,(-SUM($F$101:DA101)*Assumptions!$Q$29/12)*(1+Assumptions!$Q$27)^ROUNDDOWN(YEARFRAC(DA6,Assumptions!$P$26),0)),0)</f>
        <v>0</v>
      </c>
      <c r="DB75" s="249">
        <f>IF(Assumptions!$Q$24="Yes",-IF(DB6&lt;Assumptions!$P$26,0,(-SUM($F$101:DB101)*Assumptions!$Q$29/12)*(1+Assumptions!$Q$27)^ROUNDDOWN(YEARFRAC(DB6,Assumptions!$P$26),0)),0)</f>
        <v>0</v>
      </c>
      <c r="DC75" s="249">
        <f>IF(Assumptions!$Q$24="Yes",-IF(DC6&lt;Assumptions!$P$26,0,(-SUM($F$101:DC101)*Assumptions!$Q$29/12)*(1+Assumptions!$Q$27)^ROUNDDOWN(YEARFRAC(DC6,Assumptions!$P$26),0)),0)</f>
        <v>0</v>
      </c>
      <c r="DD75" s="249">
        <f>IF(Assumptions!$Q$24="Yes",-IF(DD6&lt;Assumptions!$P$26,0,(-SUM($F$101:DD101)*Assumptions!$Q$29/12)*(1+Assumptions!$Q$27)^ROUNDDOWN(YEARFRAC(DD6,Assumptions!$P$26),0)),0)</f>
        <v>0</v>
      </c>
      <c r="DE75" s="249">
        <f>IF(Assumptions!$Q$24="Yes",-IF(DE6&lt;Assumptions!$P$26,0,(-SUM($F$101:DE101)*Assumptions!$Q$29/12)*(1+Assumptions!$Q$27)^ROUNDDOWN(YEARFRAC(DE6,Assumptions!$P$26),0)),0)</f>
        <v>0</v>
      </c>
      <c r="DF75" s="249">
        <f>IF(Assumptions!$Q$24="Yes",-IF(DF6&lt;Assumptions!$P$26,0,(-SUM($F$101:DF101)*Assumptions!$Q$29/12)*(1+Assumptions!$Q$27)^ROUNDDOWN(YEARFRAC(DF6,Assumptions!$P$26),0)),0)</f>
        <v>0</v>
      </c>
      <c r="DG75" s="249">
        <f>IF(Assumptions!$Q$24="Yes",-IF(DG6&lt;Assumptions!$P$26,0,(-SUM($F$101:DG101)*Assumptions!$Q$29/12)*(1+Assumptions!$Q$27)^ROUNDDOWN(YEARFRAC(DG6,Assumptions!$P$26),0)),0)</f>
        <v>0</v>
      </c>
      <c r="DH75" s="249">
        <f>IF(Assumptions!$Q$24="Yes",-IF(DH6&lt;Assumptions!$P$26,0,(-SUM($F$101:DH101)*Assumptions!$Q$29/12)*(1+Assumptions!$Q$27)^ROUNDDOWN(YEARFRAC(DH6,Assumptions!$P$26),0)),0)</f>
        <v>0</v>
      </c>
      <c r="DI75" s="249">
        <f>IF(Assumptions!$Q$24="Yes",-IF(DI6&lt;Assumptions!$P$26,0,(-SUM($F$101:DI101)*Assumptions!$Q$29/12)*(1+Assumptions!$Q$27)^ROUNDDOWN(YEARFRAC(DI6,Assumptions!$P$26),0)),0)</f>
        <v>0</v>
      </c>
      <c r="DJ75" s="249">
        <f>IF(Assumptions!$Q$24="Yes",-IF(DJ6&lt;Assumptions!$P$26,0,(-SUM($F$101:DJ101)*Assumptions!$Q$29/12)*(1+Assumptions!$Q$27)^ROUNDDOWN(YEARFRAC(DJ6,Assumptions!$P$26),0)),0)</f>
        <v>0</v>
      </c>
      <c r="DK75" s="249">
        <f>IF(Assumptions!$Q$24="Yes",-IF(DK6&lt;Assumptions!$P$26,0,(-SUM($F$101:DK101)*Assumptions!$Q$29/12)*(1+Assumptions!$Q$27)^ROUNDDOWN(YEARFRAC(DK6,Assumptions!$P$26),0)),0)</f>
        <v>0</v>
      </c>
      <c r="DL75" s="249">
        <f>IF(Assumptions!$Q$24="Yes",-IF(DL6&lt;Assumptions!$P$26,0,(-SUM($F$101:DL101)*Assumptions!$Q$29/12)*(1+Assumptions!$Q$27)^ROUNDDOWN(YEARFRAC(DL6,Assumptions!$P$26),0)),0)</f>
        <v>0</v>
      </c>
      <c r="DM75" s="249">
        <f>IF(Assumptions!$Q$24="Yes",-IF(DM6&lt;Assumptions!$P$26,0,(-SUM($F$101:DM101)*Assumptions!$Q$29/12)*(1+Assumptions!$Q$27)^ROUNDDOWN(YEARFRAC(DM6,Assumptions!$P$26),0)),0)</f>
        <v>0</v>
      </c>
      <c r="DN75" s="249">
        <f>IF(Assumptions!$Q$24="Yes",-IF(DN6&lt;Assumptions!$P$26,0,(-SUM($F$101:DN101)*Assumptions!$Q$29/12)*(1+Assumptions!$Q$27)^ROUNDDOWN(YEARFRAC(DN6,Assumptions!$P$26),0)),0)</f>
        <v>0</v>
      </c>
      <c r="DO75" s="249">
        <f>IF(Assumptions!$Q$24="Yes",-IF(DO6&lt;Assumptions!$P$26,0,(-SUM($F$101:DO101)*Assumptions!$Q$29/12)*(1+Assumptions!$Q$27)^ROUNDDOWN(YEARFRAC(DO6,Assumptions!$P$26),0)),0)</f>
        <v>0</v>
      </c>
      <c r="DP75" s="249">
        <f>IF(Assumptions!$Q$24="Yes",-IF(DP6&lt;Assumptions!$P$26,0,(-SUM($F$101:DP101)*Assumptions!$Q$29/12)*(1+Assumptions!$Q$27)^ROUNDDOWN(YEARFRAC(DP6,Assumptions!$P$26),0)),0)</f>
        <v>0</v>
      </c>
      <c r="DQ75" s="249">
        <f>IF(Assumptions!$Q$24="Yes",-IF(DQ6&lt;Assumptions!$P$26,0,(-SUM($F$101:DQ101)*Assumptions!$Q$29/12)*(1+Assumptions!$Q$27)^ROUNDDOWN(YEARFRAC(DQ6,Assumptions!$P$26),0)),0)</f>
        <v>0</v>
      </c>
      <c r="DR75" s="249">
        <f>IF(Assumptions!$Q$24="Yes",-IF(DR6&lt;Assumptions!$P$26,0,(-SUM($F$101:DR101)*Assumptions!$Q$29/12)*(1+Assumptions!$Q$27)^ROUNDDOWN(YEARFRAC(DR6,Assumptions!$P$26),0)),0)</f>
        <v>0</v>
      </c>
      <c r="DS75" s="249">
        <f>IF(Assumptions!$Q$24="Yes",-IF(DS6&lt;Assumptions!$P$26,0,(-SUM($F$101:DS101)*Assumptions!$Q$29/12)*(1+Assumptions!$Q$27)^ROUNDDOWN(YEARFRAC(DS6,Assumptions!$P$26),0)),0)</f>
        <v>0</v>
      </c>
      <c r="DT75" s="249">
        <f>IF(Assumptions!$Q$24="Yes",-IF(DT6&lt;Assumptions!$P$26,0,(-SUM($F$101:DT101)*Assumptions!$Q$29/12)*(1+Assumptions!$Q$27)^ROUNDDOWN(YEARFRAC(DT6,Assumptions!$P$26),0)),0)</f>
        <v>0</v>
      </c>
      <c r="DU75" s="249">
        <f>IF(Assumptions!$Q$24="Yes",-IF(DU6&lt;Assumptions!$P$26,0,(-SUM($F$101:DU101)*Assumptions!$Q$29/12)*(1+Assumptions!$Q$27)^ROUNDDOWN(YEARFRAC(DU6,Assumptions!$P$26),0)),0)</f>
        <v>0</v>
      </c>
      <c r="DV75" s="249">
        <f>IF(Assumptions!$Q$24="Yes",-IF(DV6&lt;Assumptions!$P$26,0,(-SUM($F$101:DV101)*Assumptions!$Q$29/12)*(1+Assumptions!$Q$27)^ROUNDDOWN(YEARFRAC(DV6,Assumptions!$P$26),0)),0)</f>
        <v>0</v>
      </c>
      <c r="DW75" s="249">
        <f>IF(Assumptions!$Q$24="Yes",-IF(DW6&lt;Assumptions!$P$26,0,(-SUM($F$101:DW101)*Assumptions!$Q$29/12)*(1+Assumptions!$Q$27)^ROUNDDOWN(YEARFRAC(DW6,Assumptions!$P$26),0)),0)</f>
        <v>0</v>
      </c>
      <c r="DX75" s="249">
        <f>IF(Assumptions!$Q$24="Yes",-IF(DX6&lt;Assumptions!$P$26,0,(-SUM($F$101:DX101)*Assumptions!$Q$29/12)*(1+Assumptions!$Q$27)^ROUNDDOWN(YEARFRAC(DX6,Assumptions!$P$26),0)),0)</f>
        <v>0</v>
      </c>
      <c r="DY75" s="249">
        <f>IF(Assumptions!$Q$24="Yes",-IF(DY6&lt;Assumptions!$P$26,0,(-SUM($F$101:DY101)*Assumptions!$Q$29/12)*(1+Assumptions!$Q$27)^ROUNDDOWN(YEARFRAC(DY6,Assumptions!$P$26),0)),0)</f>
        <v>0</v>
      </c>
      <c r="DZ75" s="249">
        <f>IF(Assumptions!$Q$24="Yes",-IF(DZ6&lt;Assumptions!$P$26,0,(-SUM($F$101:DZ101)*Assumptions!$Q$29/12)*(1+Assumptions!$Q$27)^ROUNDDOWN(YEARFRAC(DZ6,Assumptions!$P$26),0)),0)</f>
        <v>0</v>
      </c>
      <c r="EA75" s="249">
        <f>IF(Assumptions!$Q$24="Yes",-IF(EA6&lt;Assumptions!$P$26,0,(-SUM($F$101:EA101)*Assumptions!$Q$29/12)*(1+Assumptions!$Q$27)^ROUNDDOWN(YEARFRAC(EA6,Assumptions!$P$26),0)),0)</f>
        <v>0</v>
      </c>
      <c r="EB75" s="249">
        <f>IF(Assumptions!$Q$24="Yes",-IF(EB6&lt;Assumptions!$P$26,0,(-SUM($F$101:EB101)*Assumptions!$Q$29/12)*(1+Assumptions!$Q$27)^ROUNDDOWN(YEARFRAC(EB6,Assumptions!$P$26),0)),0)</f>
        <v>0</v>
      </c>
      <c r="EC75" s="249">
        <f>IF(Assumptions!$Q$24="Yes",-IF(EC6&lt;Assumptions!$P$26,0,(-SUM($F$101:EC101)*Assumptions!$Q$29/12)*(1+Assumptions!$Q$27)^ROUNDDOWN(YEARFRAC(EC6,Assumptions!$P$26),0)),0)</f>
        <v>0</v>
      </c>
      <c r="ED75" s="249">
        <f>IF(Assumptions!$Q$24="Yes",-IF(ED6&lt;Assumptions!$P$26,0,(-SUM($F$101:ED101)*Assumptions!$Q$29/12)*(1+Assumptions!$Q$27)^ROUNDDOWN(YEARFRAC(ED6,Assumptions!$P$26),0)),0)</f>
        <v>0</v>
      </c>
      <c r="EE75" s="249">
        <f>IF(Assumptions!$Q$24="Yes",-IF(EE6&lt;Assumptions!$P$26,0,(-SUM($F$101:EE101)*Assumptions!$Q$29/12)*(1+Assumptions!$Q$27)^ROUNDDOWN(YEARFRAC(EE6,Assumptions!$P$26),0)),0)</f>
        <v>0</v>
      </c>
      <c r="EF75" s="249">
        <f>IF(Assumptions!$Q$24="Yes",-IF(EF6&lt;Assumptions!$P$26,0,(-SUM($F$101:EF101)*Assumptions!$Q$29/12)*(1+Assumptions!$Q$27)^ROUNDDOWN(YEARFRAC(EF6,Assumptions!$P$26),0)),0)</f>
        <v>0</v>
      </c>
      <c r="EG75" s="249">
        <f>IF(Assumptions!$Q$24="Yes",-IF(EG6&lt;Assumptions!$P$26,0,(-SUM($F$101:EG101)*Assumptions!$Q$29/12)*(1+Assumptions!$Q$27)^ROUNDDOWN(YEARFRAC(EG6,Assumptions!$P$26),0)),0)</f>
        <v>0</v>
      </c>
      <c r="EH75" s="249">
        <f>IF(Assumptions!$Q$24="Yes",-IF(EH6&lt;Assumptions!$P$26,0,(-SUM($F$101:EH101)*Assumptions!$Q$29/12)*(1+Assumptions!$Q$27)^ROUNDDOWN(YEARFRAC(EH6,Assumptions!$P$26),0)),0)</f>
        <v>0</v>
      </c>
      <c r="EI75" s="249">
        <f>IF(Assumptions!$Q$24="Yes",-IF(EI6&lt;Assumptions!$P$26,0,(-SUM($F$101:EI101)*Assumptions!$Q$29/12)*(1+Assumptions!$Q$27)^ROUNDDOWN(YEARFRAC(EI6,Assumptions!$P$26),0)),0)</f>
        <v>0</v>
      </c>
      <c r="EJ75" s="249">
        <f>IF(Assumptions!$Q$24="Yes",-IF(EJ6&lt;Assumptions!$P$26,0,(-SUM($F$101:EJ101)*Assumptions!$Q$29/12)*(1+Assumptions!$Q$27)^ROUNDDOWN(YEARFRAC(EJ6,Assumptions!$P$26),0)),0)</f>
        <v>0</v>
      </c>
      <c r="EK75" s="249">
        <f>IF(Assumptions!$Q$24="Yes",-IF(EK6&lt;Assumptions!$P$26,0,(-SUM($F$101:EK101)*Assumptions!$Q$29/12)*(1+Assumptions!$Q$27)^ROUNDDOWN(YEARFRAC(EK6,Assumptions!$P$26),0)),0)</f>
        <v>0</v>
      </c>
      <c r="EL75" s="249">
        <f>IF(Assumptions!$Q$24="Yes",-IF(EL6&lt;Assumptions!$P$26,0,(-SUM($F$101:EL101)*Assumptions!$Q$29/12)*(1+Assumptions!$Q$27)^ROUNDDOWN(YEARFRAC(EL6,Assumptions!$P$26),0)),0)</f>
        <v>0</v>
      </c>
      <c r="EM75" s="249">
        <f>IF(Assumptions!$Q$24="Yes",-IF(EM6&lt;Assumptions!$P$26,0,(-SUM($F$101:EM101)*Assumptions!$Q$29/12)*(1+Assumptions!$Q$27)^ROUNDDOWN(YEARFRAC(EM6,Assumptions!$P$26),0)),0)</f>
        <v>0</v>
      </c>
      <c r="EN75" s="249">
        <f>IF(Assumptions!$Q$24="Yes",-IF(EN6&lt;Assumptions!$P$26,0,(-SUM($F$101:EN101)*Assumptions!$Q$29/12)*(1+Assumptions!$Q$27)^ROUNDDOWN(YEARFRAC(EN6,Assumptions!$P$26),0)),0)</f>
        <v>0</v>
      </c>
      <c r="EO75" s="249">
        <f>IF(Assumptions!$Q$24="Yes",-IF(EO6&lt;Assumptions!$P$26,0,(-SUM($F$101:EO101)*Assumptions!$Q$29/12)*(1+Assumptions!$Q$27)^ROUNDDOWN(YEARFRAC(EO6,Assumptions!$P$26),0)),0)</f>
        <v>0</v>
      </c>
      <c r="EP75" s="249">
        <f>IF(Assumptions!$Q$24="Yes",-IF(EP6&lt;Assumptions!$P$26,0,(-SUM($F$101:EP101)*Assumptions!$Q$29/12)*(1+Assumptions!$Q$27)^ROUNDDOWN(YEARFRAC(EP6,Assumptions!$P$26),0)),0)</f>
        <v>0</v>
      </c>
      <c r="EQ75" s="249">
        <f>IF(Assumptions!$Q$24="Yes",-IF(EQ6&lt;Assumptions!$P$26,0,(-SUM($F$101:EQ101)*Assumptions!$Q$29/12)*(1+Assumptions!$Q$27)^ROUNDDOWN(YEARFRAC(EQ6,Assumptions!$P$26),0)),0)</f>
        <v>0</v>
      </c>
      <c r="ER75" s="249">
        <f>IF(Assumptions!$Q$24="Yes",-IF(ER6&lt;Assumptions!$P$26,0,(-SUM($F$101:ER101)*Assumptions!$Q$29/12)*(1+Assumptions!$Q$27)^ROUNDDOWN(YEARFRAC(ER6,Assumptions!$P$26),0)),0)</f>
        <v>0</v>
      </c>
      <c r="ES75" s="249">
        <f>IF(Assumptions!$Q$24="Yes",-IF(ES6&lt;Assumptions!$P$26,0,(-SUM($F$101:ES101)*Assumptions!$Q$29/12)*(1+Assumptions!$Q$27)^ROUNDDOWN(YEARFRAC(ES6,Assumptions!$P$26),0)),0)</f>
        <v>0</v>
      </c>
      <c r="ET75" s="249">
        <f>IF(Assumptions!$Q$24="Yes",-IF(ET6&lt;Assumptions!$P$26,0,(-SUM($F$101:ET101)*Assumptions!$Q$29/12)*(1+Assumptions!$Q$27)^ROUNDDOWN(YEARFRAC(ET6,Assumptions!$P$26),0)),0)</f>
        <v>0</v>
      </c>
    </row>
    <row r="76" spans="2:150" x14ac:dyDescent="0.2"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</row>
    <row r="77" spans="2:150" s="83" customFormat="1" x14ac:dyDescent="0.2">
      <c r="B77" s="99" t="s">
        <v>317</v>
      </c>
      <c r="C77" s="99"/>
      <c r="D77" s="93"/>
      <c r="E77" s="99"/>
      <c r="F77" s="246">
        <f>F63+F73+F75</f>
        <v>0</v>
      </c>
      <c r="G77" s="246">
        <f t="shared" ref="G77:BR77" si="642">G63+G73+G75</f>
        <v>0</v>
      </c>
      <c r="H77" s="246">
        <f t="shared" si="642"/>
        <v>0</v>
      </c>
      <c r="I77" s="246">
        <f t="shared" si="642"/>
        <v>0</v>
      </c>
      <c r="J77" s="246">
        <f t="shared" si="642"/>
        <v>0</v>
      </c>
      <c r="K77" s="246">
        <f t="shared" si="642"/>
        <v>0</v>
      </c>
      <c r="L77" s="246">
        <f t="shared" si="642"/>
        <v>0</v>
      </c>
      <c r="M77" s="246">
        <f t="shared" si="642"/>
        <v>0</v>
      </c>
      <c r="N77" s="246">
        <f t="shared" si="642"/>
        <v>0</v>
      </c>
      <c r="O77" s="246">
        <f t="shared" si="642"/>
        <v>0</v>
      </c>
      <c r="P77" s="246">
        <f t="shared" si="642"/>
        <v>0</v>
      </c>
      <c r="Q77" s="246">
        <f t="shared" si="642"/>
        <v>0</v>
      </c>
      <c r="R77" s="246">
        <f t="shared" si="642"/>
        <v>0</v>
      </c>
      <c r="S77" s="246">
        <f t="shared" si="642"/>
        <v>0</v>
      </c>
      <c r="T77" s="246">
        <f t="shared" si="642"/>
        <v>0</v>
      </c>
      <c r="U77" s="246">
        <f t="shared" si="642"/>
        <v>0</v>
      </c>
      <c r="V77" s="246">
        <f t="shared" si="642"/>
        <v>0</v>
      </c>
      <c r="W77" s="246">
        <f t="shared" si="642"/>
        <v>0</v>
      </c>
      <c r="X77" s="246">
        <f t="shared" si="642"/>
        <v>0</v>
      </c>
      <c r="Y77" s="246">
        <f t="shared" si="642"/>
        <v>0</v>
      </c>
      <c r="Z77" s="246">
        <f t="shared" si="642"/>
        <v>0</v>
      </c>
      <c r="AA77" s="246">
        <f t="shared" si="642"/>
        <v>0</v>
      </c>
      <c r="AB77" s="246">
        <f t="shared" si="642"/>
        <v>0</v>
      </c>
      <c r="AC77" s="246">
        <f t="shared" si="642"/>
        <v>0</v>
      </c>
      <c r="AD77" s="246">
        <f t="shared" si="642"/>
        <v>0</v>
      </c>
      <c r="AE77" s="246">
        <f t="shared" si="642"/>
        <v>0</v>
      </c>
      <c r="AF77" s="246">
        <f t="shared" si="642"/>
        <v>0</v>
      </c>
      <c r="AG77" s="246">
        <f t="shared" si="642"/>
        <v>0</v>
      </c>
      <c r="AH77" s="246">
        <f t="shared" si="642"/>
        <v>0</v>
      </c>
      <c r="AI77" s="246">
        <f t="shared" si="642"/>
        <v>0</v>
      </c>
      <c r="AJ77" s="246">
        <f t="shared" si="642"/>
        <v>0</v>
      </c>
      <c r="AK77" s="246">
        <f t="shared" si="642"/>
        <v>0</v>
      </c>
      <c r="AL77" s="246">
        <f t="shared" si="642"/>
        <v>0</v>
      </c>
      <c r="AM77" s="246">
        <f t="shared" si="642"/>
        <v>0</v>
      </c>
      <c r="AN77" s="246">
        <f t="shared" si="642"/>
        <v>0</v>
      </c>
      <c r="AO77" s="246">
        <f t="shared" ca="1" si="642"/>
        <v>1049.6639200053687</v>
      </c>
      <c r="AP77" s="246">
        <f t="shared" ca="1" si="642"/>
        <v>18984.908248281281</v>
      </c>
      <c r="AQ77" s="246">
        <f t="shared" ca="1" si="642"/>
        <v>44537.375679447956</v>
      </c>
      <c r="AR77" s="246">
        <f t="shared" ca="1" si="642"/>
        <v>62641.083110614651</v>
      </c>
      <c r="AS77" s="246">
        <f t="shared" ca="1" si="642"/>
        <v>79581.144541781308</v>
      </c>
      <c r="AT77" s="246">
        <f t="shared" ca="1" si="642"/>
        <v>95939.382972948006</v>
      </c>
      <c r="AU77" s="246">
        <f t="shared" ca="1" si="642"/>
        <v>112297.6214041147</v>
      </c>
      <c r="AV77" s="246">
        <f t="shared" ca="1" si="642"/>
        <v>126425.1909583041</v>
      </c>
      <c r="AW77" s="246">
        <f t="shared" ca="1" si="642"/>
        <v>126425.1909583041</v>
      </c>
      <c r="AX77" s="246">
        <f t="shared" ca="1" si="642"/>
        <v>126425.1909583041</v>
      </c>
      <c r="AY77" s="246">
        <f t="shared" ca="1" si="642"/>
        <v>126425.1909583041</v>
      </c>
      <c r="AZ77" s="246">
        <f t="shared" ca="1" si="642"/>
        <v>126425.1909583041</v>
      </c>
      <c r="BA77" s="246">
        <f t="shared" ca="1" si="642"/>
        <v>126486.56518330412</v>
      </c>
      <c r="BB77" s="246">
        <f t="shared" ca="1" si="642"/>
        <v>131298.94579781231</v>
      </c>
      <c r="BC77" s="246">
        <f t="shared" ca="1" si="642"/>
        <v>131298.94579781231</v>
      </c>
      <c r="BD77" s="246">
        <f t="shared" ca="1" si="642"/>
        <v>131298.94579781231</v>
      </c>
      <c r="BE77" s="246">
        <f t="shared" ca="1" si="642"/>
        <v>131298.94579781231</v>
      </c>
      <c r="BF77" s="246">
        <f t="shared" ca="1" si="642"/>
        <v>131298.94579781231</v>
      </c>
      <c r="BG77" s="246">
        <f t="shared" ca="1" si="642"/>
        <v>131298.94579781231</v>
      </c>
      <c r="BH77" s="246">
        <f t="shared" ca="1" si="642"/>
        <v>131298.94579781231</v>
      </c>
      <c r="BI77" s="246">
        <f t="shared" ca="1" si="642"/>
        <v>131298.94579781231</v>
      </c>
      <c r="BJ77" s="246">
        <f t="shared" ca="1" si="642"/>
        <v>131298.94579781231</v>
      </c>
      <c r="BK77" s="246">
        <f t="shared" ca="1" si="642"/>
        <v>131298.94579781231</v>
      </c>
      <c r="BL77" s="246">
        <f t="shared" ca="1" si="642"/>
        <v>131298.94579781231</v>
      </c>
      <c r="BM77" s="246">
        <f t="shared" ca="1" si="642"/>
        <v>131362.16124956231</v>
      </c>
      <c r="BN77" s="246">
        <f t="shared" ca="1" si="642"/>
        <v>136318.9132825057</v>
      </c>
      <c r="BO77" s="246">
        <f t="shared" ca="1" si="642"/>
        <v>136318.9132825057</v>
      </c>
      <c r="BP77" s="246">
        <f t="shared" ca="1" si="642"/>
        <v>136318.9132825057</v>
      </c>
      <c r="BQ77" s="246">
        <f t="shared" ca="1" si="642"/>
        <v>136318.9132825057</v>
      </c>
      <c r="BR77" s="246">
        <f t="shared" ca="1" si="642"/>
        <v>136318.9132825057</v>
      </c>
      <c r="BS77" s="246">
        <f t="shared" ref="BS77:BZ77" ca="1" si="643">BS63+BS73+BS75</f>
        <v>136318.9132825057</v>
      </c>
      <c r="BT77" s="246">
        <f t="shared" ca="1" si="643"/>
        <v>136318.9132825057</v>
      </c>
      <c r="BU77" s="246">
        <f t="shared" ca="1" si="643"/>
        <v>136318.9132825057</v>
      </c>
      <c r="BV77" s="246">
        <f t="shared" ca="1" si="643"/>
        <v>136318.9132825057</v>
      </c>
      <c r="BW77" s="246">
        <f t="shared" ca="1" si="643"/>
        <v>136318.9132825057</v>
      </c>
      <c r="BX77" s="246">
        <f t="shared" ca="1" si="643"/>
        <v>136318.9132825057</v>
      </c>
      <c r="BY77" s="246">
        <f t="shared" ca="1" si="643"/>
        <v>136384.02519780819</v>
      </c>
      <c r="BZ77" s="246">
        <f t="shared" ca="1" si="643"/>
        <v>141489.47979173993</v>
      </c>
      <c r="CA77" s="246">
        <f t="shared" ref="CA77:EL77" ca="1" si="644">CA63+CA73+CA75</f>
        <v>141489.47979173993</v>
      </c>
      <c r="CB77" s="246">
        <f t="shared" ca="1" si="644"/>
        <v>141489.47979173993</v>
      </c>
      <c r="CC77" s="246">
        <f t="shared" ca="1" si="644"/>
        <v>141489.47979173993</v>
      </c>
      <c r="CD77" s="246">
        <f t="shared" ca="1" si="644"/>
        <v>141489.47979173993</v>
      </c>
      <c r="CE77" s="246">
        <f t="shared" ca="1" si="644"/>
        <v>141489.47979173993</v>
      </c>
      <c r="CF77" s="246">
        <f t="shared" ca="1" si="644"/>
        <v>141489.47979173993</v>
      </c>
      <c r="CG77" s="246">
        <f t="shared" ca="1" si="644"/>
        <v>141489.47979173993</v>
      </c>
      <c r="CH77" s="246">
        <f t="shared" ca="1" si="644"/>
        <v>141489.47979173993</v>
      </c>
      <c r="CI77" s="246">
        <f t="shared" ca="1" si="644"/>
        <v>141489.47979173993</v>
      </c>
      <c r="CJ77" s="246">
        <f t="shared" ca="1" si="644"/>
        <v>141489.47979173993</v>
      </c>
      <c r="CK77" s="246">
        <f t="shared" ca="1" si="644"/>
        <v>141556.54506450152</v>
      </c>
      <c r="CL77" s="246">
        <f t="shared" ca="1" si="644"/>
        <v>148916.98563525194</v>
      </c>
      <c r="CM77" s="246">
        <f t="shared" ca="1" si="644"/>
        <v>148916.98563525194</v>
      </c>
      <c r="CN77" s="246">
        <f t="shared" ca="1" si="644"/>
        <v>148916.98563525194</v>
      </c>
      <c r="CO77" s="246">
        <f t="shared" ca="1" si="644"/>
        <v>148916.98563525194</v>
      </c>
      <c r="CP77" s="246">
        <f t="shared" ca="1" si="644"/>
        <v>148916.98563525194</v>
      </c>
      <c r="CQ77" s="246">
        <f t="shared" ca="1" si="644"/>
        <v>148916.98563525194</v>
      </c>
      <c r="CR77" s="246">
        <f t="shared" ca="1" si="644"/>
        <v>148916.98563525194</v>
      </c>
      <c r="CS77" s="246">
        <f t="shared" ca="1" si="644"/>
        <v>148916.98563525194</v>
      </c>
      <c r="CT77" s="246">
        <f t="shared" ca="1" si="644"/>
        <v>148916.98563525194</v>
      </c>
      <c r="CU77" s="246">
        <f t="shared" ca="1" si="644"/>
        <v>148916.98563525194</v>
      </c>
      <c r="CV77" s="246">
        <f t="shared" ca="1" si="644"/>
        <v>148916.98563525194</v>
      </c>
      <c r="CW77" s="246">
        <f t="shared" ca="1" si="644"/>
        <v>148993.24980270263</v>
      </c>
      <c r="CX77" s="246">
        <f t="shared" ca="1" si="644"/>
        <v>154465.4943150685</v>
      </c>
      <c r="CY77" s="246">
        <f t="shared" ca="1" si="644"/>
        <v>154465.4943150685</v>
      </c>
      <c r="CZ77" s="246">
        <f t="shared" ca="1" si="644"/>
        <v>154465.4943150685</v>
      </c>
      <c r="DA77" s="246">
        <f t="shared" ca="1" si="644"/>
        <v>154465.4943150685</v>
      </c>
      <c r="DB77" s="246">
        <f t="shared" ca="1" si="644"/>
        <v>154465.4943150685</v>
      </c>
      <c r="DC77" s="246">
        <f t="shared" ca="1" si="644"/>
        <v>154465.4943150685</v>
      </c>
      <c r="DD77" s="246">
        <f t="shared" ca="1" si="644"/>
        <v>154465.4943150685</v>
      </c>
      <c r="DE77" s="246">
        <f t="shared" ca="1" si="644"/>
        <v>154465.4943150685</v>
      </c>
      <c r="DF77" s="246">
        <f t="shared" ca="1" si="644"/>
        <v>154465.4943150685</v>
      </c>
      <c r="DG77" s="246">
        <f t="shared" ca="1" si="644"/>
        <v>154465.4943150685</v>
      </c>
      <c r="DH77" s="246">
        <f t="shared" ca="1" si="644"/>
        <v>154465.4943150685</v>
      </c>
      <c r="DI77" s="246">
        <f t="shared" ca="1" si="644"/>
        <v>154544.04640754274</v>
      </c>
      <c r="DJ77" s="246">
        <f t="shared" ca="1" si="644"/>
        <v>160180.45825527966</v>
      </c>
      <c r="DK77" s="246">
        <f t="shared" ca="1" si="644"/>
        <v>160180.45825527966</v>
      </c>
      <c r="DL77" s="246">
        <f t="shared" ca="1" si="644"/>
        <v>160180.45825527966</v>
      </c>
      <c r="DM77" s="246">
        <f t="shared" ca="1" si="644"/>
        <v>160180.45825527966</v>
      </c>
      <c r="DN77" s="246">
        <f t="shared" ca="1" si="644"/>
        <v>160180.45825527966</v>
      </c>
      <c r="DO77" s="246">
        <f t="shared" ca="1" si="644"/>
        <v>160180.45825527966</v>
      </c>
      <c r="DP77" s="246">
        <f t="shared" ca="1" si="644"/>
        <v>160180.45825527966</v>
      </c>
      <c r="DQ77" s="246">
        <f t="shared" ca="1" si="644"/>
        <v>160180.45825527966</v>
      </c>
      <c r="DR77" s="246">
        <f t="shared" ca="1" si="644"/>
        <v>160180.45825527966</v>
      </c>
      <c r="DS77" s="246">
        <f t="shared" ca="1" si="644"/>
        <v>160180.45825527966</v>
      </c>
      <c r="DT77" s="246">
        <f t="shared" ca="1" si="644"/>
        <v>160180.45825527966</v>
      </c>
      <c r="DU77" s="246">
        <f t="shared" ca="1" si="644"/>
        <v>160261.3669105281</v>
      </c>
      <c r="DV77" s="246">
        <f t="shared" ca="1" si="644"/>
        <v>166066.87111369713</v>
      </c>
      <c r="DW77" s="246">
        <f t="shared" ca="1" si="644"/>
        <v>166066.87111369713</v>
      </c>
      <c r="DX77" s="246">
        <f t="shared" ca="1" si="644"/>
        <v>166066.87111369713</v>
      </c>
      <c r="DY77" s="246">
        <f t="shared" ca="1" si="644"/>
        <v>166066.87111369713</v>
      </c>
      <c r="DZ77" s="246">
        <f t="shared" ca="1" si="644"/>
        <v>166066.87111369713</v>
      </c>
      <c r="EA77" s="246">
        <f t="shared" ca="1" si="644"/>
        <v>166066.87111369713</v>
      </c>
      <c r="EB77" s="246">
        <f t="shared" ca="1" si="644"/>
        <v>166066.87111369713</v>
      </c>
      <c r="EC77" s="246">
        <f t="shared" ca="1" si="644"/>
        <v>166066.87111369713</v>
      </c>
      <c r="ED77" s="246">
        <f t="shared" ca="1" si="644"/>
        <v>166066.87111369713</v>
      </c>
      <c r="EE77" s="246">
        <f t="shared" ca="1" si="644"/>
        <v>166066.87111369713</v>
      </c>
      <c r="EF77" s="246">
        <f t="shared" ca="1" si="644"/>
        <v>166066.87111369713</v>
      </c>
      <c r="EG77" s="246">
        <f t="shared" ca="1" si="644"/>
        <v>166150.20702860304</v>
      </c>
      <c r="EH77" s="246">
        <f t="shared" ca="1" si="644"/>
        <v>172129.87635786712</v>
      </c>
      <c r="EI77" s="246">
        <f t="shared" ca="1" si="644"/>
        <v>172129.87635786712</v>
      </c>
      <c r="EJ77" s="246">
        <f t="shared" ca="1" si="644"/>
        <v>172129.87635786712</v>
      </c>
      <c r="EK77" s="246">
        <f t="shared" ca="1" si="644"/>
        <v>172129.87635786712</v>
      </c>
      <c r="EL77" s="246">
        <f t="shared" ca="1" si="644"/>
        <v>172129.87635786712</v>
      </c>
      <c r="EM77" s="246">
        <f t="shared" ref="EM77:ET77" ca="1" si="645">EM63+EM73+EM75</f>
        <v>172129.87635786712</v>
      </c>
      <c r="EN77" s="246">
        <f t="shared" ca="1" si="645"/>
        <v>172129.87635786712</v>
      </c>
      <c r="EO77" s="246">
        <f t="shared" ca="1" si="645"/>
        <v>172129.87635786712</v>
      </c>
      <c r="EP77" s="246">
        <f t="shared" ca="1" si="645"/>
        <v>172129.87635786712</v>
      </c>
      <c r="EQ77" s="246">
        <f t="shared" ca="1" si="645"/>
        <v>172129.87635786712</v>
      </c>
      <c r="ER77" s="246">
        <f t="shared" ca="1" si="645"/>
        <v>172129.87635786712</v>
      </c>
      <c r="ES77" s="246">
        <f t="shared" ca="1" si="645"/>
        <v>172215.71235022019</v>
      </c>
      <c r="ET77" s="246">
        <f t="shared" ca="1" si="645"/>
        <v>178374.77175936216</v>
      </c>
    </row>
    <row r="78" spans="2:150" x14ac:dyDescent="0.2"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</row>
    <row r="79" spans="2:150" x14ac:dyDescent="0.2">
      <c r="B79" s="83" t="s">
        <v>160</v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</row>
    <row r="80" spans="2:150" x14ac:dyDescent="0.2">
      <c r="B80" t="s">
        <v>161</v>
      </c>
      <c r="D80" s="242">
        <f t="shared" ref="D80:D84" ca="1" si="646">SUM(F80:ET80)</f>
        <v>32737808.537684653</v>
      </c>
      <c r="F80" s="242">
        <f>IF(F6=Assumptions!$F$40,(F66+SUM(G75:R75)*(SUM(G63:R63)/SUM(G63:R63,G73:R73)))/IF(Assumptions!$Q$24="No",Assumptions!$K$12,Assumptions!$K$12+Assumptions!$Q$30),0)</f>
        <v>0</v>
      </c>
      <c r="G80" s="242">
        <f>IF(G6=Assumptions!$F$40,(G66+SUM(H75:S75)*(SUM(H63:S63)/SUM(H63:S63,H73:S73)))/IF(Assumptions!$Q$24="No",Assumptions!$K$12,Assumptions!$K$12+Assumptions!$Q$30),0)</f>
        <v>0</v>
      </c>
      <c r="H80" s="242">
        <f>IF(H6=Assumptions!$F$40,(H66+SUM(I75:T75)*(SUM(I63:T63)/SUM(I63:T63,I73:T73)))/IF(Assumptions!$Q$24="No",Assumptions!$K$12,Assumptions!$K$12+Assumptions!$Q$30),0)</f>
        <v>0</v>
      </c>
      <c r="I80" s="242">
        <f>IF(I6=Assumptions!$F$40,(I66+SUM(J75:U75)*(SUM(J63:U63)/SUM(J63:U63,J73:U73)))/IF(Assumptions!$Q$24="No",Assumptions!$K$12,Assumptions!$K$12+Assumptions!$Q$30),0)</f>
        <v>0</v>
      </c>
      <c r="J80" s="242">
        <f>IF(J6=Assumptions!$F$40,(J66+SUM(K75:V75)*(SUM(K63:V63)/SUM(K63:V63,K73:V73)))/IF(Assumptions!$Q$24="No",Assumptions!$K$12,Assumptions!$K$12+Assumptions!$Q$30),0)</f>
        <v>0</v>
      </c>
      <c r="K80" s="242">
        <f>IF(K6=Assumptions!$F$40,(K66+SUM(L75:W75)*(SUM(L63:W63)/SUM(L63:W63,L73:W73)))/IF(Assumptions!$Q$24="No",Assumptions!$K$12,Assumptions!$K$12+Assumptions!$Q$30),0)</f>
        <v>0</v>
      </c>
      <c r="L80" s="242">
        <f>IF(L6=Assumptions!$F$40,(L66+SUM(M75:X75)*(SUM(M63:X63)/SUM(M63:X63,M73:X73)))/IF(Assumptions!$Q$24="No",Assumptions!$K$12,Assumptions!$K$12+Assumptions!$Q$30),0)</f>
        <v>0</v>
      </c>
      <c r="M80" s="242">
        <f>IF(M6=Assumptions!$F$40,(M66+SUM(N75:Y75)*(SUM(N63:Y63)/SUM(N63:Y63,N73:Y73)))/IF(Assumptions!$Q$24="No",Assumptions!$K$12,Assumptions!$K$12+Assumptions!$Q$30),0)</f>
        <v>0</v>
      </c>
      <c r="N80" s="242">
        <f>IF(N6=Assumptions!$F$40,(N66+SUM(O75:Z75)*(SUM(O63:Z63)/SUM(O63:Z63,O73:Z73)))/IF(Assumptions!$Q$24="No",Assumptions!$K$12,Assumptions!$K$12+Assumptions!$Q$30),0)</f>
        <v>0</v>
      </c>
      <c r="O80" s="242">
        <f>IF(O6=Assumptions!$F$40,(O66+SUM(P75:AA75)*(SUM(P63:AA63)/SUM(P63:AA63,P73:AA73)))/IF(Assumptions!$Q$24="No",Assumptions!$K$12,Assumptions!$K$12+Assumptions!$Q$30),0)</f>
        <v>0</v>
      </c>
      <c r="P80" s="242">
        <f>IF(P6=Assumptions!$F$40,(P66+SUM(Q75:AB75)*(SUM(Q63:AB63)/SUM(Q63:AB63,Q73:AB73)))/IF(Assumptions!$Q$24="No",Assumptions!$K$12,Assumptions!$K$12+Assumptions!$Q$30),0)</f>
        <v>0</v>
      </c>
      <c r="Q80" s="242">
        <f>IF(Q6=Assumptions!$F$40,(Q66+SUM(R75:AC75)*(SUM(R63:AC63)/SUM(R63:AC63,R73:AC73)))/IF(Assumptions!$Q$24="No",Assumptions!$K$12,Assumptions!$K$12+Assumptions!$Q$30),0)</f>
        <v>0</v>
      </c>
      <c r="R80" s="242">
        <f>IF(R6=Assumptions!$F$40,(R66+SUM(S75:AD75)*(SUM(S63:AD63)/SUM(S63:AD63,S73:AD73)))/IF(Assumptions!$Q$24="No",Assumptions!$K$12,Assumptions!$K$12+Assumptions!$Q$30),0)</f>
        <v>0</v>
      </c>
      <c r="S80" s="242">
        <f>IF(S6=Assumptions!$F$40,(S66+SUM(T75:AE75)*(SUM(T63:AE63)/SUM(T63:AE63,T73:AE73)))/IF(Assumptions!$Q$24="No",Assumptions!$K$12,Assumptions!$K$12+Assumptions!$Q$30),0)</f>
        <v>0</v>
      </c>
      <c r="T80" s="242">
        <f>IF(T6=Assumptions!$F$40,(T66+SUM(U75:AF75)*(SUM(U63:AF63)/SUM(U63:AF63,U73:AF73)))/IF(Assumptions!$Q$24="No",Assumptions!$K$12,Assumptions!$K$12+Assumptions!$Q$30),0)</f>
        <v>0</v>
      </c>
      <c r="U80" s="242">
        <f>IF(U6=Assumptions!$F$40,(U66+SUM(V75:AG75)*(SUM(V63:AG63)/SUM(V63:AG63,V73:AG73)))/IF(Assumptions!$Q$24="No",Assumptions!$K$12,Assumptions!$K$12+Assumptions!$Q$30),0)</f>
        <v>0</v>
      </c>
      <c r="V80" s="242">
        <f>IF(V6=Assumptions!$F$40,(V66+SUM(W75:AH75)*(SUM(W63:AH63)/SUM(W63:AH63,W73:AH73)))/IF(Assumptions!$Q$24="No",Assumptions!$K$12,Assumptions!$K$12+Assumptions!$Q$30),0)</f>
        <v>0</v>
      </c>
      <c r="W80" s="242">
        <f>IF(W6=Assumptions!$F$40,(W66+SUM(X75:AI75)*(SUM(X63:AI63)/SUM(X63:AI63,X73:AI73)))/IF(Assumptions!$Q$24="No",Assumptions!$K$12,Assumptions!$K$12+Assumptions!$Q$30),0)</f>
        <v>0</v>
      </c>
      <c r="X80" s="242">
        <f>IF(X6=Assumptions!$F$40,(X66+SUM(Y75:AJ75)*(SUM(Y63:AJ63)/SUM(Y63:AJ63,Y73:AJ73)))/IF(Assumptions!$Q$24="No",Assumptions!$K$12,Assumptions!$K$12+Assumptions!$Q$30),0)</f>
        <v>0</v>
      </c>
      <c r="Y80" s="242">
        <f>IF(Y6=Assumptions!$F$40,(Y66+SUM(Z75:AK75)*(SUM(Z63:AK63)/SUM(Z63:AK63,Z73:AK73)))/IF(Assumptions!$Q$24="No",Assumptions!$K$12,Assumptions!$K$12+Assumptions!$Q$30),0)</f>
        <v>0</v>
      </c>
      <c r="Z80" s="242">
        <f>IF(Z6=Assumptions!$F$40,(Z66+SUM(AA75:AL75)*(SUM(AA63:AL63)/SUM(AA63:AL63,AA73:AL73)))/IF(Assumptions!$Q$24="No",Assumptions!$K$12,Assumptions!$K$12+Assumptions!$Q$30),0)</f>
        <v>0</v>
      </c>
      <c r="AA80" s="242">
        <f>IF(AA6=Assumptions!$F$40,(AA66+SUM(AB75:AM75)*(SUM(AB63:AM63)/SUM(AB63:AM63,AB73:AM73)))/IF(Assumptions!$Q$24="No",Assumptions!$K$12,Assumptions!$K$12+Assumptions!$Q$30),0)</f>
        <v>0</v>
      </c>
      <c r="AB80" s="242">
        <f>IF(AB6=Assumptions!$F$40,(AB66+SUM(AC75:AN75)*(SUM(AC63:AN63)/SUM(AC63:AN63,AC73:AN73)))/IF(Assumptions!$Q$24="No",Assumptions!$K$12,Assumptions!$K$12+Assumptions!$Q$30),0)</f>
        <v>0</v>
      </c>
      <c r="AC80" s="242">
        <f>IF(AC6=Assumptions!$F$40,(AC66+SUM(AD75:AO75)*(SUM(AD63:AO63)/SUM(AD63:AO63,AD73:AO73)))/IF(Assumptions!$Q$24="No",Assumptions!$K$12,Assumptions!$K$12+Assumptions!$Q$30),0)</f>
        <v>0</v>
      </c>
      <c r="AD80" s="242">
        <f>IF(AD6=Assumptions!$F$40,(AD66+SUM(AE75:AP75)*(SUM(AE63:AP63)/SUM(AE63:AP63,AE73:AP73)))/IF(Assumptions!$Q$24="No",Assumptions!$K$12,Assumptions!$K$12+Assumptions!$Q$30),0)</f>
        <v>0</v>
      </c>
      <c r="AE80" s="242">
        <f>IF(AE6=Assumptions!$F$40,(AE66+SUM(AF75:AQ75)*(SUM(AF63:AQ63)/SUM(AF63:AQ63,AF73:AQ73)))/IF(Assumptions!$Q$24="No",Assumptions!$K$12,Assumptions!$K$12+Assumptions!$Q$30),0)</f>
        <v>0</v>
      </c>
      <c r="AF80" s="242">
        <f>IF(AF6=Assumptions!$F$40,(AF66+SUM(AG75:AR75)*(SUM(AG63:AR63)/SUM(AG63:AR63,AG73:AR73)))/IF(Assumptions!$Q$24="No",Assumptions!$K$12,Assumptions!$K$12+Assumptions!$Q$30),0)</f>
        <v>0</v>
      </c>
      <c r="AG80" s="242">
        <f>IF(AG6=Assumptions!$F$40,(AG66+SUM(AH75:AS75)*(SUM(AH63:AS63)/SUM(AH63:AS63,AH73:AS73)))/IF(Assumptions!$Q$24="No",Assumptions!$K$12,Assumptions!$K$12+Assumptions!$Q$30),0)</f>
        <v>0</v>
      </c>
      <c r="AH80" s="242">
        <f>IF(AH6=Assumptions!$F$40,(AH66+SUM(AI75:AT75)*(SUM(AI63:AT63)/SUM(AI63:AT63,AI73:AT73)))/IF(Assumptions!$Q$24="No",Assumptions!$K$12,Assumptions!$K$12+Assumptions!$Q$30),0)</f>
        <v>0</v>
      </c>
      <c r="AI80" s="242">
        <f>IF(AI6=Assumptions!$F$40,(AI66+SUM(AJ75:AU75)*(SUM(AJ63:AU63)/SUM(AJ63:AU63,AJ73:AU73)))/IF(Assumptions!$Q$24="No",Assumptions!$K$12,Assumptions!$K$12+Assumptions!$Q$30),0)</f>
        <v>0</v>
      </c>
      <c r="AJ80" s="242">
        <f>IF(AJ6=Assumptions!$F$40,(AJ66+SUM(AK75:AV75)*(SUM(AK63:AV63)/SUM(AK63:AV63,AK73:AV73)))/IF(Assumptions!$Q$24="No",Assumptions!$K$12,Assumptions!$K$12+Assumptions!$Q$30),0)</f>
        <v>0</v>
      </c>
      <c r="AK80" s="242">
        <f>IF(AK6=Assumptions!$F$40,(AK66+SUM(AL75:AW75)*(SUM(AL63:AW63)/SUM(AL63:AW63,AL73:AW73)))/IF(Assumptions!$Q$24="No",Assumptions!$K$12,Assumptions!$K$12+Assumptions!$Q$30),0)</f>
        <v>0</v>
      </c>
      <c r="AL80" s="242">
        <f>IF(AL6=Assumptions!$F$40,(AL66+SUM(AM75:AX75)*(SUM(AM63:AX63)/SUM(AM63:AX63,AM73:AX73)))/IF(Assumptions!$Q$24="No",Assumptions!$K$12,Assumptions!$K$12+Assumptions!$Q$30),0)</f>
        <v>0</v>
      </c>
      <c r="AM80" s="242">
        <f>IF(AM6=Assumptions!$F$40,(AM66+SUM(AN75:AY75)*(SUM(AN63:AY63)/SUM(AN63:AY63,AN73:AY73)))/IF(Assumptions!$Q$24="No",Assumptions!$K$12,Assumptions!$K$12+Assumptions!$Q$30),0)</f>
        <v>0</v>
      </c>
      <c r="AN80" s="242">
        <f>IF(AN6=Assumptions!$F$40,(AN66+SUM(AO75:AZ75)*(SUM(AO63:AZ63)/SUM(AO63:AZ63,AO73:AZ73)))/IF(Assumptions!$Q$24="No",Assumptions!$K$12,Assumptions!$K$12+Assumptions!$Q$30),0)</f>
        <v>0</v>
      </c>
      <c r="AO80" s="242">
        <f>IF(AO6=Assumptions!$F$40,(AO66+SUM(AP75:BA75)*(SUM(AP63:BA63)/SUM(AP63:BA63,AP73:BA73)))/IF(Assumptions!$Q$24="No",Assumptions!$K$12,Assumptions!$K$12+Assumptions!$Q$30),0)</f>
        <v>0</v>
      </c>
      <c r="AP80" s="242">
        <f>IF(AP6=Assumptions!$F$40,(AP66+SUM(AQ75:BB75)*(SUM(AQ63:BB63)/SUM(AQ63:BB63,AQ73:BB73)))/IF(Assumptions!$Q$24="No",Assumptions!$K$12,Assumptions!$K$12+Assumptions!$Q$30),0)</f>
        <v>0</v>
      </c>
      <c r="AQ80" s="242">
        <f>IF(AQ6=Assumptions!$F$40,(AQ66+SUM(AR75:BC75)*(SUM(AR63:BC63)/SUM(AR63:BC63,AR73:BC73)))/IF(Assumptions!$Q$24="No",Assumptions!$K$12,Assumptions!$K$12+Assumptions!$Q$30),0)</f>
        <v>0</v>
      </c>
      <c r="AR80" s="242">
        <f>IF(AR6=Assumptions!$F$40,(AR66+SUM(AS75:BD75)*(SUM(AS63:BD63)/SUM(AS63:BD63,AS73:BD73)))/IF(Assumptions!$Q$24="No",Assumptions!$K$12,Assumptions!$K$12+Assumptions!$Q$30),0)</f>
        <v>0</v>
      </c>
      <c r="AS80" s="242">
        <f>IF(AS6=Assumptions!$F$40,(AS66+SUM(AT75:BE75)*(SUM(AT63:BE63)/SUM(AT63:BE63,AT73:BE73)))/IF(Assumptions!$Q$24="No",Assumptions!$K$12,Assumptions!$K$12+Assumptions!$Q$30),0)</f>
        <v>0</v>
      </c>
      <c r="AT80" s="242">
        <f>IF(AT6=Assumptions!$F$40,(AT66+SUM(AU75:BF75)*(SUM(AU63:BF63)/SUM(AU63:BF63,AU73:BF73)))/IF(Assumptions!$Q$24="No",Assumptions!$K$12,Assumptions!$K$12+Assumptions!$Q$30),0)</f>
        <v>0</v>
      </c>
      <c r="AU80" s="242">
        <f>IF(AU6=Assumptions!$F$40,(AU66+SUM(AV75:BG75)*(SUM(AV63:BG63)/SUM(AV63:BG63,AV73:BG73)))/IF(Assumptions!$Q$24="No",Assumptions!$K$12,Assumptions!$K$12+Assumptions!$Q$30),0)</f>
        <v>0</v>
      </c>
      <c r="AV80" s="242">
        <f>IF(AV6=Assumptions!$F$40,(AV66+SUM(AW75:BH75)*(SUM(AW63:BH63)/SUM(AW63:BH63,AW73:BH73)))/IF(Assumptions!$Q$24="No",Assumptions!$K$12,Assumptions!$K$12+Assumptions!$Q$30),0)</f>
        <v>0</v>
      </c>
      <c r="AW80" s="242">
        <f>IF(AW6=Assumptions!$F$40,(AW66+SUM(AX75:BI75)*(SUM(AX63:BI63)/SUM(AX63:BI63,AX73:BI73)))/IF(Assumptions!$Q$24="No",Assumptions!$K$12,Assumptions!$K$12+Assumptions!$Q$30),0)</f>
        <v>0</v>
      </c>
      <c r="AX80" s="242">
        <f>IF(AX6=Assumptions!$F$40,(AX66+SUM(AY75:BJ75)*(SUM(AY63:BJ63)/SUM(AY63:BJ63,AY73:BJ73)))/IF(Assumptions!$Q$24="No",Assumptions!$K$12,Assumptions!$K$12+Assumptions!$Q$30),0)</f>
        <v>0</v>
      </c>
      <c r="AY80" s="242">
        <f>IF(AY6=Assumptions!$F$40,(AY66+SUM(AZ75:BK75)*(SUM(AZ63:BK63)/SUM(AZ63:BK63,AZ73:BK73)))/IF(Assumptions!$Q$24="No",Assumptions!$K$12,Assumptions!$K$12+Assumptions!$Q$30),0)</f>
        <v>0</v>
      </c>
      <c r="AZ80" s="242">
        <f>IF(AZ6=Assumptions!$F$40,(AZ66+SUM(BA75:BL75)*(SUM(BA63:BL63)/SUM(BA63:BL63,BA73:BL73)))/IF(Assumptions!$Q$24="No",Assumptions!$K$12,Assumptions!$K$12+Assumptions!$Q$30),0)</f>
        <v>0</v>
      </c>
      <c r="BA80" s="242">
        <f>IF(BA6=Assumptions!$F$40,(BA66+SUM(BB75:BM75)*(SUM(BB63:BM63)/SUM(BB63:BM63,BB73:BM73)))/IF(Assumptions!$Q$24="No",Assumptions!$K$12,Assumptions!$K$12+Assumptions!$Q$30),0)</f>
        <v>0</v>
      </c>
      <c r="BB80" s="242">
        <f>IF(BB6=Assumptions!$F$40,(BB66+SUM(BC75:BN75)*(SUM(BC63:BN63)/SUM(BC63:BN63,BC73:BN73)))/IF(Assumptions!$Q$24="No",Assumptions!$K$12,Assumptions!$K$12+Assumptions!$Q$30),0)</f>
        <v>0</v>
      </c>
      <c r="BC80" s="242">
        <f>IF(BC6=Assumptions!$F$40,(BC66+SUM(BD75:BO75)*(SUM(BD63:BO63)/SUM(BD63:BO63,BD73:BO73)))/IF(Assumptions!$Q$24="No",Assumptions!$K$12,Assumptions!$K$12+Assumptions!$Q$30),0)</f>
        <v>0</v>
      </c>
      <c r="BD80" s="242">
        <f>IF(BD6=Assumptions!$F$40,(BD66+SUM(BE75:BP75)*(SUM(BE63:BP63)/SUM(BE63:BP63,BE73:BP73)))/IF(Assumptions!$Q$24="No",Assumptions!$K$12,Assumptions!$K$12+Assumptions!$Q$30),0)</f>
        <v>0</v>
      </c>
      <c r="BE80" s="242">
        <f>IF(BE6=Assumptions!$F$40,(BE66+SUM(BF75:BQ75)*(SUM(BF63:BQ63)/SUM(BF63:BQ63,BF73:BQ73)))/IF(Assumptions!$Q$24="No",Assumptions!$K$12,Assumptions!$K$12+Assumptions!$Q$30),0)</f>
        <v>0</v>
      </c>
      <c r="BF80" s="242">
        <f>IF(BF6=Assumptions!$F$40,(BF66+SUM(BG75:BR75)*(SUM(BG63:BR63)/SUM(BG63:BR63,BG73:BR73)))/IF(Assumptions!$Q$24="No",Assumptions!$K$12,Assumptions!$K$12+Assumptions!$Q$30),0)</f>
        <v>0</v>
      </c>
      <c r="BG80" s="242">
        <f>IF(BG6=Assumptions!$F$40,(BG66+SUM(BH75:BS75)*(SUM(BH63:BS63)/SUM(BH63:BS63,BH73:BS73)))/IF(Assumptions!$Q$24="No",Assumptions!$K$12,Assumptions!$K$12+Assumptions!$Q$30),0)</f>
        <v>0</v>
      </c>
      <c r="BH80" s="242">
        <f>IF(BH6=Assumptions!$F$40,(BH66+SUM(BI75:BT75)*(SUM(BI63:BT63)/SUM(BI63:BT63,BI73:BT73)))/IF(Assumptions!$Q$24="No",Assumptions!$K$12,Assumptions!$K$12+Assumptions!$Q$30),0)</f>
        <v>0</v>
      </c>
      <c r="BI80" s="242">
        <f>IF(BI6=Assumptions!$F$40,(BI66+SUM(BJ75:BU75)*(SUM(BJ63:BU63)/SUM(BJ63:BU63,BJ73:BU73)))/IF(Assumptions!$Q$24="No",Assumptions!$K$12,Assumptions!$K$12+Assumptions!$Q$30),0)</f>
        <v>0</v>
      </c>
      <c r="BJ80" s="242">
        <f>IF(BJ6=Assumptions!$F$40,(BJ66+SUM(BK75:BV75)*(SUM(BK63:BV63)/SUM(BK63:BV63,BK73:BV73)))/IF(Assumptions!$Q$24="No",Assumptions!$K$12,Assumptions!$K$12+Assumptions!$Q$30),0)</f>
        <v>0</v>
      </c>
      <c r="BK80" s="242">
        <f>IF(BK6=Assumptions!$F$40,(BK66+SUM(BL75:BW75)*(SUM(BL63:BW63)/SUM(BL63:BW63,BL73:BW73)))/IF(Assumptions!$Q$24="No",Assumptions!$K$12,Assumptions!$K$12+Assumptions!$Q$30),0)</f>
        <v>0</v>
      </c>
      <c r="BL80" s="242">
        <f>IF(BL6=Assumptions!$F$40,(BL66+SUM(BM75:BX75)*(SUM(BM63:BX63)/SUM(BM63:BX63,BM73:BX73)))/IF(Assumptions!$Q$24="No",Assumptions!$K$12,Assumptions!$K$12+Assumptions!$Q$30),0)</f>
        <v>0</v>
      </c>
      <c r="BM80" s="242">
        <f>IF(BM6=Assumptions!$F$40,(BM66+SUM(BN75:BY75)*(SUM(BN63:BY63)/SUM(BN63:BY63,BN73:BY73)))/IF(Assumptions!$Q$24="No",Assumptions!$K$12,Assumptions!$K$12+Assumptions!$Q$30),0)</f>
        <v>0</v>
      </c>
      <c r="BN80" s="242">
        <f>IF(BN6=Assumptions!$F$40,(BN66+SUM(BO75:BZ75)*(SUM(BO63:BZ63)/SUM(BO63:BZ63,BO73:BZ73)))/IF(Assumptions!$Q$24="No",Assumptions!$K$12,Assumptions!$K$12+Assumptions!$Q$30),0)</f>
        <v>0</v>
      </c>
      <c r="BO80" s="242">
        <f>IF(BO6=Assumptions!$F$40,(BO66+SUM(BP75:CA75)*(SUM(BP63:CA63)/SUM(BP63:CA63,BP73:CA73)))/IF(Assumptions!$Q$24="No",Assumptions!$K$12,Assumptions!$K$12+Assumptions!$Q$30),0)</f>
        <v>0</v>
      </c>
      <c r="BP80" s="242">
        <f>IF(BP6=Assumptions!$F$40,(BP66+SUM(BQ75:CB75)*(SUM(BQ63:CB63)/SUM(BQ63:CB63,BQ73:CB73)))/IF(Assumptions!$Q$24="No",Assumptions!$K$12,Assumptions!$K$12+Assumptions!$Q$30),0)</f>
        <v>0</v>
      </c>
      <c r="BQ80" s="242">
        <f>IF(BQ6=Assumptions!$F$40,(BQ66+SUM(BR75:CC75)*(SUM(BR63:CC63)/SUM(BR63:CC63,BR73:CC73)))/IF(Assumptions!$Q$24="No",Assumptions!$K$12,Assumptions!$K$12+Assumptions!$Q$30),0)</f>
        <v>0</v>
      </c>
      <c r="BR80" s="242">
        <f>IF(BR6=Assumptions!$F$40,(BR66+SUM(BS75:CD75)*(SUM(BS63:CD63)/SUM(BS63:CD63,BS73:CD73)))/IF(Assumptions!$Q$24="No",Assumptions!$K$12,Assumptions!$K$12+Assumptions!$Q$30),0)</f>
        <v>0</v>
      </c>
      <c r="BS80" s="242">
        <f>IF(BS6=Assumptions!$F$40,(BS66+SUM(BT75:CE75)*(SUM(BT63:CE63)/SUM(BT63:CE63,BT73:CE73)))/IF(Assumptions!$Q$24="No",Assumptions!$K$12,Assumptions!$K$12+Assumptions!$Q$30),0)</f>
        <v>0</v>
      </c>
      <c r="BT80" s="242">
        <f>IF(BT6=Assumptions!$F$40,(BT66+SUM(BU75:CF75)*(SUM(BU63:CF63)/SUM(BU63:CF63,BU73:CF73)))/IF(Assumptions!$Q$24="No",Assumptions!$K$12,Assumptions!$K$12+Assumptions!$Q$30),0)</f>
        <v>0</v>
      </c>
      <c r="BU80" s="242">
        <f>IF(BU6=Assumptions!$F$40,(BU66+SUM(BV75:CG75)*(SUM(BV63:CG63)/SUM(BV63:CG63,BV73:CG73)))/IF(Assumptions!$Q$24="No",Assumptions!$K$12,Assumptions!$K$12+Assumptions!$Q$30),0)</f>
        <v>0</v>
      </c>
      <c r="BV80" s="242">
        <f>IF(BV6=Assumptions!$F$40,(BV66+SUM(BW75:CH75)*(SUM(BW63:CH63)/SUM(BW63:CH63,BW73:CH73)))/IF(Assumptions!$Q$24="No",Assumptions!$K$12,Assumptions!$K$12+Assumptions!$Q$30),0)</f>
        <v>0</v>
      </c>
      <c r="BW80" s="242">
        <f>IF(BW6=Assumptions!$F$40,(BW66+SUM(BX75:CI75)*(SUM(BX63:CI63)/SUM(BX63:CI63,BX73:CI73)))/IF(Assumptions!$Q$24="No",Assumptions!$K$12,Assumptions!$K$12+Assumptions!$Q$30),0)</f>
        <v>0</v>
      </c>
      <c r="BX80" s="242">
        <f>IF(BX6=Assumptions!$F$40,(BX66+SUM(BY75:CJ75)*(SUM(BY63:CJ63)/SUM(BY63:CJ63,BY73:CJ73)))/IF(Assumptions!$Q$24="No",Assumptions!$K$12,Assumptions!$K$12+Assumptions!$Q$30),0)</f>
        <v>0</v>
      </c>
      <c r="BY80" s="242">
        <f>IF(BY6=Assumptions!$F$40,(BY66+SUM(BZ75:CK75)*(SUM(BZ63:CK63)/SUM(BZ63:CK63,BZ73:CK73)))/IF(Assumptions!$Q$24="No",Assumptions!$K$12,Assumptions!$K$12+Assumptions!$Q$30),0)</f>
        <v>0</v>
      </c>
      <c r="BZ80" s="242">
        <f>IF(BZ6=Assumptions!$F$40,(BZ66+SUM(CA75:CL75)*(SUM(CA63:CL63)/SUM(CA63:CL63,CA73:CL73)))/IF(Assumptions!$Q$24="No",Assumptions!$K$12,Assumptions!$K$12+Assumptions!$Q$30),0)</f>
        <v>0</v>
      </c>
      <c r="CA80" s="242">
        <f>IF(CA6=Assumptions!$F$40,(CA66+SUM(CB75:CM75)*(SUM(CB63:CM63)/SUM(CB63:CM63,CB73:CM73)))/IF(Assumptions!$Q$24="No",Assumptions!$K$12,Assumptions!$K$12+Assumptions!$Q$30),0)</f>
        <v>0</v>
      </c>
      <c r="CB80" s="242">
        <f>IF(CB6=Assumptions!$F$40,(CB66+SUM(CC75:CN75)*(SUM(CC63:CN63)/SUM(CC63:CN63,CC73:CN73)))/IF(Assumptions!$Q$24="No",Assumptions!$K$12,Assumptions!$K$12+Assumptions!$Q$30),0)</f>
        <v>0</v>
      </c>
      <c r="CC80" s="242">
        <f>IF(CC6=Assumptions!$F$40,(CC66+SUM(CD75:CO75)*(SUM(CD63:CO63)/SUM(CD63:CO63,CD73:CO73)))/IF(Assumptions!$Q$24="No",Assumptions!$K$12,Assumptions!$K$12+Assumptions!$Q$30),0)</f>
        <v>0</v>
      </c>
      <c r="CD80" s="242">
        <f>IF(CD6=Assumptions!$F$40,(CD66+SUM(CE75:CP75)*(SUM(CE63:CP63)/SUM(CE63:CP63,CE73:CP73)))/IF(Assumptions!$Q$24="No",Assumptions!$K$12,Assumptions!$K$12+Assumptions!$Q$30),0)</f>
        <v>0</v>
      </c>
      <c r="CE80" s="242">
        <f>IF(CE6=Assumptions!$F$40,(CE66+SUM(CF75:CQ75)*(SUM(CF63:CQ63)/SUM(CF63:CQ63,CF73:CQ73)))/IF(Assumptions!$Q$24="No",Assumptions!$K$12,Assumptions!$K$12+Assumptions!$Q$30),0)</f>
        <v>0</v>
      </c>
      <c r="CF80" s="242">
        <f>IF(CF6=Assumptions!$F$40,(CF66+SUM(CG75:CR75)*(SUM(CG63:CR63)/SUM(CG63:CR63,CG73:CR73)))/IF(Assumptions!$Q$24="No",Assumptions!$K$12,Assumptions!$K$12+Assumptions!$Q$30),0)</f>
        <v>0</v>
      </c>
      <c r="CG80" s="242">
        <f>IF(CG6=Assumptions!$F$40,(CG66+SUM(CH75:CS75)*(SUM(CH63:CS63)/SUM(CH63:CS63,CH73:CS73)))/IF(Assumptions!$Q$24="No",Assumptions!$K$12,Assumptions!$K$12+Assumptions!$Q$30),0)</f>
        <v>0</v>
      </c>
      <c r="CH80" s="242">
        <f>IF(CH6=Assumptions!$F$40,(CH66+SUM(CI75:CT75)*(SUM(CI63:CT63)/SUM(CI63:CT63,CI73:CT73)))/IF(Assumptions!$Q$24="No",Assumptions!$K$12,Assumptions!$K$12+Assumptions!$Q$30),0)</f>
        <v>0</v>
      </c>
      <c r="CI80" s="242">
        <f>IF(CI6=Assumptions!$F$40,(CI66+SUM(CJ75:CU75)*(SUM(CJ63:CU63)/SUM(CJ63:CU63,CJ73:CU73)))/IF(Assumptions!$Q$24="No",Assumptions!$K$12,Assumptions!$K$12+Assumptions!$Q$30),0)</f>
        <v>0</v>
      </c>
      <c r="CJ80" s="242">
        <f>IF(CJ6=Assumptions!$F$40,(CJ66+SUM(CK75:CV75)*(SUM(CK63:CV63)/SUM(CK63:CV63,CK73:CV73)))/IF(Assumptions!$Q$24="No",Assumptions!$K$12,Assumptions!$K$12+Assumptions!$Q$30),0)</f>
        <v>0</v>
      </c>
      <c r="CK80" s="242">
        <f ca="1">IF(CK6=Assumptions!$F$40,(CK66+SUM(CL75:CW75)*(SUM(CL63:CW63)/SUM(CL63:CW63,CL73:CW73)))/IF(Assumptions!$Q$24="No",Assumptions!$K$12,Assumptions!$K$12+Assumptions!$Q$30),0)</f>
        <v>32737808.537684485</v>
      </c>
      <c r="CL80" s="242">
        <f>IF(CL6=Assumptions!$F$40,(CL66+SUM(CM75:CX75)*(SUM(CM63:CX63)/SUM(CM63:CX63,CM73:CX73)))/IF(Assumptions!$Q$24="No",Assumptions!$K$12,Assumptions!$K$12+Assumptions!$Q$30),0)</f>
        <v>0</v>
      </c>
      <c r="CM80" s="242">
        <f>IF(CM6=Assumptions!$F$40,(CM66+SUM(CN75:CY75)*(SUM(CN63:CY63)/SUM(CN63:CY63,CN73:CY73)))/IF(Assumptions!$Q$24="No",Assumptions!$K$12,Assumptions!$K$12+Assumptions!$Q$30),0)</f>
        <v>0</v>
      </c>
      <c r="CN80" s="242">
        <f>IF(CN6=Assumptions!$F$40,(CN66+SUM(CO75:CZ75)*(SUM(CO63:CZ63)/SUM(CO63:CZ63,CO73:CZ73)))/IF(Assumptions!$Q$24="No",Assumptions!$K$12,Assumptions!$K$12+Assumptions!$Q$30),0)</f>
        <v>0</v>
      </c>
      <c r="CO80" s="242">
        <f>IF(CO6=Assumptions!$F$40,(CO66+SUM(CP75:DA75)*(SUM(CP63:DA63)/SUM(CP63:DA63,CP73:DA73)))/IF(Assumptions!$Q$24="No",Assumptions!$K$12,Assumptions!$K$12+Assumptions!$Q$30),0)</f>
        <v>0</v>
      </c>
      <c r="CP80" s="242">
        <f>IF(CP6=Assumptions!$F$40,(CP66+SUM(CQ75:DB75)*(SUM(CQ63:DB63)/SUM(CQ63:DB63,CQ73:DB73)))/IF(Assumptions!$Q$24="No",Assumptions!$K$12,Assumptions!$K$12+Assumptions!$Q$30),0)</f>
        <v>0</v>
      </c>
      <c r="CQ80" s="242">
        <f>IF(CQ6=Assumptions!$F$40,(CQ66+SUM(CR75:DC75)*(SUM(CR63:DC63)/SUM(CR63:DC63,CR73:DC73)))/IF(Assumptions!$Q$24="No",Assumptions!$K$12,Assumptions!$K$12+Assumptions!$Q$30),0)</f>
        <v>0</v>
      </c>
      <c r="CR80" s="242">
        <f>IF(CR6=Assumptions!$F$40,(CR66+SUM(CS75:DD75)*(SUM(CS63:DD63)/SUM(CS63:DD63,CS73:DD73)))/IF(Assumptions!$Q$24="No",Assumptions!$K$12,Assumptions!$K$12+Assumptions!$Q$30),0)</f>
        <v>0</v>
      </c>
      <c r="CS80" s="242">
        <f>IF(CS6=Assumptions!$F$40,(CS66+SUM(CT75:DE75)*(SUM(CT63:DE63)/SUM(CT63:DE63,CT73:DE73)))/IF(Assumptions!$Q$24="No",Assumptions!$K$12,Assumptions!$K$12+Assumptions!$Q$30),0)</f>
        <v>0</v>
      </c>
      <c r="CT80" s="242">
        <f>IF(CT6=Assumptions!$F$40,(CT66+SUM(CU75:DF75)*(SUM(CU63:DF63)/SUM(CU63:DF63,CU73:DF73)))/IF(Assumptions!$Q$24="No",Assumptions!$K$12,Assumptions!$K$12+Assumptions!$Q$30),0)</f>
        <v>0</v>
      </c>
      <c r="CU80" s="242">
        <f>IF(CU6=Assumptions!$F$40,(CU66+SUM(CV75:DG75)*(SUM(CV63:DG63)/SUM(CV63:DG63,CV73:DG73)))/IF(Assumptions!$Q$24="No",Assumptions!$K$12,Assumptions!$K$12+Assumptions!$Q$30),0)</f>
        <v>0</v>
      </c>
      <c r="CV80" s="242">
        <f>IF(CV6=Assumptions!$F$40,(CV66+SUM(CW75:DH75)*(SUM(CW63:DH63)/SUM(CW63:DH63,CW73:DH73)))/IF(Assumptions!$Q$24="No",Assumptions!$K$12,Assumptions!$K$12+Assumptions!$Q$30),0)</f>
        <v>0</v>
      </c>
      <c r="CW80" s="242">
        <f>IF(CW6=Assumptions!$F$40,(CW66+SUM(CX75:DI75)*(SUM(CX63:DI63)/SUM(CX63:DI63,CX73:DI73)))/IF(Assumptions!$Q$24="No",Assumptions!$K$12,Assumptions!$K$12+Assumptions!$Q$30),0)</f>
        <v>0</v>
      </c>
      <c r="CX80" s="242">
        <f>IF(CX6=Assumptions!$F$40,(CX66+SUM(CY75:DJ75)*(SUM(CY63:DJ63)/SUM(CY63:DJ63,CY73:DJ73)))/IF(Assumptions!$Q$24="No",Assumptions!$K$12,Assumptions!$K$12+Assumptions!$Q$30),0)</f>
        <v>0</v>
      </c>
      <c r="CY80" s="242">
        <f>IF(CY6=Assumptions!$F$40,(CY66+SUM(CZ75:DK75)*(SUM(CZ63:DK63)/SUM(CZ63:DK63,CZ73:DK73)))/IF(Assumptions!$Q$24="No",Assumptions!$K$12,Assumptions!$K$12+Assumptions!$Q$30),0)</f>
        <v>0</v>
      </c>
      <c r="CZ80" s="242">
        <f>IF(CZ6=Assumptions!$F$40,(CZ66+SUM(DA75:DL75)*(SUM(DA63:DL63)/SUM(DA63:DL63,DA73:DL73)))/IF(Assumptions!$Q$24="No",Assumptions!$K$12,Assumptions!$K$12+Assumptions!$Q$30),0)</f>
        <v>0</v>
      </c>
      <c r="DA80" s="242">
        <f>IF(DA6=Assumptions!$F$40,(DA66+SUM(DB75:DM75)*(SUM(DB63:DM63)/SUM(DB63:DM63,DB73:DM73)))/IF(Assumptions!$Q$24="No",Assumptions!$K$12,Assumptions!$K$12+Assumptions!$Q$30),0)</f>
        <v>0</v>
      </c>
      <c r="DB80" s="242">
        <f>IF(DB6=Assumptions!$F$40,(DB66+SUM(DC75:DN75)*(SUM(DC63:DN63)/SUM(DC63:DN63,DC73:DN73)))/IF(Assumptions!$Q$24="No",Assumptions!$K$12,Assumptions!$K$12+Assumptions!$Q$30),0)</f>
        <v>0</v>
      </c>
      <c r="DC80" s="242">
        <f>IF(DC6=Assumptions!$F$40,(DC66+SUM(DD75:DO75)*(SUM(DD63:DO63)/SUM(DD63:DO63,DD73:DO73)))/IF(Assumptions!$Q$24="No",Assumptions!$K$12,Assumptions!$K$12+Assumptions!$Q$30),0)</f>
        <v>0</v>
      </c>
      <c r="DD80" s="242">
        <f>IF(DD6=Assumptions!$F$40,(DD66+SUM(DE75:DP75)*(SUM(DE63:DP63)/SUM(DE63:DP63,DE73:DP73)))/IF(Assumptions!$Q$24="No",Assumptions!$K$12,Assumptions!$K$12+Assumptions!$Q$30),0)</f>
        <v>0</v>
      </c>
      <c r="DE80" s="242">
        <f>IF(DE6=Assumptions!$F$40,(DE66+SUM(DF75:DQ75)*(SUM(DF63:DQ63)/SUM(DF63:DQ63,DF73:DQ73)))/IF(Assumptions!$Q$24="No",Assumptions!$K$12,Assumptions!$K$12+Assumptions!$Q$30),0)</f>
        <v>0</v>
      </c>
      <c r="DF80" s="242">
        <f>IF(DF6=Assumptions!$F$40,(DF66+SUM(DG75:DR75)*(SUM(DG63:DR63)/SUM(DG63:DR63,DG73:DR73)))/IF(Assumptions!$Q$24="No",Assumptions!$K$12,Assumptions!$K$12+Assumptions!$Q$30),0)</f>
        <v>0</v>
      </c>
      <c r="DG80" s="242">
        <f>IF(DG6=Assumptions!$F$40,(DG66+SUM(DH75:DS75)*(SUM(DH63:DS63)/SUM(DH63:DS63,DH73:DS73)))/IF(Assumptions!$Q$24="No",Assumptions!$K$12,Assumptions!$K$12+Assumptions!$Q$30),0)</f>
        <v>0</v>
      </c>
      <c r="DH80" s="242">
        <f>IF(DH6=Assumptions!$F$40,(DH66+SUM(DI75:DT75)*(SUM(DI63:DT63)/SUM(DI63:DT63,DI73:DT73)))/IF(Assumptions!$Q$24="No",Assumptions!$K$12,Assumptions!$K$12+Assumptions!$Q$30),0)</f>
        <v>0</v>
      </c>
      <c r="DI80" s="242">
        <f>IF(DI6=Assumptions!$F$40,(DI66+SUM(DJ75:DU75)*(SUM(DJ63:DU63)/SUM(DJ63:DU63,DJ73:DU73)))/IF(Assumptions!$Q$24="No",Assumptions!$K$12,Assumptions!$K$12+Assumptions!$Q$30),0)</f>
        <v>0</v>
      </c>
      <c r="DJ80" s="242">
        <f>IF(DJ6=Assumptions!$F$40,(DJ66+SUM(DK75:DV75)*(SUM(DK63:DV63)/SUM(DK63:DV63,DK73:DV73)))/IF(Assumptions!$Q$24="No",Assumptions!$K$12,Assumptions!$K$12+Assumptions!$Q$30),0)</f>
        <v>0</v>
      </c>
      <c r="DK80" s="242">
        <f>IF(DK6=Assumptions!$F$40,(DK66+SUM(DL75:DW75)*(SUM(DL63:DW63)/SUM(DL63:DW63,DL73:DW73)))/IF(Assumptions!$Q$24="No",Assumptions!$K$12,Assumptions!$K$12+Assumptions!$Q$30),0)</f>
        <v>0</v>
      </c>
      <c r="DL80" s="242">
        <f>IF(DL6=Assumptions!$F$40,(DL66+SUM(DM75:DX75)*(SUM(DM63:DX63)/SUM(DM63:DX63,DM73:DX73)))/IF(Assumptions!$Q$24="No",Assumptions!$K$12,Assumptions!$K$12+Assumptions!$Q$30),0)</f>
        <v>0</v>
      </c>
      <c r="DM80" s="242">
        <f>IF(DM6=Assumptions!$F$40,(DM66+SUM(DN75:DY75)*(SUM(DN63:DY63)/SUM(DN63:DY63,DN73:DY73)))/IF(Assumptions!$Q$24="No",Assumptions!$K$12,Assumptions!$K$12+Assumptions!$Q$30),0)</f>
        <v>0</v>
      </c>
      <c r="DN80" s="242">
        <f>IF(DN6=Assumptions!$F$40,(DN66+SUM(DO75:DZ75)*(SUM(DO63:DZ63)/SUM(DO63:DZ63,DO73:DZ73)))/IF(Assumptions!$Q$24="No",Assumptions!$K$12,Assumptions!$K$12+Assumptions!$Q$30),0)</f>
        <v>0</v>
      </c>
      <c r="DO80" s="242">
        <f>IF(DO6=Assumptions!$F$40,(DO66+SUM(DP75:EA75)*(SUM(DP63:EA63)/SUM(DP63:EA63,DP73:EA73)))/IF(Assumptions!$Q$24="No",Assumptions!$K$12,Assumptions!$K$12+Assumptions!$Q$30),0)</f>
        <v>0</v>
      </c>
      <c r="DP80" s="242">
        <f>IF(DP6=Assumptions!$F$40,(DP66+SUM(DQ75:EB75)*(SUM(DQ63:EB63)/SUM(DQ63:EB63,DQ73:EB73)))/IF(Assumptions!$Q$24="No",Assumptions!$K$12,Assumptions!$K$12+Assumptions!$Q$30),0)</f>
        <v>0</v>
      </c>
      <c r="DQ80" s="242">
        <f>IF(DQ6=Assumptions!$F$40,(DQ66+SUM(DR75:EC75)*(SUM(DR63:EC63)/SUM(DR63:EC63,DR73:EC73)))/IF(Assumptions!$Q$24="No",Assumptions!$K$12,Assumptions!$K$12+Assumptions!$Q$30),0)</f>
        <v>0</v>
      </c>
      <c r="DR80" s="242">
        <f>IF(DR6=Assumptions!$F$40,(DR66+SUM(DS75:ED75)*(SUM(DS63:ED63)/SUM(DS63:ED63,DS73:ED73)))/IF(Assumptions!$Q$24="No",Assumptions!$K$12,Assumptions!$K$12+Assumptions!$Q$30),0)</f>
        <v>0</v>
      </c>
      <c r="DS80" s="242">
        <f>IF(DS6=Assumptions!$F$40,(DS66+SUM(DT75:EE75)*(SUM(DT63:EE63)/SUM(DT63:EE63,DT73:EE73)))/IF(Assumptions!$Q$24="No",Assumptions!$K$12,Assumptions!$K$12+Assumptions!$Q$30),0)</f>
        <v>0</v>
      </c>
      <c r="DT80" s="242">
        <f>IF(DT6=Assumptions!$F$40,(DT66+SUM(DU75:EF75)*(SUM(DU63:EF63)/SUM(DU63:EF63,DU73:EF73)))/IF(Assumptions!$Q$24="No",Assumptions!$K$12,Assumptions!$K$12+Assumptions!$Q$30),0)</f>
        <v>0</v>
      </c>
      <c r="DU80" s="242">
        <f>IF(DU6=Assumptions!$F$40,(DU66+SUM(DV75:EG75)*(SUM(DV63:EG63)/SUM(DV63:EG63,DV73:EG73)))/IF(Assumptions!$Q$24="No",Assumptions!$K$12,Assumptions!$K$12+Assumptions!$Q$30),0)</f>
        <v>0</v>
      </c>
      <c r="DV80" s="242">
        <f>IF(DV6=Assumptions!$F$40,(DV66+SUM(DW75:EH75)*(SUM(DW63:EH63)/SUM(DW63:EH63,DW73:EH73)))/IF(Assumptions!$Q$24="No",Assumptions!$K$12,Assumptions!$K$12+Assumptions!$Q$30),0)</f>
        <v>0</v>
      </c>
      <c r="DW80" s="242">
        <f>IF(DW6=Assumptions!$F$40,(DW66+SUM(DX75:EI75)*(SUM(DX63:EI63)/SUM(DX63:EI63,DX73:EI73)))/IF(Assumptions!$Q$24="No",Assumptions!$K$12,Assumptions!$K$12+Assumptions!$Q$30),0)</f>
        <v>0</v>
      </c>
      <c r="DX80" s="242">
        <f>IF(DX6=Assumptions!$F$40,(DX66+SUM(DY75:EJ75)*(SUM(DY63:EJ63)/SUM(DY63:EJ63,DY73:EJ73)))/IF(Assumptions!$Q$24="No",Assumptions!$K$12,Assumptions!$K$12+Assumptions!$Q$30),0)</f>
        <v>0</v>
      </c>
      <c r="DY80" s="242">
        <f>IF(DY6=Assumptions!$F$40,(DY66+SUM(DZ75:EK75)*(SUM(DZ63:EK63)/SUM(DZ63:EK63,DZ73:EK73)))/IF(Assumptions!$Q$24="No",Assumptions!$K$12,Assumptions!$K$12+Assumptions!$Q$30),0)</f>
        <v>0</v>
      </c>
      <c r="DZ80" s="242">
        <f>IF(DZ6=Assumptions!$F$40,(DZ66+SUM(EA75:EL75)*(SUM(EA63:EL63)/SUM(EA63:EL63,EA73:EL73)))/IF(Assumptions!$Q$24="No",Assumptions!$K$12,Assumptions!$K$12+Assumptions!$Q$30),0)</f>
        <v>0</v>
      </c>
      <c r="EA80" s="242">
        <f>IF(EA6=Assumptions!$F$40,(EA66+SUM(EB75:EM75)*(SUM(EB63:EM63)/SUM(EB63:EM63,EB73:EM73)))/IF(Assumptions!$Q$24="No",Assumptions!$K$12,Assumptions!$K$12+Assumptions!$Q$30),0)</f>
        <v>0</v>
      </c>
      <c r="EB80" s="242">
        <f>IF(EB6=Assumptions!$F$40,(EB66+SUM(EC75:EN75)*(SUM(EC63:EN63)/SUM(EC63:EN63,EC73:EN73)))/IF(Assumptions!$Q$24="No",Assumptions!$K$12,Assumptions!$K$12+Assumptions!$Q$30),0)</f>
        <v>0</v>
      </c>
      <c r="EC80" s="242">
        <f>IF(EC6=Assumptions!$F$40,(EC66+SUM(ED75:EO75)*(SUM(ED63:EO63)/SUM(ED63:EO63,ED73:EO73)))/IF(Assumptions!$Q$24="No",Assumptions!$K$12,Assumptions!$K$12+Assumptions!$Q$30),0)</f>
        <v>0</v>
      </c>
      <c r="ED80" s="242">
        <f>IF(ED6=Assumptions!$F$40,(ED66+SUM(EE75:EP75)*(SUM(EE63:EP63)/SUM(EE63:EP63,EE73:EP73)))/IF(Assumptions!$Q$24="No",Assumptions!$K$12,Assumptions!$K$12+Assumptions!$Q$30),0)</f>
        <v>0</v>
      </c>
      <c r="EE80" s="242">
        <f>IF(EE6=Assumptions!$F$40,(EE66+SUM(EF75:EQ75)*(SUM(EF63:EQ63)/SUM(EF63:EQ63,EF73:EQ73)))/IF(Assumptions!$Q$24="No",Assumptions!$K$12,Assumptions!$K$12+Assumptions!$Q$30),0)</f>
        <v>0</v>
      </c>
      <c r="EF80" s="242">
        <f>IF(EF6=Assumptions!$F$40,(EF66+SUM(EG75:ER75)*(SUM(EG63:ER63)/SUM(EG63:ER63,EG73:ER73)))/IF(Assumptions!$Q$24="No",Assumptions!$K$12,Assumptions!$K$12+Assumptions!$Q$30),0)</f>
        <v>0</v>
      </c>
      <c r="EG80" s="242">
        <f>IF(EG6=Assumptions!$F$40,(EG66+SUM(EH75:ES75)*(SUM(EH63:ES63)/SUM(EH63:ES63,EH73:ES73)))/IF(Assumptions!$Q$24="No",Assumptions!$K$12,Assumptions!$K$12+Assumptions!$Q$30),0)</f>
        <v>0</v>
      </c>
      <c r="EH80" s="242">
        <f>IF(EH6=Assumptions!$F$40,(EH66+SUM(EI75:ET75)*(SUM(EI63:ET63)/SUM(EI63:ET63,EI73:ET73)))/IF(Assumptions!$Q$24="No",Assumptions!$K$12,Assumptions!$K$12+Assumptions!$Q$30),0)</f>
        <v>0</v>
      </c>
      <c r="EI80" s="242">
        <f>IF(EI6=Assumptions!$F$40,(EI66+SUM(EJ75:EU75)*(SUM(EJ63:EU63)/SUM(EJ63:EU63,EJ73:EU73)))/IF(Assumptions!$Q$24="No",Assumptions!$K$12,Assumptions!$K$12+Assumptions!$Q$30),0)</f>
        <v>0</v>
      </c>
      <c r="EJ80" s="242">
        <f>IF(EJ6=Assumptions!$F$40,(EJ66+SUM(EK75:EV75)*(SUM(EK63:EV63)/SUM(EK63:EV63,EK73:EV73)))/IF(Assumptions!$Q$24="No",Assumptions!$K$12,Assumptions!$K$12+Assumptions!$Q$30),0)</f>
        <v>0</v>
      </c>
      <c r="EK80" s="242">
        <f>IF(EK6=Assumptions!$F$40,(EK66+SUM(EL75:EW75)*(SUM(EL63:EW63)/SUM(EL63:EW63,EL73:EW73)))/IF(Assumptions!$Q$24="No",Assumptions!$K$12,Assumptions!$K$12+Assumptions!$Q$30),0)</f>
        <v>0</v>
      </c>
      <c r="EL80" s="242">
        <f>IF(EL6=Assumptions!$F$40,(EL66+SUM(EM75:EX75)*(SUM(EM63:EX63)/SUM(EM63:EX63,EM73:EX73)))/IF(Assumptions!$Q$24="No",Assumptions!$K$12,Assumptions!$K$12+Assumptions!$Q$30),0)</f>
        <v>0</v>
      </c>
      <c r="EM80" s="242">
        <f>IF(EM6=Assumptions!$F$40,(EM66+SUM(EN75:EY75)*(SUM(EN63:EY63)/SUM(EN63:EY63,EN73:EY73)))/IF(Assumptions!$Q$24="No",Assumptions!$K$12,Assumptions!$K$12+Assumptions!$Q$30),0)</f>
        <v>0</v>
      </c>
      <c r="EN80" s="242">
        <f>IF(EN6=Assumptions!$F$40,(EN66+SUM(EO75:EZ75)*(SUM(EO63:EZ63)/SUM(EO63:EZ63,EO73:EZ73)))/IF(Assumptions!$Q$24="No",Assumptions!$K$12,Assumptions!$K$12+Assumptions!$Q$30),0)</f>
        <v>0</v>
      </c>
      <c r="EO80" s="242">
        <f>IF(EO6=Assumptions!$F$40,(EO66+SUM(EP75:FA75)*(SUM(EP63:FA63)/SUM(EP63:FA63,EP73:FA73)))/IF(Assumptions!$Q$24="No",Assumptions!$K$12,Assumptions!$K$12+Assumptions!$Q$30),0)</f>
        <v>0</v>
      </c>
      <c r="EP80" s="242">
        <f>IF(EP6=Assumptions!$F$40,(EP66+SUM(EQ75:FB75)*(SUM(EQ63:FB63)/SUM(EQ63:FB63,EQ73:FB73)))/IF(Assumptions!$Q$24="No",Assumptions!$K$12,Assumptions!$K$12+Assumptions!$Q$30),0)</f>
        <v>0</v>
      </c>
      <c r="EQ80" s="242">
        <f>IF(EQ6=Assumptions!$F$40,(EQ66+SUM(ER75:FC75)*(SUM(ER63:FC63)/SUM(ER63:FC63,ER73:FC73)))/IF(Assumptions!$Q$24="No",Assumptions!$K$12,Assumptions!$K$12+Assumptions!$Q$30),0)</f>
        <v>0</v>
      </c>
      <c r="ER80" s="242">
        <f>IF(ER6=Assumptions!$F$40,(ER66+SUM(ES75:FD75)*(SUM(ES63:FD63)/SUM(ES63:FD63,ES73:FD73)))/IF(Assumptions!$Q$24="No",Assumptions!$K$12,Assumptions!$K$12+Assumptions!$Q$30),0)</f>
        <v>0</v>
      </c>
      <c r="ES80" s="242">
        <f>IF(ES6=Assumptions!$F$40,(ES66+SUM(ET75:FE75)*(SUM(ET63:FE63)/SUM(ET63:FE63,ET73:FE73)))/IF(Assumptions!$Q$24="No",Assumptions!$K$12,Assumptions!$K$12+Assumptions!$Q$30),0)</f>
        <v>0</v>
      </c>
      <c r="ET80" s="242">
        <f>IF(ET6=Assumptions!$F$40,(ET66+SUM(EU75:FF75)*(SUM(EU63:FF63)/SUM(EU63:FF63,EU73:FF73)))/IF(Assumptions!$Q$24="No",Assumptions!$K$12,Assumptions!$K$12+Assumptions!$Q$30),0)</f>
        <v>0</v>
      </c>
    </row>
    <row r="81" spans="2:150" x14ac:dyDescent="0.2">
      <c r="B81" t="s">
        <v>162</v>
      </c>
      <c r="D81" s="242">
        <f t="shared" ca="1" si="646"/>
        <v>-327378.08537684655</v>
      </c>
      <c r="F81" s="242">
        <f>-F80*Assumptions!$L$12</f>
        <v>0</v>
      </c>
      <c r="G81" s="242">
        <f>-G80*Assumptions!$L$12</f>
        <v>0</v>
      </c>
      <c r="H81" s="242">
        <f>-H80*Assumptions!$L$12</f>
        <v>0</v>
      </c>
      <c r="I81" s="242">
        <f>-I80*Assumptions!$L$12</f>
        <v>0</v>
      </c>
      <c r="J81" s="242">
        <f>-J80*Assumptions!$L$12</f>
        <v>0</v>
      </c>
      <c r="K81" s="242">
        <f>-K80*Assumptions!$L$12</f>
        <v>0</v>
      </c>
      <c r="L81" s="242">
        <f>-L80*Assumptions!$L$12</f>
        <v>0</v>
      </c>
      <c r="M81" s="242">
        <f>-M80*Assumptions!$L$12</f>
        <v>0</v>
      </c>
      <c r="N81" s="242">
        <f>-N80*Assumptions!$L$12</f>
        <v>0</v>
      </c>
      <c r="O81" s="242">
        <f>-O80*Assumptions!$L$12</f>
        <v>0</v>
      </c>
      <c r="P81" s="242">
        <f>-P80*Assumptions!$L$12</f>
        <v>0</v>
      </c>
      <c r="Q81" s="242">
        <f>-Q80*Assumptions!$L$12</f>
        <v>0</v>
      </c>
      <c r="R81" s="242">
        <f>-R80*Assumptions!$L$12</f>
        <v>0</v>
      </c>
      <c r="S81" s="242">
        <f>-S80*Assumptions!$L$12</f>
        <v>0</v>
      </c>
      <c r="T81" s="242">
        <f>-T80*Assumptions!$L$12</f>
        <v>0</v>
      </c>
      <c r="U81" s="242">
        <f>-U80*Assumptions!$L$12</f>
        <v>0</v>
      </c>
      <c r="V81" s="242">
        <f>-V80*Assumptions!$L$12</f>
        <v>0</v>
      </c>
      <c r="W81" s="242">
        <f>-W80*Assumptions!$L$12</f>
        <v>0</v>
      </c>
      <c r="X81" s="242">
        <f>-X80*Assumptions!$L$12</f>
        <v>0</v>
      </c>
      <c r="Y81" s="242">
        <f>-Y80*Assumptions!$L$12</f>
        <v>0</v>
      </c>
      <c r="Z81" s="242">
        <f>-Z80*Assumptions!$L$12</f>
        <v>0</v>
      </c>
      <c r="AA81" s="242">
        <f>-AA80*Assumptions!$L$12</f>
        <v>0</v>
      </c>
      <c r="AB81" s="242">
        <f>-AB80*Assumptions!$L$12</f>
        <v>0</v>
      </c>
      <c r="AC81" s="242">
        <f>-AC80*Assumptions!$L$12</f>
        <v>0</v>
      </c>
      <c r="AD81" s="242">
        <f>-AD80*Assumptions!$L$12</f>
        <v>0</v>
      </c>
      <c r="AE81" s="242">
        <f>-AE80*Assumptions!$L$12</f>
        <v>0</v>
      </c>
      <c r="AF81" s="242">
        <f>-AF80*Assumptions!$L$12</f>
        <v>0</v>
      </c>
      <c r="AG81" s="242">
        <f>-AG80*Assumptions!$L$12</f>
        <v>0</v>
      </c>
      <c r="AH81" s="242">
        <f>-AH80*Assumptions!$L$12</f>
        <v>0</v>
      </c>
      <c r="AI81" s="242">
        <f>-AI80*Assumptions!$L$12</f>
        <v>0</v>
      </c>
      <c r="AJ81" s="242">
        <f>-AJ80*Assumptions!$L$12</f>
        <v>0</v>
      </c>
      <c r="AK81" s="242">
        <f>-AK80*Assumptions!$L$12</f>
        <v>0</v>
      </c>
      <c r="AL81" s="242">
        <f>-AL80*Assumptions!$L$12</f>
        <v>0</v>
      </c>
      <c r="AM81" s="242">
        <f>-AM80*Assumptions!$L$12</f>
        <v>0</v>
      </c>
      <c r="AN81" s="242">
        <f>-AN80*Assumptions!$L$12</f>
        <v>0</v>
      </c>
      <c r="AO81" s="242">
        <f>-AO80*Assumptions!$L$12</f>
        <v>0</v>
      </c>
      <c r="AP81" s="242">
        <f>-AP80*Assumptions!$L$12</f>
        <v>0</v>
      </c>
      <c r="AQ81" s="242">
        <f>-AQ80*Assumptions!$L$12</f>
        <v>0</v>
      </c>
      <c r="AR81" s="242">
        <f>-AR80*Assumptions!$L$12</f>
        <v>0</v>
      </c>
      <c r="AS81" s="242">
        <f>-AS80*Assumptions!$L$12</f>
        <v>0</v>
      </c>
      <c r="AT81" s="242">
        <f>-AT80*Assumptions!$L$12</f>
        <v>0</v>
      </c>
      <c r="AU81" s="242">
        <f>-AU80*Assumptions!$L$12</f>
        <v>0</v>
      </c>
      <c r="AV81" s="242">
        <f>-AV80*Assumptions!$L$12</f>
        <v>0</v>
      </c>
      <c r="AW81" s="242">
        <f>-AW80*Assumptions!$L$12</f>
        <v>0</v>
      </c>
      <c r="AX81" s="242">
        <f>-AX80*Assumptions!$L$12</f>
        <v>0</v>
      </c>
      <c r="AY81" s="242">
        <f>-AY80*Assumptions!$L$12</f>
        <v>0</v>
      </c>
      <c r="AZ81" s="242">
        <f>-AZ80*Assumptions!$L$12</f>
        <v>0</v>
      </c>
      <c r="BA81" s="242">
        <f>-BA80*Assumptions!$L$12</f>
        <v>0</v>
      </c>
      <c r="BB81" s="242">
        <f>-BB80*Assumptions!$L$12</f>
        <v>0</v>
      </c>
      <c r="BC81" s="242">
        <f>-BC80*Assumptions!$L$12</f>
        <v>0</v>
      </c>
      <c r="BD81" s="242">
        <f>-BD80*Assumptions!$L$12</f>
        <v>0</v>
      </c>
      <c r="BE81" s="242">
        <f>-BE80*Assumptions!$L$12</f>
        <v>0</v>
      </c>
      <c r="BF81" s="242">
        <f>-BF80*Assumptions!$L$12</f>
        <v>0</v>
      </c>
      <c r="BG81" s="242">
        <f>-BG80*Assumptions!$L$12</f>
        <v>0</v>
      </c>
      <c r="BH81" s="242">
        <f>-BH80*Assumptions!$L$12</f>
        <v>0</v>
      </c>
      <c r="BI81" s="242">
        <f>-BI80*Assumptions!$L$12</f>
        <v>0</v>
      </c>
      <c r="BJ81" s="242">
        <f>-BJ80*Assumptions!$L$12</f>
        <v>0</v>
      </c>
      <c r="BK81" s="242">
        <f>-BK80*Assumptions!$L$12</f>
        <v>0</v>
      </c>
      <c r="BL81" s="242">
        <f>-BL80*Assumptions!$L$12</f>
        <v>0</v>
      </c>
      <c r="BM81" s="242">
        <f>-BM80*Assumptions!$L$12</f>
        <v>0</v>
      </c>
      <c r="BN81" s="242">
        <f>-BN80*Assumptions!$L$12</f>
        <v>0</v>
      </c>
      <c r="BO81" s="242">
        <f>-BO80*Assumptions!$L$12</f>
        <v>0</v>
      </c>
      <c r="BP81" s="242">
        <f>-BP80*Assumptions!$L$12</f>
        <v>0</v>
      </c>
      <c r="BQ81" s="242">
        <f>-BQ80*Assumptions!$L$12</f>
        <v>0</v>
      </c>
      <c r="BR81" s="242">
        <f>-BR80*Assumptions!$L$12</f>
        <v>0</v>
      </c>
      <c r="BS81" s="242">
        <f>-BS80*Assumptions!$L$12</f>
        <v>0</v>
      </c>
      <c r="BT81" s="242">
        <f>-BT80*Assumptions!$L$12</f>
        <v>0</v>
      </c>
      <c r="BU81" s="242">
        <f>-BU80*Assumptions!$L$12</f>
        <v>0</v>
      </c>
      <c r="BV81" s="242">
        <f>-BV80*Assumptions!$L$12</f>
        <v>0</v>
      </c>
      <c r="BW81" s="242">
        <f>-BW80*Assumptions!$L$12</f>
        <v>0</v>
      </c>
      <c r="BX81" s="242">
        <f>-BX80*Assumptions!$L$12</f>
        <v>0</v>
      </c>
      <c r="BY81" s="242">
        <f>-BY80*Assumptions!$L$12</f>
        <v>0</v>
      </c>
      <c r="BZ81" s="242">
        <f>-BZ80*Assumptions!$L$12</f>
        <v>0</v>
      </c>
      <c r="CA81" s="242">
        <f>-CA80*Assumptions!$L$12</f>
        <v>0</v>
      </c>
      <c r="CB81" s="242">
        <f>-CB80*Assumptions!$L$12</f>
        <v>0</v>
      </c>
      <c r="CC81" s="242">
        <f>-CC80*Assumptions!$L$12</f>
        <v>0</v>
      </c>
      <c r="CD81" s="242">
        <f>-CD80*Assumptions!$L$12</f>
        <v>0</v>
      </c>
      <c r="CE81" s="242">
        <f>-CE80*Assumptions!$L$12</f>
        <v>0</v>
      </c>
      <c r="CF81" s="242">
        <f>-CF80*Assumptions!$L$12</f>
        <v>0</v>
      </c>
      <c r="CG81" s="242">
        <f>-CG80*Assumptions!$L$12</f>
        <v>0</v>
      </c>
      <c r="CH81" s="242">
        <f>-CH80*Assumptions!$L$12</f>
        <v>0</v>
      </c>
      <c r="CI81" s="242">
        <f>-CI80*Assumptions!$L$12</f>
        <v>0</v>
      </c>
      <c r="CJ81" s="242">
        <f>-CJ80*Assumptions!$L$12</f>
        <v>0</v>
      </c>
      <c r="CK81" s="242">
        <f ca="1">-CK80*Assumptions!$L$12</f>
        <v>-327378.08537684486</v>
      </c>
      <c r="CL81" s="242">
        <f>-CL80*Assumptions!$L$12</f>
        <v>0</v>
      </c>
      <c r="CM81" s="242">
        <f>-CM80*Assumptions!$L$12</f>
        <v>0</v>
      </c>
      <c r="CN81" s="242">
        <f>-CN80*Assumptions!$L$12</f>
        <v>0</v>
      </c>
      <c r="CO81" s="242">
        <f>-CO80*Assumptions!$L$12</f>
        <v>0</v>
      </c>
      <c r="CP81" s="242">
        <f>-CP80*Assumptions!$L$12</f>
        <v>0</v>
      </c>
      <c r="CQ81" s="242">
        <f>-CQ80*Assumptions!$L$12</f>
        <v>0</v>
      </c>
      <c r="CR81" s="242">
        <f>-CR80*Assumptions!$L$12</f>
        <v>0</v>
      </c>
      <c r="CS81" s="242">
        <f>-CS80*Assumptions!$L$12</f>
        <v>0</v>
      </c>
      <c r="CT81" s="242">
        <f>-CT80*Assumptions!$L$12</f>
        <v>0</v>
      </c>
      <c r="CU81" s="242">
        <f>-CU80*Assumptions!$L$12</f>
        <v>0</v>
      </c>
      <c r="CV81" s="242">
        <f>-CV80*Assumptions!$L$12</f>
        <v>0</v>
      </c>
      <c r="CW81" s="242">
        <f>-CW80*Assumptions!$L$12</f>
        <v>0</v>
      </c>
      <c r="CX81" s="242">
        <f>-CX80*Assumptions!$L$12</f>
        <v>0</v>
      </c>
      <c r="CY81" s="242">
        <f>-CY80*Assumptions!$L$12</f>
        <v>0</v>
      </c>
      <c r="CZ81" s="242">
        <f>-CZ80*Assumptions!$L$12</f>
        <v>0</v>
      </c>
      <c r="DA81" s="242">
        <f>-DA80*Assumptions!$L$12</f>
        <v>0</v>
      </c>
      <c r="DB81" s="242">
        <f>-DB80*Assumptions!$L$12</f>
        <v>0</v>
      </c>
      <c r="DC81" s="242">
        <f>-DC80*Assumptions!$L$12</f>
        <v>0</v>
      </c>
      <c r="DD81" s="242">
        <f>-DD80*Assumptions!$L$12</f>
        <v>0</v>
      </c>
      <c r="DE81" s="242">
        <f>-DE80*Assumptions!$L$12</f>
        <v>0</v>
      </c>
      <c r="DF81" s="242">
        <f>-DF80*Assumptions!$L$12</f>
        <v>0</v>
      </c>
      <c r="DG81" s="242">
        <f>-DG80*Assumptions!$L$12</f>
        <v>0</v>
      </c>
      <c r="DH81" s="242">
        <f>-DH80*Assumptions!$L$12</f>
        <v>0</v>
      </c>
      <c r="DI81" s="242">
        <f>-DI80*Assumptions!$L$12</f>
        <v>0</v>
      </c>
      <c r="DJ81" s="242">
        <f>-DJ80*Assumptions!$L$12</f>
        <v>0</v>
      </c>
      <c r="DK81" s="242">
        <f>-DK80*Assumptions!$L$12</f>
        <v>0</v>
      </c>
      <c r="DL81" s="242">
        <f>-DL80*Assumptions!$L$12</f>
        <v>0</v>
      </c>
      <c r="DM81" s="242">
        <f>-DM80*Assumptions!$L$12</f>
        <v>0</v>
      </c>
      <c r="DN81" s="242">
        <f>-DN80*Assumptions!$L$12</f>
        <v>0</v>
      </c>
      <c r="DO81" s="242">
        <f>-DO80*Assumptions!$L$12</f>
        <v>0</v>
      </c>
      <c r="DP81" s="242">
        <f>-DP80*Assumptions!$L$12</f>
        <v>0</v>
      </c>
      <c r="DQ81" s="242">
        <f>-DQ80*Assumptions!$L$12</f>
        <v>0</v>
      </c>
      <c r="DR81" s="242">
        <f>-DR80*Assumptions!$L$12</f>
        <v>0</v>
      </c>
      <c r="DS81" s="242">
        <f>-DS80*Assumptions!$L$12</f>
        <v>0</v>
      </c>
      <c r="DT81" s="242">
        <f>-DT80*Assumptions!$L$12</f>
        <v>0</v>
      </c>
      <c r="DU81" s="242">
        <f>-DU80*Assumptions!$L$12</f>
        <v>0</v>
      </c>
      <c r="DV81" s="242">
        <f>-DV80*Assumptions!$L$12</f>
        <v>0</v>
      </c>
      <c r="DW81" s="242">
        <f>-DW80*Assumptions!$L$12</f>
        <v>0</v>
      </c>
      <c r="DX81" s="242">
        <f>-DX80*Assumptions!$L$12</f>
        <v>0</v>
      </c>
      <c r="DY81" s="242">
        <f>-DY80*Assumptions!$L$12</f>
        <v>0</v>
      </c>
      <c r="DZ81" s="242">
        <f>-DZ80*Assumptions!$L$12</f>
        <v>0</v>
      </c>
      <c r="EA81" s="242">
        <f>-EA80*Assumptions!$L$12</f>
        <v>0</v>
      </c>
      <c r="EB81" s="242">
        <f>-EB80*Assumptions!$L$12</f>
        <v>0</v>
      </c>
      <c r="EC81" s="242">
        <f>-EC80*Assumptions!$L$12</f>
        <v>0</v>
      </c>
      <c r="ED81" s="242">
        <f>-ED80*Assumptions!$L$12</f>
        <v>0</v>
      </c>
      <c r="EE81" s="242">
        <f>-EE80*Assumptions!$L$12</f>
        <v>0</v>
      </c>
      <c r="EF81" s="242">
        <f>-EF80*Assumptions!$L$12</f>
        <v>0</v>
      </c>
      <c r="EG81" s="242">
        <f>-EG80*Assumptions!$L$12</f>
        <v>0</v>
      </c>
      <c r="EH81" s="242">
        <f>-EH80*Assumptions!$L$12</f>
        <v>0</v>
      </c>
      <c r="EI81" s="242">
        <f>-EI80*Assumptions!$L$12</f>
        <v>0</v>
      </c>
      <c r="EJ81" s="242">
        <f>-EJ80*Assumptions!$L$12</f>
        <v>0</v>
      </c>
      <c r="EK81" s="242">
        <f>-EK80*Assumptions!$L$12</f>
        <v>0</v>
      </c>
      <c r="EL81" s="242">
        <f>-EL80*Assumptions!$L$12</f>
        <v>0</v>
      </c>
      <c r="EM81" s="242">
        <f>-EM80*Assumptions!$L$12</f>
        <v>0</v>
      </c>
      <c r="EN81" s="242">
        <f>-EN80*Assumptions!$L$12</f>
        <v>0</v>
      </c>
      <c r="EO81" s="242">
        <f>-EO80*Assumptions!$L$12</f>
        <v>0</v>
      </c>
      <c r="EP81" s="242">
        <f>-EP80*Assumptions!$L$12</f>
        <v>0</v>
      </c>
      <c r="EQ81" s="242">
        <f>-EQ80*Assumptions!$L$12</f>
        <v>0</v>
      </c>
      <c r="ER81" s="242">
        <f>-ER80*Assumptions!$L$12</f>
        <v>0</v>
      </c>
      <c r="ES81" s="242">
        <f>-ES80*Assumptions!$L$12</f>
        <v>0</v>
      </c>
      <c r="ET81" s="242">
        <f>-ET80*Assumptions!$L$12</f>
        <v>0</v>
      </c>
    </row>
    <row r="82" spans="2:150" x14ac:dyDescent="0.2">
      <c r="B82" t="s">
        <v>163</v>
      </c>
      <c r="D82" s="242">
        <f t="shared" ca="1" si="646"/>
        <v>2866119.8899566242</v>
      </c>
      <c r="F82" s="242">
        <f>IF(F6=Assumptions!$F$41,(SUM(G73:R73)+SUM(G75:R75)*(SUM(G73:R73)/SUM(G63:R63,G73:R73)))/IF(Assumptions!$Q$24="No",Assumptions!$K$13,Assumptions!$K$13+Assumptions!$Q$30),0)</f>
        <v>0</v>
      </c>
      <c r="G82" s="242">
        <f>IF(G6=Assumptions!$F$41,(SUM(H73:S73)+SUM(H75:S75)*(SUM(H73:S73)/SUM(H63:S63,H73:S73)))/IF(Assumptions!$Q$24="No",Assumptions!$K$13,Assumptions!$K$13+Assumptions!$Q$30),0)</f>
        <v>0</v>
      </c>
      <c r="H82" s="242">
        <f>IF(H6=Assumptions!$F$41,(SUM(I73:T73)+SUM(I75:T75)*(SUM(I73:T73)/SUM(I63:T63,I73:T73)))/IF(Assumptions!$Q$24="No",Assumptions!$K$13,Assumptions!$K$13+Assumptions!$Q$30),0)</f>
        <v>0</v>
      </c>
      <c r="I82" s="242">
        <f>IF(I6=Assumptions!$F$41,(SUM(J73:U73)+SUM(J75:U75)*(SUM(J73:U73)/SUM(J63:U63,J73:U73)))/IF(Assumptions!$Q$24="No",Assumptions!$K$13,Assumptions!$K$13+Assumptions!$Q$30),0)</f>
        <v>0</v>
      </c>
      <c r="J82" s="242">
        <f>IF(J6=Assumptions!$F$41,(SUM(K73:V73)+SUM(K75:V75)*(SUM(K73:V73)/SUM(K63:V63,K73:V73)))/IF(Assumptions!$Q$24="No",Assumptions!$K$13,Assumptions!$K$13+Assumptions!$Q$30),0)</f>
        <v>0</v>
      </c>
      <c r="K82" s="242">
        <f>IF(K6=Assumptions!$F$41,(SUM(L73:W73)+SUM(L75:W75)*(SUM(L73:W73)/SUM(L63:W63,L73:W73)))/IF(Assumptions!$Q$24="No",Assumptions!$K$13,Assumptions!$K$13+Assumptions!$Q$30),0)</f>
        <v>0</v>
      </c>
      <c r="L82" s="242">
        <f>IF(L6=Assumptions!$F$41,(SUM(M73:X73)+SUM(M75:X75)*(SUM(M73:X73)/SUM(M63:X63,M73:X73)))/IF(Assumptions!$Q$24="No",Assumptions!$K$13,Assumptions!$K$13+Assumptions!$Q$30),0)</f>
        <v>0</v>
      </c>
      <c r="M82" s="242">
        <f>IF(M6=Assumptions!$F$41,(SUM(N73:Y73)+SUM(N75:Y75)*(SUM(N73:Y73)/SUM(N63:Y63,N73:Y73)))/IF(Assumptions!$Q$24="No",Assumptions!$K$13,Assumptions!$K$13+Assumptions!$Q$30),0)</f>
        <v>0</v>
      </c>
      <c r="N82" s="242">
        <f>IF(N6=Assumptions!$F$41,(SUM(O73:Z73)+SUM(O75:Z75)*(SUM(O73:Z73)/SUM(O63:Z63,O73:Z73)))/IF(Assumptions!$Q$24="No",Assumptions!$K$13,Assumptions!$K$13+Assumptions!$Q$30),0)</f>
        <v>0</v>
      </c>
      <c r="O82" s="242">
        <f>IF(O6=Assumptions!$F$41,(SUM(P73:AA73)+SUM(P75:AA75)*(SUM(P73:AA73)/SUM(P63:AA63,P73:AA73)))/IF(Assumptions!$Q$24="No",Assumptions!$K$13,Assumptions!$K$13+Assumptions!$Q$30),0)</f>
        <v>0</v>
      </c>
      <c r="P82" s="242">
        <f>IF(P6=Assumptions!$F$41,(SUM(Q73:AB73)+SUM(Q75:AB75)*(SUM(Q73:AB73)/SUM(Q63:AB63,Q73:AB73)))/IF(Assumptions!$Q$24="No",Assumptions!$K$13,Assumptions!$K$13+Assumptions!$Q$30),0)</f>
        <v>0</v>
      </c>
      <c r="Q82" s="242">
        <f>IF(Q6=Assumptions!$F$41,(SUM(R73:AC73)+SUM(R75:AC75)*(SUM(R73:AC73)/SUM(R63:AC63,R73:AC73)))/IF(Assumptions!$Q$24="No",Assumptions!$K$13,Assumptions!$K$13+Assumptions!$Q$30),0)</f>
        <v>0</v>
      </c>
      <c r="R82" s="242">
        <f>IF(R6=Assumptions!$F$41,(SUM(S73:AD73)+SUM(S75:AD75)*(SUM(S73:AD73)/SUM(S63:AD63,S73:AD73)))/IF(Assumptions!$Q$24="No",Assumptions!$K$13,Assumptions!$K$13+Assumptions!$Q$30),0)</f>
        <v>0</v>
      </c>
      <c r="S82" s="242">
        <f>IF(S6=Assumptions!$F$41,(SUM(T73:AE73)+SUM(T75:AE75)*(SUM(T73:AE73)/SUM(T63:AE63,T73:AE73)))/IF(Assumptions!$Q$24="No",Assumptions!$K$13,Assumptions!$K$13+Assumptions!$Q$30),0)</f>
        <v>0</v>
      </c>
      <c r="T82" s="242">
        <f>IF(T6=Assumptions!$F$41,(SUM(U73:AF73)+SUM(U75:AF75)*(SUM(U73:AF73)/SUM(U63:AF63,U73:AF73)))/IF(Assumptions!$Q$24="No",Assumptions!$K$13,Assumptions!$K$13+Assumptions!$Q$30),0)</f>
        <v>0</v>
      </c>
      <c r="U82" s="242">
        <f>IF(U6=Assumptions!$F$41,(SUM(V73:AG73)+SUM(V75:AG75)*(SUM(V73:AG73)/SUM(V63:AG63,V73:AG73)))/IF(Assumptions!$Q$24="No",Assumptions!$K$13,Assumptions!$K$13+Assumptions!$Q$30),0)</f>
        <v>0</v>
      </c>
      <c r="V82" s="242">
        <f>IF(V6=Assumptions!$F$41,(SUM(W73:AH73)+SUM(W75:AH75)*(SUM(W73:AH73)/SUM(W63:AH63,W73:AH73)))/IF(Assumptions!$Q$24="No",Assumptions!$K$13,Assumptions!$K$13+Assumptions!$Q$30),0)</f>
        <v>0</v>
      </c>
      <c r="W82" s="242">
        <f>IF(W6=Assumptions!$F$41,(SUM(X73:AI73)+SUM(X75:AI75)*(SUM(X73:AI73)/SUM(X63:AI63,X73:AI73)))/IF(Assumptions!$Q$24="No",Assumptions!$K$13,Assumptions!$K$13+Assumptions!$Q$30),0)</f>
        <v>0</v>
      </c>
      <c r="X82" s="242">
        <f>IF(X6=Assumptions!$F$41,(SUM(Y73:AJ73)+SUM(Y75:AJ75)*(SUM(Y73:AJ73)/SUM(Y63:AJ63,Y73:AJ73)))/IF(Assumptions!$Q$24="No",Assumptions!$K$13,Assumptions!$K$13+Assumptions!$Q$30),0)</f>
        <v>0</v>
      </c>
      <c r="Y82" s="242">
        <f>IF(Y6=Assumptions!$F$41,(SUM(Z73:AK73)+SUM(Z75:AK75)*(SUM(Z73:AK73)/SUM(Z63:AK63,Z73:AK73)))/IF(Assumptions!$Q$24="No",Assumptions!$K$13,Assumptions!$K$13+Assumptions!$Q$30),0)</f>
        <v>0</v>
      </c>
      <c r="Z82" s="242">
        <f>IF(Z6=Assumptions!$F$41,(SUM(AA73:AL73)+SUM(AA75:AL75)*(SUM(AA73:AL73)/SUM(AA63:AL63,AA73:AL73)))/IF(Assumptions!$Q$24="No",Assumptions!$K$13,Assumptions!$K$13+Assumptions!$Q$30),0)</f>
        <v>0</v>
      </c>
      <c r="AA82" s="242">
        <f>IF(AA6=Assumptions!$F$41,(SUM(AB73:AM73)+SUM(AB75:AM75)*(SUM(AB73:AM73)/SUM(AB63:AM63,AB73:AM73)))/IF(Assumptions!$Q$24="No",Assumptions!$K$13,Assumptions!$K$13+Assumptions!$Q$30),0)</f>
        <v>0</v>
      </c>
      <c r="AB82" s="242">
        <f>IF(AB6=Assumptions!$F$41,(SUM(AC73:AN73)+SUM(AC75:AN75)*(SUM(AC73:AN73)/SUM(AC63:AN63,AC73:AN73)))/IF(Assumptions!$Q$24="No",Assumptions!$K$13,Assumptions!$K$13+Assumptions!$Q$30),0)</f>
        <v>0</v>
      </c>
      <c r="AC82" s="242">
        <f>IF(AC6=Assumptions!$F$41,(SUM(AD73:AO73)+SUM(AD75:AO75)*(SUM(AD73:AO73)/SUM(AD63:AO63,AD73:AO73)))/IF(Assumptions!$Q$24="No",Assumptions!$K$13,Assumptions!$K$13+Assumptions!$Q$30),0)</f>
        <v>0</v>
      </c>
      <c r="AD82" s="242">
        <f>IF(AD6=Assumptions!$F$41,(SUM(AE73:AP73)+SUM(AE75:AP75)*(SUM(AE73:AP73)/SUM(AE63:AP63,AE73:AP73)))/IF(Assumptions!$Q$24="No",Assumptions!$K$13,Assumptions!$K$13+Assumptions!$Q$30),0)</f>
        <v>0</v>
      </c>
      <c r="AE82" s="242">
        <f>IF(AE6=Assumptions!$F$41,(SUM(AF73:AQ73)+SUM(AF75:AQ75)*(SUM(AF73:AQ73)/SUM(AF63:AQ63,AF73:AQ73)))/IF(Assumptions!$Q$24="No",Assumptions!$K$13,Assumptions!$K$13+Assumptions!$Q$30),0)</f>
        <v>0</v>
      </c>
      <c r="AF82" s="242">
        <f>IF(AF6=Assumptions!$F$41,(SUM(AG73:AR73)+SUM(AG75:AR75)*(SUM(AG73:AR73)/SUM(AG63:AR63,AG73:AR73)))/IF(Assumptions!$Q$24="No",Assumptions!$K$13,Assumptions!$K$13+Assumptions!$Q$30),0)</f>
        <v>0</v>
      </c>
      <c r="AG82" s="242">
        <f>IF(AG6=Assumptions!$F$41,(SUM(AH73:AS73)+SUM(AH75:AS75)*(SUM(AH73:AS73)/SUM(AH63:AS63,AH73:AS73)))/IF(Assumptions!$Q$24="No",Assumptions!$K$13,Assumptions!$K$13+Assumptions!$Q$30),0)</f>
        <v>0</v>
      </c>
      <c r="AH82" s="242">
        <f>IF(AH6=Assumptions!$F$41,(SUM(AI73:AT73)+SUM(AI75:AT75)*(SUM(AI73:AT73)/SUM(AI63:AT63,AI73:AT73)))/IF(Assumptions!$Q$24="No",Assumptions!$K$13,Assumptions!$K$13+Assumptions!$Q$30),0)</f>
        <v>0</v>
      </c>
      <c r="AI82" s="242">
        <f>IF(AI6=Assumptions!$F$41,(SUM(AJ73:AU73)+SUM(AJ75:AU75)*(SUM(AJ73:AU73)/SUM(AJ63:AU63,AJ73:AU73)))/IF(Assumptions!$Q$24="No",Assumptions!$K$13,Assumptions!$K$13+Assumptions!$Q$30),0)</f>
        <v>0</v>
      </c>
      <c r="AJ82" s="242">
        <f>IF(AJ6=Assumptions!$F$41,(SUM(AK73:AV73)+SUM(AK75:AV75)*(SUM(AK73:AV73)/SUM(AK63:AV63,AK73:AV73)))/IF(Assumptions!$Q$24="No",Assumptions!$K$13,Assumptions!$K$13+Assumptions!$Q$30),0)</f>
        <v>0</v>
      </c>
      <c r="AK82" s="242">
        <f>IF(AK6=Assumptions!$F$41,(SUM(AL73:AW73)+SUM(AL75:AW75)*(SUM(AL73:AW73)/SUM(AL63:AW63,AL73:AW73)))/IF(Assumptions!$Q$24="No",Assumptions!$K$13,Assumptions!$K$13+Assumptions!$Q$30),0)</f>
        <v>0</v>
      </c>
      <c r="AL82" s="242">
        <f>IF(AL6=Assumptions!$F$41,(SUM(AM73:AX73)+SUM(AM75:AX75)*(SUM(AM73:AX73)/SUM(AM63:AX63,AM73:AX73)))/IF(Assumptions!$Q$24="No",Assumptions!$K$13,Assumptions!$K$13+Assumptions!$Q$30),0)</f>
        <v>0</v>
      </c>
      <c r="AM82" s="242">
        <f>IF(AM6=Assumptions!$F$41,(SUM(AN73:AY73)+SUM(AN75:AY75)*(SUM(AN73:AY73)/SUM(AN63:AY63,AN73:AY73)))/IF(Assumptions!$Q$24="No",Assumptions!$K$13,Assumptions!$K$13+Assumptions!$Q$30),0)</f>
        <v>0</v>
      </c>
      <c r="AN82" s="242">
        <f>IF(AN6=Assumptions!$F$41,(SUM(AO73:AZ73)+SUM(AO75:AZ75)*(SUM(AO73:AZ73)/SUM(AO63:AZ63,AO73:AZ73)))/IF(Assumptions!$Q$24="No",Assumptions!$K$13,Assumptions!$K$13+Assumptions!$Q$30),0)</f>
        <v>0</v>
      </c>
      <c r="AO82" s="242">
        <f>IF(AO6=Assumptions!$F$41,(SUM(AP73:BA73)+SUM(AP75:BA75)*(SUM(AP73:BA73)/SUM(AP63:BA63,AP73:BA73)))/IF(Assumptions!$Q$24="No",Assumptions!$K$13,Assumptions!$K$13+Assumptions!$Q$30),0)</f>
        <v>0</v>
      </c>
      <c r="AP82" s="242">
        <f>IF(AP6=Assumptions!$F$41,(SUM(AQ73:BB73)+SUM(AQ75:BB75)*(SUM(AQ73:BB73)/SUM(AQ63:BB63,AQ73:BB73)))/IF(Assumptions!$Q$24="No",Assumptions!$K$13,Assumptions!$K$13+Assumptions!$Q$30),0)</f>
        <v>0</v>
      </c>
      <c r="AQ82" s="242">
        <f>IF(AQ6=Assumptions!$F$41,(SUM(AR73:BC73)+SUM(AR75:BC75)*(SUM(AR73:BC73)/SUM(AR63:BC63,AR73:BC73)))/IF(Assumptions!$Q$24="No",Assumptions!$K$13,Assumptions!$K$13+Assumptions!$Q$30),0)</f>
        <v>0</v>
      </c>
      <c r="AR82" s="242">
        <f>IF(AR6=Assumptions!$F$41,(SUM(AS73:BD73)+SUM(AS75:BD75)*(SUM(AS73:BD73)/SUM(AS63:BD63,AS73:BD73)))/IF(Assumptions!$Q$24="No",Assumptions!$K$13,Assumptions!$K$13+Assumptions!$Q$30),0)</f>
        <v>0</v>
      </c>
      <c r="AS82" s="242">
        <f>IF(AS6=Assumptions!$F$41,(SUM(AT73:BE73)+SUM(AT75:BE75)*(SUM(AT73:BE73)/SUM(AT63:BE63,AT73:BE73)))/IF(Assumptions!$Q$24="No",Assumptions!$K$13,Assumptions!$K$13+Assumptions!$Q$30),0)</f>
        <v>0</v>
      </c>
      <c r="AT82" s="242">
        <f>IF(AT6=Assumptions!$F$41,(SUM(AU73:BF73)+SUM(AU75:BF75)*(SUM(AU73:BF73)/SUM(AU63:BF63,AU73:BF73)))/IF(Assumptions!$Q$24="No",Assumptions!$K$13,Assumptions!$K$13+Assumptions!$Q$30),0)</f>
        <v>0</v>
      </c>
      <c r="AU82" s="242">
        <f>IF(AU6=Assumptions!$F$41,(SUM(AV73:BG73)+SUM(AV75:BG75)*(SUM(AV73:BG73)/SUM(AV63:BG63,AV73:BG73)))/IF(Assumptions!$Q$24="No",Assumptions!$K$13,Assumptions!$K$13+Assumptions!$Q$30),0)</f>
        <v>0</v>
      </c>
      <c r="AV82" s="242">
        <f>IF(AV6=Assumptions!$F$41,(SUM(AW73:BH73)+SUM(AW75:BH75)*(SUM(AW73:BH73)/SUM(AW63:BH63,AW73:BH73)))/IF(Assumptions!$Q$24="No",Assumptions!$K$13,Assumptions!$K$13+Assumptions!$Q$30),0)</f>
        <v>0</v>
      </c>
      <c r="AW82" s="242">
        <f>IF(AW6=Assumptions!$F$41,(SUM(AX73:BI73)+SUM(AX75:BI75)*(SUM(AX73:BI73)/SUM(AX63:BI63,AX73:BI73)))/IF(Assumptions!$Q$24="No",Assumptions!$K$13,Assumptions!$K$13+Assumptions!$Q$30),0)</f>
        <v>0</v>
      </c>
      <c r="AX82" s="242">
        <f>IF(AX6=Assumptions!$F$41,(SUM(AY73:BJ73)+SUM(AY75:BJ75)*(SUM(AY73:BJ73)/SUM(AY63:BJ63,AY73:BJ73)))/IF(Assumptions!$Q$24="No",Assumptions!$K$13,Assumptions!$K$13+Assumptions!$Q$30),0)</f>
        <v>0</v>
      </c>
      <c r="AY82" s="242">
        <f>IF(AY6=Assumptions!$F$41,(SUM(AZ73:BK73)+SUM(AZ75:BK75)*(SUM(AZ73:BK73)/SUM(AZ63:BK63,AZ73:BK73)))/IF(Assumptions!$Q$24="No",Assumptions!$K$13,Assumptions!$K$13+Assumptions!$Q$30),0)</f>
        <v>0</v>
      </c>
      <c r="AZ82" s="242">
        <f>IF(AZ6=Assumptions!$F$41,(SUM(BA73:BL73)+SUM(BA75:BL75)*(SUM(BA73:BL73)/SUM(BA63:BL63,BA73:BL73)))/IF(Assumptions!$Q$24="No",Assumptions!$K$13,Assumptions!$K$13+Assumptions!$Q$30),0)</f>
        <v>0</v>
      </c>
      <c r="BA82" s="242">
        <f>IF(BA6=Assumptions!$F$41,(SUM(BB73:BM73)+SUM(BB75:BM75)*(SUM(BB73:BM73)/SUM(BB63:BM63,BB73:BM73)))/IF(Assumptions!$Q$24="No",Assumptions!$K$13,Assumptions!$K$13+Assumptions!$Q$30),0)</f>
        <v>0</v>
      </c>
      <c r="BB82" s="242">
        <f>IF(BB6=Assumptions!$F$41,(SUM(BC73:BN73)+SUM(BC75:BN75)*(SUM(BC73:BN73)/SUM(BC63:BN63,BC73:BN73)))/IF(Assumptions!$Q$24="No",Assumptions!$K$13,Assumptions!$K$13+Assumptions!$Q$30),0)</f>
        <v>0</v>
      </c>
      <c r="BC82" s="242">
        <f>IF(BC6=Assumptions!$F$41,(SUM(BD73:BO73)+SUM(BD75:BO75)*(SUM(BD73:BO73)/SUM(BD63:BO63,BD73:BO73)))/IF(Assumptions!$Q$24="No",Assumptions!$K$13,Assumptions!$K$13+Assumptions!$Q$30),0)</f>
        <v>0</v>
      </c>
      <c r="BD82" s="242">
        <f>IF(BD6=Assumptions!$F$41,(SUM(BE73:BP73)+SUM(BE75:BP75)*(SUM(BE73:BP73)/SUM(BE63:BP63,BE73:BP73)))/IF(Assumptions!$Q$24="No",Assumptions!$K$13,Assumptions!$K$13+Assumptions!$Q$30),0)</f>
        <v>0</v>
      </c>
      <c r="BE82" s="242">
        <f>IF(BE6=Assumptions!$F$41,(SUM(BF73:BQ73)+SUM(BF75:BQ75)*(SUM(BF73:BQ73)/SUM(BF63:BQ63,BF73:BQ73)))/IF(Assumptions!$Q$24="No",Assumptions!$K$13,Assumptions!$K$13+Assumptions!$Q$30),0)</f>
        <v>0</v>
      </c>
      <c r="BF82" s="242">
        <f>IF(BF6=Assumptions!$F$41,(SUM(BG73:BR73)+SUM(BG75:BR75)*(SUM(BG73:BR73)/SUM(BG63:BR63,BG73:BR73)))/IF(Assumptions!$Q$24="No",Assumptions!$K$13,Assumptions!$K$13+Assumptions!$Q$30),0)</f>
        <v>0</v>
      </c>
      <c r="BG82" s="242">
        <f>IF(BG6=Assumptions!$F$41,(SUM(BH73:BS73)+SUM(BH75:BS75)*(SUM(BH73:BS73)/SUM(BH63:BS63,BH73:BS73)))/IF(Assumptions!$Q$24="No",Assumptions!$K$13,Assumptions!$K$13+Assumptions!$Q$30),0)</f>
        <v>0</v>
      </c>
      <c r="BH82" s="242">
        <f>IF(BH6=Assumptions!$F$41,(SUM(BI73:BT73)+SUM(BI75:BT75)*(SUM(BI73:BT73)/SUM(BI63:BT63,BI73:BT73)))/IF(Assumptions!$Q$24="No",Assumptions!$K$13,Assumptions!$K$13+Assumptions!$Q$30),0)</f>
        <v>0</v>
      </c>
      <c r="BI82" s="242">
        <f>IF(BI6=Assumptions!$F$41,(SUM(BJ73:BU73)+SUM(BJ75:BU75)*(SUM(BJ73:BU73)/SUM(BJ63:BU63,BJ73:BU73)))/IF(Assumptions!$Q$24="No",Assumptions!$K$13,Assumptions!$K$13+Assumptions!$Q$30),0)</f>
        <v>0</v>
      </c>
      <c r="BJ82" s="242">
        <f>IF(BJ6=Assumptions!$F$41,(SUM(BK73:BV73)+SUM(BK75:BV75)*(SUM(BK73:BV73)/SUM(BK63:BV63,BK73:BV73)))/IF(Assumptions!$Q$24="No",Assumptions!$K$13,Assumptions!$K$13+Assumptions!$Q$30),0)</f>
        <v>0</v>
      </c>
      <c r="BK82" s="242">
        <f>IF(BK6=Assumptions!$F$41,(SUM(BL73:BW73)+SUM(BL75:BW75)*(SUM(BL73:BW73)/SUM(BL63:BW63,BL73:BW73)))/IF(Assumptions!$Q$24="No",Assumptions!$K$13,Assumptions!$K$13+Assumptions!$Q$30),0)</f>
        <v>0</v>
      </c>
      <c r="BL82" s="242">
        <f>IF(BL6=Assumptions!$F$41,(SUM(BM73:BX73)+SUM(BM75:BX75)*(SUM(BM73:BX73)/SUM(BM63:BX63,BM73:BX73)))/IF(Assumptions!$Q$24="No",Assumptions!$K$13,Assumptions!$K$13+Assumptions!$Q$30),0)</f>
        <v>0</v>
      </c>
      <c r="BM82" s="242">
        <f>IF(BM6=Assumptions!$F$41,(SUM(BN73:BY73)+SUM(BN75:BY75)*(SUM(BN73:BY73)/SUM(BN63:BY63,BN73:BY73)))/IF(Assumptions!$Q$24="No",Assumptions!$K$13,Assumptions!$K$13+Assumptions!$Q$30),0)</f>
        <v>0</v>
      </c>
      <c r="BN82" s="242">
        <f>IF(BN6=Assumptions!$F$41,(SUM(BO73:BZ73)+SUM(BO75:BZ75)*(SUM(BO73:BZ73)/SUM(BO63:BZ63,BO73:BZ73)))/IF(Assumptions!$Q$24="No",Assumptions!$K$13,Assumptions!$K$13+Assumptions!$Q$30),0)</f>
        <v>0</v>
      </c>
      <c r="BO82" s="242">
        <f>IF(BO6=Assumptions!$F$41,(SUM(BP73:CA73)+SUM(BP75:CA75)*(SUM(BP73:CA73)/SUM(BP63:CA63,BP73:CA73)))/IF(Assumptions!$Q$24="No",Assumptions!$K$13,Assumptions!$K$13+Assumptions!$Q$30),0)</f>
        <v>0</v>
      </c>
      <c r="BP82" s="242">
        <f>IF(BP6=Assumptions!$F$41,(SUM(BQ73:CB73)+SUM(BQ75:CB75)*(SUM(BQ73:CB73)/SUM(BQ63:CB63,BQ73:CB73)))/IF(Assumptions!$Q$24="No",Assumptions!$K$13,Assumptions!$K$13+Assumptions!$Q$30),0)</f>
        <v>0</v>
      </c>
      <c r="BQ82" s="242">
        <f>IF(BQ6=Assumptions!$F$41,(SUM(BR73:CC73)+SUM(BR75:CC75)*(SUM(BR73:CC73)/SUM(BR63:CC63,BR73:CC73)))/IF(Assumptions!$Q$24="No",Assumptions!$K$13,Assumptions!$K$13+Assumptions!$Q$30),0)</f>
        <v>0</v>
      </c>
      <c r="BR82" s="242">
        <f>IF(BR6=Assumptions!$F$41,(SUM(BS73:CD73)+SUM(BS75:CD75)*(SUM(BS73:CD73)/SUM(BS63:CD63,BS73:CD73)))/IF(Assumptions!$Q$24="No",Assumptions!$K$13,Assumptions!$K$13+Assumptions!$Q$30),0)</f>
        <v>0</v>
      </c>
      <c r="BS82" s="242">
        <f>IF(BS6=Assumptions!$F$41,(SUM(BT73:CE73)+SUM(BT75:CE75)*(SUM(BT73:CE73)/SUM(BT63:CE63,BT73:CE73)))/IF(Assumptions!$Q$24="No",Assumptions!$K$13,Assumptions!$K$13+Assumptions!$Q$30),0)</f>
        <v>0</v>
      </c>
      <c r="BT82" s="242">
        <f>IF(BT6=Assumptions!$F$41,(SUM(BU73:CF73)+SUM(BU75:CF75)*(SUM(BU73:CF73)/SUM(BU63:CF63,BU73:CF73)))/IF(Assumptions!$Q$24="No",Assumptions!$K$13,Assumptions!$K$13+Assumptions!$Q$30),0)</f>
        <v>0</v>
      </c>
      <c r="BU82" s="242">
        <f>IF(BU6=Assumptions!$F$41,(SUM(BV73:CG73)+SUM(BV75:CG75)*(SUM(BV73:CG73)/SUM(BV63:CG63,BV73:CG73)))/IF(Assumptions!$Q$24="No",Assumptions!$K$13,Assumptions!$K$13+Assumptions!$Q$30),0)</f>
        <v>0</v>
      </c>
      <c r="BV82" s="242">
        <f>IF(BV6=Assumptions!$F$41,(SUM(BW73:CH73)+SUM(BW75:CH75)*(SUM(BW73:CH73)/SUM(BW63:CH63,BW73:CH73)))/IF(Assumptions!$Q$24="No",Assumptions!$K$13,Assumptions!$K$13+Assumptions!$Q$30),0)</f>
        <v>0</v>
      </c>
      <c r="BW82" s="242">
        <f>IF(BW6=Assumptions!$F$41,(SUM(BX73:CI73)+SUM(BX75:CI75)*(SUM(BX73:CI73)/SUM(BX63:CI63,BX73:CI73)))/IF(Assumptions!$Q$24="No",Assumptions!$K$13,Assumptions!$K$13+Assumptions!$Q$30),0)</f>
        <v>0</v>
      </c>
      <c r="BX82" s="242">
        <f>IF(BX6=Assumptions!$F$41,(SUM(BY73:CJ73)+SUM(BY75:CJ75)*(SUM(BY73:CJ73)/SUM(BY63:CJ63,BY73:CJ73)))/IF(Assumptions!$Q$24="No",Assumptions!$K$13,Assumptions!$K$13+Assumptions!$Q$30),0)</f>
        <v>0</v>
      </c>
      <c r="BY82" s="242">
        <f>IF(BY6=Assumptions!$F$41,(SUM(BZ73:CK73)+SUM(BZ75:CK75)*(SUM(BZ73:CK73)/SUM(BZ63:CK63,BZ73:CK73)))/IF(Assumptions!$Q$24="No",Assumptions!$K$13,Assumptions!$K$13+Assumptions!$Q$30),0)</f>
        <v>0</v>
      </c>
      <c r="BZ82" s="242">
        <f>IF(BZ6=Assumptions!$F$41,(SUM(CA73:CL73)+SUM(CA75:CL75)*(SUM(CA73:CL73)/SUM(CA63:CL63,CA73:CL73)))/IF(Assumptions!$Q$24="No",Assumptions!$K$13,Assumptions!$K$13+Assumptions!$Q$30),0)</f>
        <v>0</v>
      </c>
      <c r="CA82" s="242">
        <f>IF(CA6=Assumptions!$F$41,(SUM(CB73:CM73)+SUM(CB75:CM75)*(SUM(CB73:CM73)/SUM(CB63:CM63,CB73:CM73)))/IF(Assumptions!$Q$24="No",Assumptions!$K$13,Assumptions!$K$13+Assumptions!$Q$30),0)</f>
        <v>0</v>
      </c>
      <c r="CB82" s="242">
        <f>IF(CB6=Assumptions!$F$41,(SUM(CC73:CN73)+SUM(CC75:CN75)*(SUM(CC73:CN73)/SUM(CC63:CN63,CC73:CN73)))/IF(Assumptions!$Q$24="No",Assumptions!$K$13,Assumptions!$K$13+Assumptions!$Q$30),0)</f>
        <v>0</v>
      </c>
      <c r="CC82" s="242">
        <f>IF(CC6=Assumptions!$F$41,(SUM(CD73:CO73)+SUM(CD75:CO75)*(SUM(CD73:CO73)/SUM(CD63:CO63,CD73:CO73)))/IF(Assumptions!$Q$24="No",Assumptions!$K$13,Assumptions!$K$13+Assumptions!$Q$30),0)</f>
        <v>0</v>
      </c>
      <c r="CD82" s="242">
        <f>IF(CD6=Assumptions!$F$41,(SUM(CE73:CP73)+SUM(CE75:CP75)*(SUM(CE73:CP73)/SUM(CE63:CP63,CE73:CP73)))/IF(Assumptions!$Q$24="No",Assumptions!$K$13,Assumptions!$K$13+Assumptions!$Q$30),0)</f>
        <v>0</v>
      </c>
      <c r="CE82" s="242">
        <f>IF(CE6=Assumptions!$F$41,(SUM(CF73:CQ73)+SUM(CF75:CQ75)*(SUM(CF73:CQ73)/SUM(CF63:CQ63,CF73:CQ73)))/IF(Assumptions!$Q$24="No",Assumptions!$K$13,Assumptions!$K$13+Assumptions!$Q$30),0)</f>
        <v>0</v>
      </c>
      <c r="CF82" s="242">
        <f>IF(CF6=Assumptions!$F$41,(SUM(CG73:CR73)+SUM(CG75:CR75)*(SUM(CG73:CR73)/SUM(CG63:CR63,CG73:CR73)))/IF(Assumptions!$Q$24="No",Assumptions!$K$13,Assumptions!$K$13+Assumptions!$Q$30),0)</f>
        <v>0</v>
      </c>
      <c r="CG82" s="242">
        <f>IF(CG6=Assumptions!$F$41,(SUM(CH73:CS73)+SUM(CH75:CS75)*(SUM(CH73:CS73)/SUM(CH63:CS63,CH73:CS73)))/IF(Assumptions!$Q$24="No",Assumptions!$K$13,Assumptions!$K$13+Assumptions!$Q$30),0)</f>
        <v>0</v>
      </c>
      <c r="CH82" s="242">
        <f>IF(CH6=Assumptions!$F$41,(SUM(CI73:CT73)+SUM(CI75:CT75)*(SUM(CI73:CT73)/SUM(CI63:CT63,CI73:CT73)))/IF(Assumptions!$Q$24="No",Assumptions!$K$13,Assumptions!$K$13+Assumptions!$Q$30),0)</f>
        <v>0</v>
      </c>
      <c r="CI82" s="242">
        <f>IF(CI6=Assumptions!$F$41,(SUM(CJ73:CU73)+SUM(CJ75:CU75)*(SUM(CJ73:CU73)/SUM(CJ63:CU63,CJ73:CU73)))/IF(Assumptions!$Q$24="No",Assumptions!$K$13,Assumptions!$K$13+Assumptions!$Q$30),0)</f>
        <v>0</v>
      </c>
      <c r="CJ82" s="242">
        <f>IF(CJ6=Assumptions!$F$41,(SUM(CK73:CV73)+SUM(CK75:CV75)*(SUM(CK73:CV73)/SUM(CK63:CV63,CK73:CV73)))/IF(Assumptions!$Q$24="No",Assumptions!$K$13,Assumptions!$K$13+Assumptions!$Q$30),0)</f>
        <v>0</v>
      </c>
      <c r="CK82" s="242">
        <f ca="1">IF(CK6=Assumptions!$F$41,(SUM(CL73:CW73)+SUM(CL75:CW75)*(SUM(CL73:CW73)/SUM(CL63:CW63,CL73:CW73)))/IF(Assumptions!$Q$24="No",Assumptions!$K$13,Assumptions!$K$13+Assumptions!$Q$30),0)</f>
        <v>2866119.8899566242</v>
      </c>
      <c r="CL82" s="242">
        <f>IF(CL6=Assumptions!$F$41,(SUM(CM73:CX73)+SUM(CM75:CX75)*(SUM(CM73:CX73)/SUM(CM63:CX63,CM73:CX73)))/IF(Assumptions!$Q$24="No",Assumptions!$K$13,Assumptions!$K$13+Assumptions!$Q$30),0)</f>
        <v>0</v>
      </c>
      <c r="CM82" s="242">
        <f>IF(CM6=Assumptions!$F$41,(SUM(CN73:CY73)+SUM(CN75:CY75)*(SUM(CN73:CY73)/SUM(CN63:CY63,CN73:CY73)))/IF(Assumptions!$Q$24="No",Assumptions!$K$13,Assumptions!$K$13+Assumptions!$Q$30),0)</f>
        <v>0</v>
      </c>
      <c r="CN82" s="242">
        <f>IF(CN6=Assumptions!$F$41,(SUM(CO73:CZ73)+SUM(CO75:CZ75)*(SUM(CO73:CZ73)/SUM(CO63:CZ63,CO73:CZ73)))/IF(Assumptions!$Q$24="No",Assumptions!$K$13,Assumptions!$K$13+Assumptions!$Q$30),0)</f>
        <v>0</v>
      </c>
      <c r="CO82" s="242">
        <f>IF(CO6=Assumptions!$F$41,(SUM(CP73:DA73)+SUM(CP75:DA75)*(SUM(CP73:DA73)/SUM(CP63:DA63,CP73:DA73)))/IF(Assumptions!$Q$24="No",Assumptions!$K$13,Assumptions!$K$13+Assumptions!$Q$30),0)</f>
        <v>0</v>
      </c>
      <c r="CP82" s="242">
        <f>IF(CP6=Assumptions!$F$41,(SUM(CQ73:DB73)+SUM(CQ75:DB75)*(SUM(CQ73:DB73)/SUM(CQ63:DB63,CQ73:DB73)))/IF(Assumptions!$Q$24="No",Assumptions!$K$13,Assumptions!$K$13+Assumptions!$Q$30),0)</f>
        <v>0</v>
      </c>
      <c r="CQ82" s="242">
        <f>IF(CQ6=Assumptions!$F$41,(SUM(CR73:DC73)+SUM(CR75:DC75)*(SUM(CR73:DC73)/SUM(CR63:DC63,CR73:DC73)))/IF(Assumptions!$Q$24="No",Assumptions!$K$13,Assumptions!$K$13+Assumptions!$Q$30),0)</f>
        <v>0</v>
      </c>
      <c r="CR82" s="242">
        <f>IF(CR6=Assumptions!$F$41,(SUM(CS73:DD73)+SUM(CS75:DD75)*(SUM(CS73:DD73)/SUM(CS63:DD63,CS73:DD73)))/IF(Assumptions!$Q$24="No",Assumptions!$K$13,Assumptions!$K$13+Assumptions!$Q$30),0)</f>
        <v>0</v>
      </c>
      <c r="CS82" s="242">
        <f>IF(CS6=Assumptions!$F$41,(SUM(CT73:DE73)+SUM(CT75:DE75)*(SUM(CT73:DE73)/SUM(CT63:DE63,CT73:DE73)))/IF(Assumptions!$Q$24="No",Assumptions!$K$13,Assumptions!$K$13+Assumptions!$Q$30),0)</f>
        <v>0</v>
      </c>
      <c r="CT82" s="242">
        <f>IF(CT6=Assumptions!$F$41,(SUM(CU73:DF73)+SUM(CU75:DF75)*(SUM(CU73:DF73)/SUM(CU63:DF63,CU73:DF73)))/IF(Assumptions!$Q$24="No",Assumptions!$K$13,Assumptions!$K$13+Assumptions!$Q$30),0)</f>
        <v>0</v>
      </c>
      <c r="CU82" s="242">
        <f>IF(CU6=Assumptions!$F$41,(SUM(CV73:DG73)+SUM(CV75:DG75)*(SUM(CV73:DG73)/SUM(CV63:DG63,CV73:DG73)))/IF(Assumptions!$Q$24="No",Assumptions!$K$13,Assumptions!$K$13+Assumptions!$Q$30),0)</f>
        <v>0</v>
      </c>
      <c r="CV82" s="242">
        <f>IF(CV6=Assumptions!$F$41,(SUM(CW73:DH73)+SUM(CW75:DH75)*(SUM(CW73:DH73)/SUM(CW63:DH63,CW73:DH73)))/IF(Assumptions!$Q$24="No",Assumptions!$K$13,Assumptions!$K$13+Assumptions!$Q$30),0)</f>
        <v>0</v>
      </c>
      <c r="CW82" s="242">
        <f>IF(CW6=Assumptions!$F$41,(SUM(CX73:DI73)+SUM(CX75:DI75)*(SUM(CX73:DI73)/SUM(CX63:DI63,CX73:DI73)))/IF(Assumptions!$Q$24="No",Assumptions!$K$13,Assumptions!$K$13+Assumptions!$Q$30),0)</f>
        <v>0</v>
      </c>
      <c r="CX82" s="242">
        <f>IF(CX6=Assumptions!$F$41,(SUM(CY73:DJ73)+SUM(CY75:DJ75)*(SUM(CY73:DJ73)/SUM(CY63:DJ63,CY73:DJ73)))/IF(Assumptions!$Q$24="No",Assumptions!$K$13,Assumptions!$K$13+Assumptions!$Q$30),0)</f>
        <v>0</v>
      </c>
      <c r="CY82" s="242">
        <f>IF(CY6=Assumptions!$F$41,(SUM(CZ73:DK73)+SUM(CZ75:DK75)*(SUM(CZ73:DK73)/SUM(CZ63:DK63,CZ73:DK73)))/IF(Assumptions!$Q$24="No",Assumptions!$K$13,Assumptions!$K$13+Assumptions!$Q$30),0)</f>
        <v>0</v>
      </c>
      <c r="CZ82" s="242">
        <f>IF(CZ6=Assumptions!$F$41,(SUM(DA73:DL73)+SUM(DA75:DL75)*(SUM(DA73:DL73)/SUM(DA63:DL63,DA73:DL73)))/IF(Assumptions!$Q$24="No",Assumptions!$K$13,Assumptions!$K$13+Assumptions!$Q$30),0)</f>
        <v>0</v>
      </c>
      <c r="DA82" s="242">
        <f>IF(DA6=Assumptions!$F$41,(SUM(DB73:DM73)+SUM(DB75:DM75)*(SUM(DB73:DM73)/SUM(DB63:DM63,DB73:DM73)))/IF(Assumptions!$Q$24="No",Assumptions!$K$13,Assumptions!$K$13+Assumptions!$Q$30),0)</f>
        <v>0</v>
      </c>
      <c r="DB82" s="242">
        <f>IF(DB6=Assumptions!$F$41,(SUM(DC73:DN73)+SUM(DC75:DN75)*(SUM(DC73:DN73)/SUM(DC63:DN63,DC73:DN73)))/IF(Assumptions!$Q$24="No",Assumptions!$K$13,Assumptions!$K$13+Assumptions!$Q$30),0)</f>
        <v>0</v>
      </c>
      <c r="DC82" s="242">
        <f>IF(DC6=Assumptions!$F$41,(SUM(DD73:DO73)+SUM(DD75:DO75)*(SUM(DD73:DO73)/SUM(DD63:DO63,DD73:DO73)))/IF(Assumptions!$Q$24="No",Assumptions!$K$13,Assumptions!$K$13+Assumptions!$Q$30),0)</f>
        <v>0</v>
      </c>
      <c r="DD82" s="242">
        <f>IF(DD6=Assumptions!$F$41,(SUM(DE73:DP73)+SUM(DE75:DP75)*(SUM(DE73:DP73)/SUM(DE63:DP63,DE73:DP73)))/IF(Assumptions!$Q$24="No",Assumptions!$K$13,Assumptions!$K$13+Assumptions!$Q$30),0)</f>
        <v>0</v>
      </c>
      <c r="DE82" s="242">
        <f>IF(DE6=Assumptions!$F$41,(SUM(DF73:DQ73)+SUM(DF75:DQ75)*(SUM(DF73:DQ73)/SUM(DF63:DQ63,DF73:DQ73)))/IF(Assumptions!$Q$24="No",Assumptions!$K$13,Assumptions!$K$13+Assumptions!$Q$30),0)</f>
        <v>0</v>
      </c>
      <c r="DF82" s="242">
        <f>IF(DF6=Assumptions!$F$41,(SUM(DG73:DR73)+SUM(DG75:DR75)*(SUM(DG73:DR73)/SUM(DG63:DR63,DG73:DR73)))/IF(Assumptions!$Q$24="No",Assumptions!$K$13,Assumptions!$K$13+Assumptions!$Q$30),0)</f>
        <v>0</v>
      </c>
      <c r="DG82" s="242">
        <f>IF(DG6=Assumptions!$F$41,(SUM(DH73:DS73)+SUM(DH75:DS75)*(SUM(DH73:DS73)/SUM(DH63:DS63,DH73:DS73)))/IF(Assumptions!$Q$24="No",Assumptions!$K$13,Assumptions!$K$13+Assumptions!$Q$30),0)</f>
        <v>0</v>
      </c>
      <c r="DH82" s="242">
        <f>IF(DH6=Assumptions!$F$41,(SUM(DI73:DT73)+SUM(DI75:DT75)*(SUM(DI73:DT73)/SUM(DI63:DT63,DI73:DT73)))/IF(Assumptions!$Q$24="No",Assumptions!$K$13,Assumptions!$K$13+Assumptions!$Q$30),0)</f>
        <v>0</v>
      </c>
      <c r="DI82" s="242">
        <f>IF(DI6=Assumptions!$F$41,(SUM(DJ73:DU73)+SUM(DJ75:DU75)*(SUM(DJ73:DU73)/SUM(DJ63:DU63,DJ73:DU73)))/IF(Assumptions!$Q$24="No",Assumptions!$K$13,Assumptions!$K$13+Assumptions!$Q$30),0)</f>
        <v>0</v>
      </c>
      <c r="DJ82" s="242">
        <f>IF(DJ6=Assumptions!$F$41,(SUM(DK73:DV73)+SUM(DK75:DV75)*(SUM(DK73:DV73)/SUM(DK63:DV63,DK73:DV73)))/IF(Assumptions!$Q$24="No",Assumptions!$K$13,Assumptions!$K$13+Assumptions!$Q$30),0)</f>
        <v>0</v>
      </c>
      <c r="DK82" s="242">
        <f>IF(DK6=Assumptions!$F$41,(SUM(DL73:DW73)+SUM(DL75:DW75)*(SUM(DL73:DW73)/SUM(DL63:DW63,DL73:DW73)))/IF(Assumptions!$Q$24="No",Assumptions!$K$13,Assumptions!$K$13+Assumptions!$Q$30),0)</f>
        <v>0</v>
      </c>
      <c r="DL82" s="242">
        <f>IF(DL6=Assumptions!$F$41,(SUM(DM73:DX73)+SUM(DM75:DX75)*(SUM(DM73:DX73)/SUM(DM63:DX63,DM73:DX73)))/IF(Assumptions!$Q$24="No",Assumptions!$K$13,Assumptions!$K$13+Assumptions!$Q$30),0)</f>
        <v>0</v>
      </c>
      <c r="DM82" s="242">
        <f>IF(DM6=Assumptions!$F$41,(SUM(DN73:DY73)+SUM(DN75:DY75)*(SUM(DN73:DY73)/SUM(DN63:DY63,DN73:DY73)))/IF(Assumptions!$Q$24="No",Assumptions!$K$13,Assumptions!$K$13+Assumptions!$Q$30),0)</f>
        <v>0</v>
      </c>
      <c r="DN82" s="242">
        <f>IF(DN6=Assumptions!$F$41,(SUM(DO73:DZ73)+SUM(DO75:DZ75)*(SUM(DO73:DZ73)/SUM(DO63:DZ63,DO73:DZ73)))/IF(Assumptions!$Q$24="No",Assumptions!$K$13,Assumptions!$K$13+Assumptions!$Q$30),0)</f>
        <v>0</v>
      </c>
      <c r="DO82" s="242">
        <f>IF(DO6=Assumptions!$F$41,(SUM(DP73:EA73)+SUM(DP75:EA75)*(SUM(DP73:EA73)/SUM(DP63:EA63,DP73:EA73)))/IF(Assumptions!$Q$24="No",Assumptions!$K$13,Assumptions!$K$13+Assumptions!$Q$30),0)</f>
        <v>0</v>
      </c>
      <c r="DP82" s="242">
        <f>IF(DP6=Assumptions!$F$41,(SUM(DQ73:EB73)+SUM(DQ75:EB75)*(SUM(DQ73:EB73)/SUM(DQ63:EB63,DQ73:EB73)))/IF(Assumptions!$Q$24="No",Assumptions!$K$13,Assumptions!$K$13+Assumptions!$Q$30),0)</f>
        <v>0</v>
      </c>
      <c r="DQ82" s="242">
        <f>IF(DQ6=Assumptions!$F$41,(SUM(DR73:EC73)+SUM(DR75:EC75)*(SUM(DR73:EC73)/SUM(DR63:EC63,DR73:EC73)))/IF(Assumptions!$Q$24="No",Assumptions!$K$13,Assumptions!$K$13+Assumptions!$Q$30),0)</f>
        <v>0</v>
      </c>
      <c r="DR82" s="242">
        <f>IF(DR6=Assumptions!$F$41,(SUM(DS73:ED73)+SUM(DS75:ED75)*(SUM(DS73:ED73)/SUM(DS63:ED63,DS73:ED73)))/IF(Assumptions!$Q$24="No",Assumptions!$K$13,Assumptions!$K$13+Assumptions!$Q$30),0)</f>
        <v>0</v>
      </c>
      <c r="DS82" s="242">
        <f>IF(DS6=Assumptions!$F$41,(SUM(DT73:EE73)+SUM(DT75:EE75)*(SUM(DT73:EE73)/SUM(DT63:EE63,DT73:EE73)))/IF(Assumptions!$Q$24="No",Assumptions!$K$13,Assumptions!$K$13+Assumptions!$Q$30),0)</f>
        <v>0</v>
      </c>
      <c r="DT82" s="242">
        <f>IF(DT6=Assumptions!$F$41,(SUM(DU73:EF73)+SUM(DU75:EF75)*(SUM(DU73:EF73)/SUM(DU63:EF63,DU73:EF73)))/IF(Assumptions!$Q$24="No",Assumptions!$K$13,Assumptions!$K$13+Assumptions!$Q$30),0)</f>
        <v>0</v>
      </c>
      <c r="DU82" s="242">
        <f>IF(DU6=Assumptions!$F$41,(SUM(DV73:EG73)+SUM(DV75:EG75)*(SUM(DV73:EG73)/SUM(DV63:EG63,DV73:EG73)))/IF(Assumptions!$Q$24="No",Assumptions!$K$13,Assumptions!$K$13+Assumptions!$Q$30),0)</f>
        <v>0</v>
      </c>
      <c r="DV82" s="242">
        <f>IF(DV6=Assumptions!$F$41,(SUM(DW73:EH73)+SUM(DW75:EH75)*(SUM(DW73:EH73)/SUM(DW63:EH63,DW73:EH73)))/IF(Assumptions!$Q$24="No",Assumptions!$K$13,Assumptions!$K$13+Assumptions!$Q$30),0)</f>
        <v>0</v>
      </c>
      <c r="DW82" s="242">
        <f>IF(DW6=Assumptions!$F$41,(SUM(DX73:EI73)+SUM(DX75:EI75)*(SUM(DX73:EI73)/SUM(DX63:EI63,DX73:EI73)))/IF(Assumptions!$Q$24="No",Assumptions!$K$13,Assumptions!$K$13+Assumptions!$Q$30),0)</f>
        <v>0</v>
      </c>
      <c r="DX82" s="242">
        <f>IF(DX6=Assumptions!$F$41,(SUM(DY73:EJ73)+SUM(DY75:EJ75)*(SUM(DY73:EJ73)/SUM(DY63:EJ63,DY73:EJ73)))/IF(Assumptions!$Q$24="No",Assumptions!$K$13,Assumptions!$K$13+Assumptions!$Q$30),0)</f>
        <v>0</v>
      </c>
      <c r="DY82" s="242">
        <f>IF(DY6=Assumptions!$F$41,(SUM(DZ73:EK73)+SUM(DZ75:EK75)*(SUM(DZ73:EK73)/SUM(DZ63:EK63,DZ73:EK73)))/IF(Assumptions!$Q$24="No",Assumptions!$K$13,Assumptions!$K$13+Assumptions!$Q$30),0)</f>
        <v>0</v>
      </c>
      <c r="DZ82" s="242">
        <f>IF(DZ6=Assumptions!$F$41,(SUM(EA73:EL73)+SUM(EA75:EL75)*(SUM(EA73:EL73)/SUM(EA63:EL63,EA73:EL73)))/IF(Assumptions!$Q$24="No",Assumptions!$K$13,Assumptions!$K$13+Assumptions!$Q$30),0)</f>
        <v>0</v>
      </c>
      <c r="EA82" s="242">
        <f>IF(EA6=Assumptions!$F$41,(SUM(EB73:EM73)+SUM(EB75:EM75)*(SUM(EB73:EM73)/SUM(EB63:EM63,EB73:EM73)))/IF(Assumptions!$Q$24="No",Assumptions!$K$13,Assumptions!$K$13+Assumptions!$Q$30),0)</f>
        <v>0</v>
      </c>
      <c r="EB82" s="242">
        <f>IF(EB6=Assumptions!$F$41,(SUM(EC73:EN73)+SUM(EC75:EN75)*(SUM(EC73:EN73)/SUM(EC63:EN63,EC73:EN73)))/IF(Assumptions!$Q$24="No",Assumptions!$K$13,Assumptions!$K$13+Assumptions!$Q$30),0)</f>
        <v>0</v>
      </c>
      <c r="EC82" s="242">
        <f>IF(EC6=Assumptions!$F$41,(SUM(ED73:EO73)+SUM(ED75:EO75)*(SUM(ED73:EO73)/SUM(ED63:EO63,ED73:EO73)))/IF(Assumptions!$Q$24="No",Assumptions!$K$13,Assumptions!$K$13+Assumptions!$Q$30),0)</f>
        <v>0</v>
      </c>
      <c r="ED82" s="242">
        <f>IF(ED6=Assumptions!$F$41,(SUM(EE73:EP73)+SUM(EE75:EP75)*(SUM(EE73:EP73)/SUM(EE63:EP63,EE73:EP73)))/IF(Assumptions!$Q$24="No",Assumptions!$K$13,Assumptions!$K$13+Assumptions!$Q$30),0)</f>
        <v>0</v>
      </c>
      <c r="EE82" s="242">
        <f>IF(EE6=Assumptions!$F$41,(SUM(EF73:EQ73)+SUM(EF75:EQ75)*(SUM(EF73:EQ73)/SUM(EF63:EQ63,EF73:EQ73)))/IF(Assumptions!$Q$24="No",Assumptions!$K$13,Assumptions!$K$13+Assumptions!$Q$30),0)</f>
        <v>0</v>
      </c>
      <c r="EF82" s="242">
        <f>IF(EF6=Assumptions!$F$41,(SUM(EG73:ER73)+SUM(EG75:ER75)*(SUM(EG73:ER73)/SUM(EG63:ER63,EG73:ER73)))/IF(Assumptions!$Q$24="No",Assumptions!$K$13,Assumptions!$K$13+Assumptions!$Q$30),0)</f>
        <v>0</v>
      </c>
      <c r="EG82" s="242">
        <f>IF(EG6=Assumptions!$F$41,(SUM(EH73:ES73)+SUM(EH75:ES75)*(SUM(EH73:ES73)/SUM(EH63:ES63,EH73:ES73)))/IF(Assumptions!$Q$24="No",Assumptions!$K$13,Assumptions!$K$13+Assumptions!$Q$30),0)</f>
        <v>0</v>
      </c>
      <c r="EH82" s="242">
        <f>IF(EH6=Assumptions!$F$41,(SUM(EI73:ET73)+SUM(EI75:ET75)*(SUM(EI73:ET73)/SUM(EI63:ET63,EI73:ET73)))/IF(Assumptions!$Q$24="No",Assumptions!$K$13,Assumptions!$K$13+Assumptions!$Q$30),0)</f>
        <v>0</v>
      </c>
      <c r="EI82" s="242">
        <f>IF(EI6=Assumptions!$F$41,(SUM(EJ73:EU73)+SUM(EJ75:EU75)*(SUM(EJ73:EU73)/SUM(EJ63:EU63,EJ73:EU73)))/IF(Assumptions!$Q$24="No",Assumptions!$K$13,Assumptions!$K$13+Assumptions!$Q$30),0)</f>
        <v>0</v>
      </c>
      <c r="EJ82" s="242">
        <f>IF(EJ6=Assumptions!$F$41,(SUM(EK73:EV73)+SUM(EK75:EV75)*(SUM(EK73:EV73)/SUM(EK63:EV63,EK73:EV73)))/IF(Assumptions!$Q$24="No",Assumptions!$K$13,Assumptions!$K$13+Assumptions!$Q$30),0)</f>
        <v>0</v>
      </c>
      <c r="EK82" s="242">
        <f>IF(EK6=Assumptions!$F$41,(SUM(EL73:EW73)+SUM(EL75:EW75)*(SUM(EL73:EW73)/SUM(EL63:EW63,EL73:EW73)))/IF(Assumptions!$Q$24="No",Assumptions!$K$13,Assumptions!$K$13+Assumptions!$Q$30),0)</f>
        <v>0</v>
      </c>
      <c r="EL82" s="242">
        <f>IF(EL6=Assumptions!$F$41,(SUM(EM73:EX73)+SUM(EM75:EX75)*(SUM(EM73:EX73)/SUM(EM63:EX63,EM73:EX73)))/IF(Assumptions!$Q$24="No",Assumptions!$K$13,Assumptions!$K$13+Assumptions!$Q$30),0)</f>
        <v>0</v>
      </c>
      <c r="EM82" s="242">
        <f>IF(EM6=Assumptions!$F$41,(SUM(EN73:EY73)+SUM(EN75:EY75)*(SUM(EN73:EY73)/SUM(EN63:EY63,EN73:EY73)))/IF(Assumptions!$Q$24="No",Assumptions!$K$13,Assumptions!$K$13+Assumptions!$Q$30),0)</f>
        <v>0</v>
      </c>
      <c r="EN82" s="242">
        <f>IF(EN6=Assumptions!$F$41,(SUM(EO73:EZ73)+SUM(EO75:EZ75)*(SUM(EO73:EZ73)/SUM(EO63:EZ63,EO73:EZ73)))/IF(Assumptions!$Q$24="No",Assumptions!$K$13,Assumptions!$K$13+Assumptions!$Q$30),0)</f>
        <v>0</v>
      </c>
      <c r="EO82" s="242">
        <f>IF(EO6=Assumptions!$F$41,(SUM(EP73:FA73)+SUM(EP75:FA75)*(SUM(EP73:FA73)/SUM(EP63:FA63,EP73:FA73)))/IF(Assumptions!$Q$24="No",Assumptions!$K$13,Assumptions!$K$13+Assumptions!$Q$30),0)</f>
        <v>0</v>
      </c>
      <c r="EP82" s="242">
        <f>IF(EP6=Assumptions!$F$41,(SUM(EQ73:FB73)+SUM(EQ75:FB75)*(SUM(EQ73:FB73)/SUM(EQ63:FB63,EQ73:FB73)))/IF(Assumptions!$Q$24="No",Assumptions!$K$13,Assumptions!$K$13+Assumptions!$Q$30),0)</f>
        <v>0</v>
      </c>
      <c r="EQ82" s="242">
        <f>IF(EQ6=Assumptions!$F$41,(SUM(ER73:FC73)+SUM(ER75:FC75)*(SUM(ER73:FC73)/SUM(ER63:FC63,ER73:FC73)))/IF(Assumptions!$Q$24="No",Assumptions!$K$13,Assumptions!$K$13+Assumptions!$Q$30),0)</f>
        <v>0</v>
      </c>
      <c r="ER82" s="242">
        <f>IF(ER6=Assumptions!$F$41,(SUM(ES73:FD73)+SUM(ES75:FD75)*(SUM(ES73:FD73)/SUM(ES63:FD63,ES73:FD73)))/IF(Assumptions!$Q$24="No",Assumptions!$K$13,Assumptions!$K$13+Assumptions!$Q$30),0)</f>
        <v>0</v>
      </c>
      <c r="ES82" s="242">
        <f>IF(ES6=Assumptions!$F$41,(SUM(ET73:FE73)+SUM(ET75:FE75)*(SUM(ET73:FE73)/SUM(ET63:FE63,ET73:FE73)))/IF(Assumptions!$Q$24="No",Assumptions!$K$13,Assumptions!$K$13+Assumptions!$Q$30),0)</f>
        <v>0</v>
      </c>
      <c r="ET82" s="242">
        <f>IF(ET6=Assumptions!$F$41,(SUM(EU73:FF73)+SUM(EU75:FF75)*(SUM(EU73:FF73)/SUM(EU63:FF63,EU73:FF73)))/IF(Assumptions!$Q$24="No",Assumptions!$K$13,Assumptions!$K$13+Assumptions!$Q$30),0)</f>
        <v>0</v>
      </c>
    </row>
    <row r="83" spans="2:150" x14ac:dyDescent="0.2">
      <c r="B83" t="s">
        <v>164</v>
      </c>
      <c r="D83" s="242">
        <f t="shared" ca="1" si="646"/>
        <v>-100314.19614848186</v>
      </c>
      <c r="F83" s="242">
        <f>-F82*Assumptions!$L$13</f>
        <v>0</v>
      </c>
      <c r="G83" s="242">
        <f>-G82*Assumptions!$L$13</f>
        <v>0</v>
      </c>
      <c r="H83" s="242">
        <f>-H82*Assumptions!$L$13</f>
        <v>0</v>
      </c>
      <c r="I83" s="242">
        <f>-I82*Assumptions!$L$13</f>
        <v>0</v>
      </c>
      <c r="J83" s="242">
        <f>-J82*Assumptions!$L$13</f>
        <v>0</v>
      </c>
      <c r="K83" s="242">
        <f>-K82*Assumptions!$L$13</f>
        <v>0</v>
      </c>
      <c r="L83" s="242">
        <f>-L82*Assumptions!$L$13</f>
        <v>0</v>
      </c>
      <c r="M83" s="242">
        <f>-M82*Assumptions!$L$13</f>
        <v>0</v>
      </c>
      <c r="N83" s="242">
        <f>-N82*Assumptions!$L$13</f>
        <v>0</v>
      </c>
      <c r="O83" s="242">
        <f>-O82*Assumptions!$L$13</f>
        <v>0</v>
      </c>
      <c r="P83" s="242">
        <f>-P82*Assumptions!$L$13</f>
        <v>0</v>
      </c>
      <c r="Q83" s="242">
        <f>-Q82*Assumptions!$L$13</f>
        <v>0</v>
      </c>
      <c r="R83" s="242">
        <f>-R82*Assumptions!$L$13</f>
        <v>0</v>
      </c>
      <c r="S83" s="242">
        <f>-S82*Assumptions!$L$13</f>
        <v>0</v>
      </c>
      <c r="T83" s="242">
        <f>-T82*Assumptions!$L$13</f>
        <v>0</v>
      </c>
      <c r="U83" s="242">
        <f>-U82*Assumptions!$L$13</f>
        <v>0</v>
      </c>
      <c r="V83" s="242">
        <f>-V82*Assumptions!$L$13</f>
        <v>0</v>
      </c>
      <c r="W83" s="242">
        <f>-W82*Assumptions!$L$13</f>
        <v>0</v>
      </c>
      <c r="X83" s="242">
        <f>-X82*Assumptions!$L$13</f>
        <v>0</v>
      </c>
      <c r="Y83" s="242">
        <f>-Y82*Assumptions!$L$13</f>
        <v>0</v>
      </c>
      <c r="Z83" s="242">
        <f>-Z82*Assumptions!$L$13</f>
        <v>0</v>
      </c>
      <c r="AA83" s="242">
        <f>-AA82*Assumptions!$L$13</f>
        <v>0</v>
      </c>
      <c r="AB83" s="242">
        <f>-AB82*Assumptions!$L$13</f>
        <v>0</v>
      </c>
      <c r="AC83" s="242">
        <f>-AC82*Assumptions!$L$13</f>
        <v>0</v>
      </c>
      <c r="AD83" s="242">
        <f>-AD82*Assumptions!$L$13</f>
        <v>0</v>
      </c>
      <c r="AE83" s="242">
        <f>-AE82*Assumptions!$L$13</f>
        <v>0</v>
      </c>
      <c r="AF83" s="242">
        <f>-AF82*Assumptions!$L$13</f>
        <v>0</v>
      </c>
      <c r="AG83" s="242">
        <f>-AG82*Assumptions!$L$13</f>
        <v>0</v>
      </c>
      <c r="AH83" s="242">
        <f>-AH82*Assumptions!$L$13</f>
        <v>0</v>
      </c>
      <c r="AI83" s="242">
        <f>-AI82*Assumptions!$L$13</f>
        <v>0</v>
      </c>
      <c r="AJ83" s="242">
        <f>-AJ82*Assumptions!$L$13</f>
        <v>0</v>
      </c>
      <c r="AK83" s="242">
        <f>-AK82*Assumptions!$L$13</f>
        <v>0</v>
      </c>
      <c r="AL83" s="242">
        <f>-AL82*Assumptions!$L$13</f>
        <v>0</v>
      </c>
      <c r="AM83" s="242">
        <f>-AM82*Assumptions!$L$13</f>
        <v>0</v>
      </c>
      <c r="AN83" s="242">
        <f>-AN82*Assumptions!$L$13</f>
        <v>0</v>
      </c>
      <c r="AO83" s="242">
        <f>-AO82*Assumptions!$L$13</f>
        <v>0</v>
      </c>
      <c r="AP83" s="242">
        <f>-AP82*Assumptions!$L$13</f>
        <v>0</v>
      </c>
      <c r="AQ83" s="242">
        <f>-AQ82*Assumptions!$L$13</f>
        <v>0</v>
      </c>
      <c r="AR83" s="242">
        <f>-AR82*Assumptions!$L$13</f>
        <v>0</v>
      </c>
      <c r="AS83" s="242">
        <f>-AS82*Assumptions!$L$13</f>
        <v>0</v>
      </c>
      <c r="AT83" s="242">
        <f>-AT82*Assumptions!$L$13</f>
        <v>0</v>
      </c>
      <c r="AU83" s="242">
        <f>-AU82*Assumptions!$L$13</f>
        <v>0</v>
      </c>
      <c r="AV83" s="242">
        <f>-AV82*Assumptions!$L$13</f>
        <v>0</v>
      </c>
      <c r="AW83" s="242">
        <f>-AW82*Assumptions!$L$13</f>
        <v>0</v>
      </c>
      <c r="AX83" s="242">
        <f>-AX82*Assumptions!$L$13</f>
        <v>0</v>
      </c>
      <c r="AY83" s="242">
        <f>-AY82*Assumptions!$L$13</f>
        <v>0</v>
      </c>
      <c r="AZ83" s="242">
        <f>-AZ82*Assumptions!$L$13</f>
        <v>0</v>
      </c>
      <c r="BA83" s="242">
        <f>-BA82*Assumptions!$L$13</f>
        <v>0</v>
      </c>
      <c r="BB83" s="242">
        <f>-BB82*Assumptions!$L$13</f>
        <v>0</v>
      </c>
      <c r="BC83" s="242">
        <f>-BC82*Assumptions!$L$13</f>
        <v>0</v>
      </c>
      <c r="BD83" s="242">
        <f>-BD82*Assumptions!$L$13</f>
        <v>0</v>
      </c>
      <c r="BE83" s="242">
        <f>-BE82*Assumptions!$L$13</f>
        <v>0</v>
      </c>
      <c r="BF83" s="242">
        <f>-BF82*Assumptions!$L$13</f>
        <v>0</v>
      </c>
      <c r="BG83" s="242">
        <f>-BG82*Assumptions!$L$13</f>
        <v>0</v>
      </c>
      <c r="BH83" s="242">
        <f>-BH82*Assumptions!$L$13</f>
        <v>0</v>
      </c>
      <c r="BI83" s="242">
        <f>-BI82*Assumptions!$L$13</f>
        <v>0</v>
      </c>
      <c r="BJ83" s="242">
        <f>-BJ82*Assumptions!$L$13</f>
        <v>0</v>
      </c>
      <c r="BK83" s="242">
        <f>-BK82*Assumptions!$L$13</f>
        <v>0</v>
      </c>
      <c r="BL83" s="242">
        <f>-BL82*Assumptions!$L$13</f>
        <v>0</v>
      </c>
      <c r="BM83" s="242">
        <f>-BM82*Assumptions!$L$13</f>
        <v>0</v>
      </c>
      <c r="BN83" s="242">
        <f>-BN82*Assumptions!$L$13</f>
        <v>0</v>
      </c>
      <c r="BO83" s="242">
        <f>-BO82*Assumptions!$L$13</f>
        <v>0</v>
      </c>
      <c r="BP83" s="242">
        <f>-BP82*Assumptions!$L$13</f>
        <v>0</v>
      </c>
      <c r="BQ83" s="242">
        <f>-BQ82*Assumptions!$L$13</f>
        <v>0</v>
      </c>
      <c r="BR83" s="242">
        <f>-BR82*Assumptions!$L$13</f>
        <v>0</v>
      </c>
      <c r="BS83" s="242">
        <f>-BS82*Assumptions!$L$13</f>
        <v>0</v>
      </c>
      <c r="BT83" s="242">
        <f>-BT82*Assumptions!$L$13</f>
        <v>0</v>
      </c>
      <c r="BU83" s="242">
        <f>-BU82*Assumptions!$L$13</f>
        <v>0</v>
      </c>
      <c r="BV83" s="242">
        <f>-BV82*Assumptions!$L$13</f>
        <v>0</v>
      </c>
      <c r="BW83" s="242">
        <f>-BW82*Assumptions!$L$13</f>
        <v>0</v>
      </c>
      <c r="BX83" s="242">
        <f>-BX82*Assumptions!$L$13</f>
        <v>0</v>
      </c>
      <c r="BY83" s="242">
        <f>-BY82*Assumptions!$L$13</f>
        <v>0</v>
      </c>
      <c r="BZ83" s="242">
        <f>-BZ82*Assumptions!$L$13</f>
        <v>0</v>
      </c>
      <c r="CA83" s="242">
        <f>-CA82*Assumptions!$L$13</f>
        <v>0</v>
      </c>
      <c r="CB83" s="242">
        <f>-CB82*Assumptions!$L$13</f>
        <v>0</v>
      </c>
      <c r="CC83" s="242">
        <f>-CC82*Assumptions!$L$13</f>
        <v>0</v>
      </c>
      <c r="CD83" s="242">
        <f>-CD82*Assumptions!$L$13</f>
        <v>0</v>
      </c>
      <c r="CE83" s="242">
        <f>-CE82*Assumptions!$L$13</f>
        <v>0</v>
      </c>
      <c r="CF83" s="242">
        <f>-CF82*Assumptions!$L$13</f>
        <v>0</v>
      </c>
      <c r="CG83" s="242">
        <f>-CG82*Assumptions!$L$13</f>
        <v>0</v>
      </c>
      <c r="CH83" s="242">
        <f>-CH82*Assumptions!$L$13</f>
        <v>0</v>
      </c>
      <c r="CI83" s="242">
        <f>-CI82*Assumptions!$L$13</f>
        <v>0</v>
      </c>
      <c r="CJ83" s="242">
        <f>-CJ82*Assumptions!$L$13</f>
        <v>0</v>
      </c>
      <c r="CK83" s="242">
        <f ca="1">-CK82*Assumptions!$L$13</f>
        <v>-100314.19614848186</v>
      </c>
      <c r="CL83" s="242">
        <f>-CL82*Assumptions!$L$13</f>
        <v>0</v>
      </c>
      <c r="CM83" s="242">
        <f>-CM82*Assumptions!$L$13</f>
        <v>0</v>
      </c>
      <c r="CN83" s="242">
        <f>-CN82*Assumptions!$L$13</f>
        <v>0</v>
      </c>
      <c r="CO83" s="242">
        <f>-CO82*Assumptions!$L$13</f>
        <v>0</v>
      </c>
      <c r="CP83" s="242">
        <f>-CP82*Assumptions!$L$13</f>
        <v>0</v>
      </c>
      <c r="CQ83" s="242">
        <f>-CQ82*Assumptions!$L$13</f>
        <v>0</v>
      </c>
      <c r="CR83" s="242">
        <f>-CR82*Assumptions!$L$13</f>
        <v>0</v>
      </c>
      <c r="CS83" s="242">
        <f>-CS82*Assumptions!$L$13</f>
        <v>0</v>
      </c>
      <c r="CT83" s="242">
        <f>-CT82*Assumptions!$L$13</f>
        <v>0</v>
      </c>
      <c r="CU83" s="242">
        <f>-CU82*Assumptions!$L$13</f>
        <v>0</v>
      </c>
      <c r="CV83" s="242">
        <f>-CV82*Assumptions!$L$13</f>
        <v>0</v>
      </c>
      <c r="CW83" s="242">
        <f>-CW82*Assumptions!$L$13</f>
        <v>0</v>
      </c>
      <c r="CX83" s="242">
        <f>-CX82*Assumptions!$L$13</f>
        <v>0</v>
      </c>
      <c r="CY83" s="242">
        <f>-CY82*Assumptions!$L$13</f>
        <v>0</v>
      </c>
      <c r="CZ83" s="242">
        <f>-CZ82*Assumptions!$L$13</f>
        <v>0</v>
      </c>
      <c r="DA83" s="242">
        <f>-DA82*Assumptions!$L$13</f>
        <v>0</v>
      </c>
      <c r="DB83" s="242">
        <f>-DB82*Assumptions!$L$13</f>
        <v>0</v>
      </c>
      <c r="DC83" s="242">
        <f>-DC82*Assumptions!$L$13</f>
        <v>0</v>
      </c>
      <c r="DD83" s="242">
        <f>-DD82*Assumptions!$L$13</f>
        <v>0</v>
      </c>
      <c r="DE83" s="242">
        <f>-DE82*Assumptions!$L$13</f>
        <v>0</v>
      </c>
      <c r="DF83" s="242">
        <f>-DF82*Assumptions!$L$13</f>
        <v>0</v>
      </c>
      <c r="DG83" s="242">
        <f>-DG82*Assumptions!$L$13</f>
        <v>0</v>
      </c>
      <c r="DH83" s="242">
        <f>-DH82*Assumptions!$L$13</f>
        <v>0</v>
      </c>
      <c r="DI83" s="242">
        <f>-DI82*Assumptions!$L$13</f>
        <v>0</v>
      </c>
      <c r="DJ83" s="242">
        <f>-DJ82*Assumptions!$L$13</f>
        <v>0</v>
      </c>
      <c r="DK83" s="242">
        <f>-DK82*Assumptions!$L$13</f>
        <v>0</v>
      </c>
      <c r="DL83" s="242">
        <f>-DL82*Assumptions!$L$13</f>
        <v>0</v>
      </c>
      <c r="DM83" s="242">
        <f>-DM82*Assumptions!$L$13</f>
        <v>0</v>
      </c>
      <c r="DN83" s="242">
        <f>-DN82*Assumptions!$L$13</f>
        <v>0</v>
      </c>
      <c r="DO83" s="242">
        <f>-DO82*Assumptions!$L$13</f>
        <v>0</v>
      </c>
      <c r="DP83" s="242">
        <f>-DP82*Assumptions!$L$13</f>
        <v>0</v>
      </c>
      <c r="DQ83" s="242">
        <f>-DQ82*Assumptions!$L$13</f>
        <v>0</v>
      </c>
      <c r="DR83" s="242">
        <f>-DR82*Assumptions!$L$13</f>
        <v>0</v>
      </c>
      <c r="DS83" s="242">
        <f>-DS82*Assumptions!$L$13</f>
        <v>0</v>
      </c>
      <c r="DT83" s="242">
        <f>-DT82*Assumptions!$L$13</f>
        <v>0</v>
      </c>
      <c r="DU83" s="242">
        <f>-DU82*Assumptions!$L$13</f>
        <v>0</v>
      </c>
      <c r="DV83" s="242">
        <f>-DV82*Assumptions!$L$13</f>
        <v>0</v>
      </c>
      <c r="DW83" s="242">
        <f>-DW82*Assumptions!$L$13</f>
        <v>0</v>
      </c>
      <c r="DX83" s="242">
        <f>-DX82*Assumptions!$L$13</f>
        <v>0</v>
      </c>
      <c r="DY83" s="242">
        <f>-DY82*Assumptions!$L$13</f>
        <v>0</v>
      </c>
      <c r="DZ83" s="242">
        <f>-DZ82*Assumptions!$L$13</f>
        <v>0</v>
      </c>
      <c r="EA83" s="242">
        <f>-EA82*Assumptions!$L$13</f>
        <v>0</v>
      </c>
      <c r="EB83" s="242">
        <f>-EB82*Assumptions!$L$13</f>
        <v>0</v>
      </c>
      <c r="EC83" s="242">
        <f>-EC82*Assumptions!$L$13</f>
        <v>0</v>
      </c>
      <c r="ED83" s="242">
        <f>-ED82*Assumptions!$L$13</f>
        <v>0</v>
      </c>
      <c r="EE83" s="242">
        <f>-EE82*Assumptions!$L$13</f>
        <v>0</v>
      </c>
      <c r="EF83" s="242">
        <f>-EF82*Assumptions!$L$13</f>
        <v>0</v>
      </c>
      <c r="EG83" s="242">
        <f>-EG82*Assumptions!$L$13</f>
        <v>0</v>
      </c>
      <c r="EH83" s="242">
        <f>-EH82*Assumptions!$L$13</f>
        <v>0</v>
      </c>
      <c r="EI83" s="242">
        <f>-EI82*Assumptions!$L$13</f>
        <v>0</v>
      </c>
      <c r="EJ83" s="242">
        <f>-EJ82*Assumptions!$L$13</f>
        <v>0</v>
      </c>
      <c r="EK83" s="242">
        <f>-EK82*Assumptions!$L$13</f>
        <v>0</v>
      </c>
      <c r="EL83" s="242">
        <f>-EL82*Assumptions!$L$13</f>
        <v>0</v>
      </c>
      <c r="EM83" s="242">
        <f>-EM82*Assumptions!$L$13</f>
        <v>0</v>
      </c>
      <c r="EN83" s="242">
        <f>-EN82*Assumptions!$L$13</f>
        <v>0</v>
      </c>
      <c r="EO83" s="242">
        <f>-EO82*Assumptions!$L$13</f>
        <v>0</v>
      </c>
      <c r="EP83" s="242">
        <f>-EP82*Assumptions!$L$13</f>
        <v>0</v>
      </c>
      <c r="EQ83" s="242">
        <f>-EQ82*Assumptions!$L$13</f>
        <v>0</v>
      </c>
      <c r="ER83" s="242">
        <f>-ER82*Assumptions!$L$13</f>
        <v>0</v>
      </c>
      <c r="ES83" s="242">
        <f>-ES82*Assumptions!$L$13</f>
        <v>0</v>
      </c>
      <c r="ET83" s="242">
        <f>-ET82*Assumptions!$L$13</f>
        <v>0</v>
      </c>
    </row>
    <row r="84" spans="2:150" x14ac:dyDescent="0.2">
      <c r="B84" s="43" t="s">
        <v>165</v>
      </c>
      <c r="C84" s="44"/>
      <c r="D84" s="250">
        <f t="shared" ca="1" si="646"/>
        <v>35176236.146115944</v>
      </c>
      <c r="E84" s="44"/>
      <c r="F84" s="250">
        <f>SUM(F80:F83)</f>
        <v>0</v>
      </c>
      <c r="G84" s="250">
        <f t="shared" ref="G84" si="647">SUM(G80:G83)</f>
        <v>0</v>
      </c>
      <c r="H84" s="250">
        <f t="shared" ref="H84" si="648">SUM(H80:H83)</f>
        <v>0</v>
      </c>
      <c r="I84" s="250">
        <f t="shared" ref="I84" si="649">SUM(I80:I83)</f>
        <v>0</v>
      </c>
      <c r="J84" s="250">
        <f t="shared" ref="J84" si="650">SUM(J80:J83)</f>
        <v>0</v>
      </c>
      <c r="K84" s="250">
        <f t="shared" ref="K84" si="651">SUM(K80:K83)</f>
        <v>0</v>
      </c>
      <c r="L84" s="250">
        <f t="shared" ref="L84" si="652">SUM(L80:L83)</f>
        <v>0</v>
      </c>
      <c r="M84" s="250">
        <f t="shared" ref="M84" si="653">SUM(M80:M83)</f>
        <v>0</v>
      </c>
      <c r="N84" s="250">
        <f t="shared" ref="N84" si="654">SUM(N80:N83)</f>
        <v>0</v>
      </c>
      <c r="O84" s="250">
        <f t="shared" ref="O84" si="655">SUM(O80:O83)</f>
        <v>0</v>
      </c>
      <c r="P84" s="250">
        <f t="shared" ref="P84" si="656">SUM(P80:P83)</f>
        <v>0</v>
      </c>
      <c r="Q84" s="250">
        <f t="shared" ref="Q84" si="657">SUM(Q80:Q83)</f>
        <v>0</v>
      </c>
      <c r="R84" s="250">
        <f t="shared" ref="R84" si="658">SUM(R80:R83)</f>
        <v>0</v>
      </c>
      <c r="S84" s="250">
        <f t="shared" ref="S84" si="659">SUM(S80:S83)</f>
        <v>0</v>
      </c>
      <c r="T84" s="250">
        <f t="shared" ref="T84" si="660">SUM(T80:T83)</f>
        <v>0</v>
      </c>
      <c r="U84" s="250">
        <f t="shared" ref="U84" si="661">SUM(U80:U83)</f>
        <v>0</v>
      </c>
      <c r="V84" s="250">
        <f t="shared" ref="V84" si="662">SUM(V80:V83)</f>
        <v>0</v>
      </c>
      <c r="W84" s="250">
        <f t="shared" ref="W84" si="663">SUM(W80:W83)</f>
        <v>0</v>
      </c>
      <c r="X84" s="250">
        <f t="shared" ref="X84" si="664">SUM(X80:X83)</f>
        <v>0</v>
      </c>
      <c r="Y84" s="250">
        <f t="shared" ref="Y84" si="665">SUM(Y80:Y83)</f>
        <v>0</v>
      </c>
      <c r="Z84" s="250">
        <f t="shared" ref="Z84" si="666">SUM(Z80:Z83)</f>
        <v>0</v>
      </c>
      <c r="AA84" s="250">
        <f t="shared" ref="AA84" si="667">SUM(AA80:AA83)</f>
        <v>0</v>
      </c>
      <c r="AB84" s="250">
        <f t="shared" ref="AB84" si="668">SUM(AB80:AB83)</f>
        <v>0</v>
      </c>
      <c r="AC84" s="250">
        <f t="shared" ref="AC84" si="669">SUM(AC80:AC83)</f>
        <v>0</v>
      </c>
      <c r="AD84" s="250">
        <f t="shared" ref="AD84" si="670">SUM(AD80:AD83)</f>
        <v>0</v>
      </c>
      <c r="AE84" s="250">
        <f t="shared" ref="AE84" si="671">SUM(AE80:AE83)</f>
        <v>0</v>
      </c>
      <c r="AF84" s="250">
        <f t="shared" ref="AF84" si="672">SUM(AF80:AF83)</f>
        <v>0</v>
      </c>
      <c r="AG84" s="250">
        <f t="shared" ref="AG84" si="673">SUM(AG80:AG83)</f>
        <v>0</v>
      </c>
      <c r="AH84" s="250">
        <f t="shared" ref="AH84" si="674">SUM(AH80:AH83)</f>
        <v>0</v>
      </c>
      <c r="AI84" s="250">
        <f t="shared" ref="AI84" si="675">SUM(AI80:AI83)</f>
        <v>0</v>
      </c>
      <c r="AJ84" s="250">
        <f t="shared" ref="AJ84" si="676">SUM(AJ80:AJ83)</f>
        <v>0</v>
      </c>
      <c r="AK84" s="250">
        <f t="shared" ref="AK84" si="677">SUM(AK80:AK83)</f>
        <v>0</v>
      </c>
      <c r="AL84" s="250">
        <f t="shared" ref="AL84" si="678">SUM(AL80:AL83)</f>
        <v>0</v>
      </c>
      <c r="AM84" s="250">
        <f t="shared" ref="AM84" si="679">SUM(AM80:AM83)</f>
        <v>0</v>
      </c>
      <c r="AN84" s="250">
        <f t="shared" ref="AN84" si="680">SUM(AN80:AN83)</f>
        <v>0</v>
      </c>
      <c r="AO84" s="250">
        <f t="shared" ref="AO84" si="681">SUM(AO80:AO83)</f>
        <v>0</v>
      </c>
      <c r="AP84" s="250">
        <f t="shared" ref="AP84" si="682">SUM(AP80:AP83)</f>
        <v>0</v>
      </c>
      <c r="AQ84" s="250">
        <f t="shared" ref="AQ84" si="683">SUM(AQ80:AQ83)</f>
        <v>0</v>
      </c>
      <c r="AR84" s="250">
        <f t="shared" ref="AR84" si="684">SUM(AR80:AR83)</f>
        <v>0</v>
      </c>
      <c r="AS84" s="250">
        <f t="shared" ref="AS84" si="685">SUM(AS80:AS83)</f>
        <v>0</v>
      </c>
      <c r="AT84" s="250">
        <f t="shared" ref="AT84" si="686">SUM(AT80:AT83)</f>
        <v>0</v>
      </c>
      <c r="AU84" s="250">
        <f t="shared" ref="AU84" si="687">SUM(AU80:AU83)</f>
        <v>0</v>
      </c>
      <c r="AV84" s="250">
        <f t="shared" ref="AV84" si="688">SUM(AV80:AV83)</f>
        <v>0</v>
      </c>
      <c r="AW84" s="250">
        <f t="shared" ref="AW84" si="689">SUM(AW80:AW83)</f>
        <v>0</v>
      </c>
      <c r="AX84" s="250">
        <f t="shared" ref="AX84" si="690">SUM(AX80:AX83)</f>
        <v>0</v>
      </c>
      <c r="AY84" s="250">
        <f t="shared" ref="AY84" si="691">SUM(AY80:AY83)</f>
        <v>0</v>
      </c>
      <c r="AZ84" s="250">
        <f t="shared" ref="AZ84" si="692">SUM(AZ80:AZ83)</f>
        <v>0</v>
      </c>
      <c r="BA84" s="250">
        <f t="shared" ref="BA84" si="693">SUM(BA80:BA83)</f>
        <v>0</v>
      </c>
      <c r="BB84" s="250">
        <f t="shared" ref="BB84" si="694">SUM(BB80:BB83)</f>
        <v>0</v>
      </c>
      <c r="BC84" s="250">
        <f t="shared" ref="BC84" si="695">SUM(BC80:BC83)</f>
        <v>0</v>
      </c>
      <c r="BD84" s="250">
        <f t="shared" ref="BD84" si="696">SUM(BD80:BD83)</f>
        <v>0</v>
      </c>
      <c r="BE84" s="250">
        <f t="shared" ref="BE84" si="697">SUM(BE80:BE83)</f>
        <v>0</v>
      </c>
      <c r="BF84" s="250">
        <f t="shared" ref="BF84" si="698">SUM(BF80:BF83)</f>
        <v>0</v>
      </c>
      <c r="BG84" s="250">
        <f t="shared" ref="BG84" si="699">SUM(BG80:BG83)</f>
        <v>0</v>
      </c>
      <c r="BH84" s="250">
        <f t="shared" ref="BH84" si="700">SUM(BH80:BH83)</f>
        <v>0</v>
      </c>
      <c r="BI84" s="250">
        <f t="shared" ref="BI84" si="701">SUM(BI80:BI83)</f>
        <v>0</v>
      </c>
      <c r="BJ84" s="250">
        <f t="shared" ref="BJ84" si="702">SUM(BJ80:BJ83)</f>
        <v>0</v>
      </c>
      <c r="BK84" s="250">
        <f t="shared" ref="BK84" si="703">SUM(BK80:BK83)</f>
        <v>0</v>
      </c>
      <c r="BL84" s="250">
        <f t="shared" ref="BL84" si="704">SUM(BL80:BL83)</f>
        <v>0</v>
      </c>
      <c r="BM84" s="250">
        <f t="shared" ref="BM84" si="705">SUM(BM80:BM83)</f>
        <v>0</v>
      </c>
      <c r="BN84" s="250">
        <f t="shared" ref="BN84" si="706">SUM(BN80:BN83)</f>
        <v>0</v>
      </c>
      <c r="BO84" s="250">
        <f t="shared" ref="BO84" si="707">SUM(BO80:BO83)</f>
        <v>0</v>
      </c>
      <c r="BP84" s="250">
        <f t="shared" ref="BP84" si="708">SUM(BP80:BP83)</f>
        <v>0</v>
      </c>
      <c r="BQ84" s="250">
        <f t="shared" ref="BQ84" si="709">SUM(BQ80:BQ83)</f>
        <v>0</v>
      </c>
      <c r="BR84" s="250">
        <f t="shared" ref="BR84" si="710">SUM(BR80:BR83)</f>
        <v>0</v>
      </c>
      <c r="BS84" s="250">
        <f t="shared" ref="BS84" si="711">SUM(BS80:BS83)</f>
        <v>0</v>
      </c>
      <c r="BT84" s="250">
        <f t="shared" ref="BT84" si="712">SUM(BT80:BT83)</f>
        <v>0</v>
      </c>
      <c r="BU84" s="250">
        <f t="shared" ref="BU84" si="713">SUM(BU80:BU83)</f>
        <v>0</v>
      </c>
      <c r="BV84" s="250">
        <f t="shared" ref="BV84" si="714">SUM(BV80:BV83)</f>
        <v>0</v>
      </c>
      <c r="BW84" s="250">
        <f t="shared" ref="BW84" si="715">SUM(BW80:BW83)</f>
        <v>0</v>
      </c>
      <c r="BX84" s="250">
        <f t="shared" ref="BX84" si="716">SUM(BX80:BX83)</f>
        <v>0</v>
      </c>
      <c r="BY84" s="250">
        <f t="shared" ref="BY84" si="717">SUM(BY80:BY83)</f>
        <v>0</v>
      </c>
      <c r="BZ84" s="250">
        <f t="shared" ref="BZ84:EK84" si="718">SUM(BZ80:BZ83)</f>
        <v>0</v>
      </c>
      <c r="CA84" s="250">
        <f t="shared" si="718"/>
        <v>0</v>
      </c>
      <c r="CB84" s="250">
        <f t="shared" si="718"/>
        <v>0</v>
      </c>
      <c r="CC84" s="250">
        <f t="shared" si="718"/>
        <v>0</v>
      </c>
      <c r="CD84" s="250">
        <f t="shared" si="718"/>
        <v>0</v>
      </c>
      <c r="CE84" s="250">
        <f t="shared" si="718"/>
        <v>0</v>
      </c>
      <c r="CF84" s="250">
        <f t="shared" si="718"/>
        <v>0</v>
      </c>
      <c r="CG84" s="250">
        <f t="shared" si="718"/>
        <v>0</v>
      </c>
      <c r="CH84" s="250">
        <f t="shared" si="718"/>
        <v>0</v>
      </c>
      <c r="CI84" s="250">
        <f t="shared" si="718"/>
        <v>0</v>
      </c>
      <c r="CJ84" s="250">
        <f t="shared" si="718"/>
        <v>0</v>
      </c>
      <c r="CK84" s="250">
        <f t="shared" ca="1" si="718"/>
        <v>35176236.14611578</v>
      </c>
      <c r="CL84" s="250">
        <f t="shared" si="718"/>
        <v>0</v>
      </c>
      <c r="CM84" s="250">
        <f t="shared" si="718"/>
        <v>0</v>
      </c>
      <c r="CN84" s="250">
        <f t="shared" si="718"/>
        <v>0</v>
      </c>
      <c r="CO84" s="250">
        <f t="shared" si="718"/>
        <v>0</v>
      </c>
      <c r="CP84" s="250">
        <f t="shared" si="718"/>
        <v>0</v>
      </c>
      <c r="CQ84" s="250">
        <f t="shared" si="718"/>
        <v>0</v>
      </c>
      <c r="CR84" s="250">
        <f t="shared" si="718"/>
        <v>0</v>
      </c>
      <c r="CS84" s="250">
        <f t="shared" si="718"/>
        <v>0</v>
      </c>
      <c r="CT84" s="250">
        <f t="shared" si="718"/>
        <v>0</v>
      </c>
      <c r="CU84" s="250">
        <f t="shared" si="718"/>
        <v>0</v>
      </c>
      <c r="CV84" s="250">
        <f t="shared" si="718"/>
        <v>0</v>
      </c>
      <c r="CW84" s="250">
        <f t="shared" si="718"/>
        <v>0</v>
      </c>
      <c r="CX84" s="250">
        <f t="shared" si="718"/>
        <v>0</v>
      </c>
      <c r="CY84" s="250">
        <f t="shared" si="718"/>
        <v>0</v>
      </c>
      <c r="CZ84" s="250">
        <f t="shared" si="718"/>
        <v>0</v>
      </c>
      <c r="DA84" s="250">
        <f t="shared" si="718"/>
        <v>0</v>
      </c>
      <c r="DB84" s="250">
        <f t="shared" si="718"/>
        <v>0</v>
      </c>
      <c r="DC84" s="250">
        <f t="shared" si="718"/>
        <v>0</v>
      </c>
      <c r="DD84" s="250">
        <f t="shared" si="718"/>
        <v>0</v>
      </c>
      <c r="DE84" s="250">
        <f t="shared" si="718"/>
        <v>0</v>
      </c>
      <c r="DF84" s="250">
        <f t="shared" si="718"/>
        <v>0</v>
      </c>
      <c r="DG84" s="250">
        <f t="shared" si="718"/>
        <v>0</v>
      </c>
      <c r="DH84" s="250">
        <f t="shared" si="718"/>
        <v>0</v>
      </c>
      <c r="DI84" s="250">
        <f t="shared" si="718"/>
        <v>0</v>
      </c>
      <c r="DJ84" s="250">
        <f t="shared" si="718"/>
        <v>0</v>
      </c>
      <c r="DK84" s="250">
        <f t="shared" si="718"/>
        <v>0</v>
      </c>
      <c r="DL84" s="250">
        <f t="shared" si="718"/>
        <v>0</v>
      </c>
      <c r="DM84" s="250">
        <f t="shared" si="718"/>
        <v>0</v>
      </c>
      <c r="DN84" s="250">
        <f t="shared" si="718"/>
        <v>0</v>
      </c>
      <c r="DO84" s="250">
        <f t="shared" si="718"/>
        <v>0</v>
      </c>
      <c r="DP84" s="250">
        <f t="shared" si="718"/>
        <v>0</v>
      </c>
      <c r="DQ84" s="250">
        <f t="shared" si="718"/>
        <v>0</v>
      </c>
      <c r="DR84" s="250">
        <f t="shared" si="718"/>
        <v>0</v>
      </c>
      <c r="DS84" s="250">
        <f t="shared" si="718"/>
        <v>0</v>
      </c>
      <c r="DT84" s="250">
        <f t="shared" si="718"/>
        <v>0</v>
      </c>
      <c r="DU84" s="250">
        <f t="shared" si="718"/>
        <v>0</v>
      </c>
      <c r="DV84" s="250">
        <f t="shared" si="718"/>
        <v>0</v>
      </c>
      <c r="DW84" s="250">
        <f t="shared" si="718"/>
        <v>0</v>
      </c>
      <c r="DX84" s="250">
        <f t="shared" si="718"/>
        <v>0</v>
      </c>
      <c r="DY84" s="250">
        <f t="shared" si="718"/>
        <v>0</v>
      </c>
      <c r="DZ84" s="250">
        <f t="shared" si="718"/>
        <v>0</v>
      </c>
      <c r="EA84" s="250">
        <f t="shared" si="718"/>
        <v>0</v>
      </c>
      <c r="EB84" s="250">
        <f t="shared" si="718"/>
        <v>0</v>
      </c>
      <c r="EC84" s="250">
        <f t="shared" si="718"/>
        <v>0</v>
      </c>
      <c r="ED84" s="250">
        <f t="shared" si="718"/>
        <v>0</v>
      </c>
      <c r="EE84" s="250">
        <f t="shared" si="718"/>
        <v>0</v>
      </c>
      <c r="EF84" s="250">
        <f t="shared" si="718"/>
        <v>0</v>
      </c>
      <c r="EG84" s="250">
        <f t="shared" si="718"/>
        <v>0</v>
      </c>
      <c r="EH84" s="250">
        <f t="shared" si="718"/>
        <v>0</v>
      </c>
      <c r="EI84" s="250">
        <f t="shared" si="718"/>
        <v>0</v>
      </c>
      <c r="EJ84" s="250">
        <f t="shared" si="718"/>
        <v>0</v>
      </c>
      <c r="EK84" s="250">
        <f t="shared" si="718"/>
        <v>0</v>
      </c>
      <c r="EL84" s="250">
        <f t="shared" ref="EL84:ET84" si="719">SUM(EL80:EL83)</f>
        <v>0</v>
      </c>
      <c r="EM84" s="250">
        <f t="shared" si="719"/>
        <v>0</v>
      </c>
      <c r="EN84" s="250">
        <f t="shared" si="719"/>
        <v>0</v>
      </c>
      <c r="EO84" s="250">
        <f t="shared" si="719"/>
        <v>0</v>
      </c>
      <c r="EP84" s="250">
        <f t="shared" si="719"/>
        <v>0</v>
      </c>
      <c r="EQ84" s="250">
        <f t="shared" si="719"/>
        <v>0</v>
      </c>
      <c r="ER84" s="250">
        <f t="shared" si="719"/>
        <v>0</v>
      </c>
      <c r="ES84" s="250">
        <f t="shared" si="719"/>
        <v>0</v>
      </c>
      <c r="ET84" s="250">
        <f t="shared" si="719"/>
        <v>0</v>
      </c>
    </row>
    <row r="85" spans="2:150" s="95" customFormat="1" ht="16" thickBot="1" x14ac:dyDescent="0.25">
      <c r="D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96"/>
      <c r="BK85" s="96"/>
      <c r="BL85" s="96"/>
      <c r="BM85" s="96"/>
      <c r="BN85" s="96"/>
      <c r="BO85" s="96"/>
      <c r="BP85" s="96"/>
      <c r="BQ85" s="96"/>
      <c r="BR85" s="96"/>
      <c r="BS85" s="96"/>
      <c r="BT85" s="96"/>
      <c r="BU85" s="96"/>
      <c r="BV85" s="96"/>
      <c r="BW85" s="96"/>
      <c r="BX85" s="96"/>
      <c r="BY85" s="96"/>
      <c r="BZ85" s="96"/>
      <c r="CA85" s="96"/>
      <c r="CB85" s="96"/>
      <c r="CC85" s="96"/>
      <c r="CD85" s="96"/>
      <c r="CE85" s="96"/>
      <c r="CF85" s="96"/>
      <c r="CG85" s="96"/>
      <c r="CH85" s="96"/>
      <c r="CI85" s="96"/>
      <c r="CJ85" s="96"/>
      <c r="CK85" s="96"/>
      <c r="CL85" s="96"/>
      <c r="CM85" s="96"/>
      <c r="CN85" s="96"/>
      <c r="CO85" s="96"/>
      <c r="CP85" s="96"/>
      <c r="CQ85" s="96"/>
      <c r="CR85" s="96"/>
      <c r="CS85" s="96"/>
      <c r="CT85" s="96"/>
      <c r="CU85" s="96"/>
      <c r="CV85" s="96"/>
      <c r="CW85" s="96"/>
      <c r="CX85" s="96"/>
      <c r="CY85" s="96"/>
      <c r="CZ85" s="96"/>
      <c r="DA85" s="96"/>
      <c r="DB85" s="96"/>
      <c r="DC85" s="96"/>
      <c r="DD85" s="96"/>
      <c r="DE85" s="96"/>
      <c r="DF85" s="96"/>
      <c r="DG85" s="96"/>
      <c r="DH85" s="96"/>
      <c r="DI85" s="96"/>
      <c r="DJ85" s="96"/>
      <c r="DK85" s="96"/>
      <c r="DL85" s="96"/>
      <c r="DM85" s="96"/>
      <c r="DN85" s="96"/>
      <c r="DO85" s="96"/>
      <c r="DP85" s="96"/>
      <c r="DQ85" s="96"/>
      <c r="DR85" s="96"/>
      <c r="DS85" s="96"/>
      <c r="DT85" s="96"/>
      <c r="DU85" s="96"/>
      <c r="DV85" s="96"/>
      <c r="DW85" s="96"/>
      <c r="DX85" s="96"/>
      <c r="DY85" s="96"/>
      <c r="DZ85" s="96"/>
      <c r="EA85" s="96"/>
      <c r="EB85" s="96"/>
      <c r="EC85" s="96"/>
      <c r="ED85" s="96"/>
      <c r="EE85" s="96"/>
      <c r="EF85" s="96"/>
      <c r="EG85" s="96"/>
      <c r="EH85" s="96"/>
      <c r="EI85" s="96"/>
      <c r="EJ85" s="96"/>
      <c r="EK85" s="96"/>
      <c r="EL85" s="96"/>
      <c r="EM85" s="96"/>
      <c r="EN85" s="96"/>
      <c r="EO85" s="96"/>
      <c r="EP85" s="96"/>
      <c r="EQ85" s="96"/>
      <c r="ER85" s="96"/>
      <c r="ES85" s="96"/>
      <c r="ET85" s="96"/>
    </row>
    <row r="86" spans="2:150" x14ac:dyDescent="0.2"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</row>
    <row r="87" spans="2:150" x14ac:dyDescent="0.2">
      <c r="B87" s="83" t="s">
        <v>166</v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</row>
    <row r="88" spans="2:150" x14ac:dyDescent="0.2">
      <c r="B88" t="s">
        <v>167</v>
      </c>
      <c r="F88" s="242">
        <f ca="1">Assumptions!T17</f>
        <v>7546033.5352641866</v>
      </c>
      <c r="G88" s="242">
        <f ca="1">F90</f>
        <v>5524457.6754720565</v>
      </c>
      <c r="H88" s="242">
        <f t="shared" ref="H88:J88" ca="1" si="720">G90</f>
        <v>5391381.815679892</v>
      </c>
      <c r="I88" s="242">
        <f t="shared" ca="1" si="720"/>
        <v>5258305.9558876911</v>
      </c>
      <c r="J88" s="242">
        <f t="shared" ca="1" si="720"/>
        <v>5125230.0960954456</v>
      </c>
      <c r="K88" s="242">
        <f t="shared" ref="K88:S88" ca="1" si="721">J90</f>
        <v>4992154.2363031581</v>
      </c>
      <c r="L88" s="242">
        <f t="shared" ca="1" si="721"/>
        <v>4859078.3765108241</v>
      </c>
      <c r="M88" s="242">
        <f t="shared" ca="1" si="721"/>
        <v>4726002.5167184407</v>
      </c>
      <c r="N88" s="242">
        <f t="shared" ca="1" si="721"/>
        <v>4592926.6569260079</v>
      </c>
      <c r="O88" s="242">
        <f t="shared" ca="1" si="721"/>
        <v>4459850.7971335184</v>
      </c>
      <c r="P88" s="242">
        <f t="shared" ca="1" si="721"/>
        <v>4326774.9373409767</v>
      </c>
      <c r="Q88" s="242">
        <f t="shared" ca="1" si="721"/>
        <v>4193699.0775483716</v>
      </c>
      <c r="R88" s="242">
        <f t="shared" ca="1" si="721"/>
        <v>4060623.217755707</v>
      </c>
      <c r="S88" s="242">
        <f t="shared" ca="1" si="721"/>
        <v>3927547.3579629767</v>
      </c>
      <c r="T88" s="242">
        <f t="shared" ref="T88:BZ88" ca="1" si="722">S90</f>
        <v>3794471.4981701835</v>
      </c>
      <c r="U88" s="242">
        <f t="shared" ca="1" si="722"/>
        <v>3661395.6383773223</v>
      </c>
      <c r="V88" s="242">
        <f t="shared" ca="1" si="722"/>
        <v>2552344.7785843881</v>
      </c>
      <c r="W88" s="242">
        <f t="shared" ca="1" si="722"/>
        <v>1443293.9187913826</v>
      </c>
      <c r="X88" s="242">
        <f t="shared" ca="1" si="722"/>
        <v>334243.05899830069</v>
      </c>
      <c r="Y88" s="242">
        <f t="shared" ca="1" si="722"/>
        <v>0</v>
      </c>
      <c r="Z88" s="242">
        <f t="shared" ca="1" si="722"/>
        <v>0</v>
      </c>
      <c r="AA88" s="242">
        <f t="shared" ca="1" si="722"/>
        <v>0</v>
      </c>
      <c r="AB88" s="242">
        <f t="shared" ca="1" si="722"/>
        <v>0</v>
      </c>
      <c r="AC88" s="242">
        <f t="shared" ca="1" si="722"/>
        <v>0</v>
      </c>
      <c r="AD88" s="242">
        <f t="shared" ca="1" si="722"/>
        <v>0</v>
      </c>
      <c r="AE88" s="242">
        <f t="shared" ca="1" si="722"/>
        <v>0</v>
      </c>
      <c r="AF88" s="242">
        <f t="shared" ca="1" si="722"/>
        <v>0</v>
      </c>
      <c r="AG88" s="242">
        <f t="shared" ca="1" si="722"/>
        <v>0</v>
      </c>
      <c r="AH88" s="242">
        <f t="shared" ca="1" si="722"/>
        <v>0</v>
      </c>
      <c r="AI88" s="242">
        <f t="shared" ca="1" si="722"/>
        <v>0</v>
      </c>
      <c r="AJ88" s="242">
        <f t="shared" ca="1" si="722"/>
        <v>0</v>
      </c>
      <c r="AK88" s="242">
        <f t="shared" ca="1" si="722"/>
        <v>0</v>
      </c>
      <c r="AL88" s="242">
        <f t="shared" ca="1" si="722"/>
        <v>0</v>
      </c>
      <c r="AM88" s="242">
        <f t="shared" ca="1" si="722"/>
        <v>0</v>
      </c>
      <c r="AN88" s="242">
        <f t="shared" ca="1" si="722"/>
        <v>0</v>
      </c>
      <c r="AO88" s="242">
        <f t="shared" ca="1" si="722"/>
        <v>0</v>
      </c>
      <c r="AP88" s="242">
        <f t="shared" ca="1" si="722"/>
        <v>0</v>
      </c>
      <c r="AQ88" s="242">
        <f t="shared" ca="1" si="722"/>
        <v>0</v>
      </c>
      <c r="AR88" s="242">
        <f t="shared" ca="1" si="722"/>
        <v>0</v>
      </c>
      <c r="AS88" s="242">
        <f t="shared" ca="1" si="722"/>
        <v>0</v>
      </c>
      <c r="AT88" s="242">
        <f t="shared" ca="1" si="722"/>
        <v>0</v>
      </c>
      <c r="AU88" s="242">
        <f t="shared" ca="1" si="722"/>
        <v>0</v>
      </c>
      <c r="AV88" s="242">
        <f t="shared" ca="1" si="722"/>
        <v>0</v>
      </c>
      <c r="AW88" s="242">
        <f t="shared" ca="1" si="722"/>
        <v>0</v>
      </c>
      <c r="AX88" s="242">
        <f t="shared" ca="1" si="722"/>
        <v>0</v>
      </c>
      <c r="AY88" s="242">
        <f t="shared" ca="1" si="722"/>
        <v>0</v>
      </c>
      <c r="AZ88" s="242">
        <f t="shared" ca="1" si="722"/>
        <v>0</v>
      </c>
      <c r="BA88" s="242">
        <f t="shared" ca="1" si="722"/>
        <v>0</v>
      </c>
      <c r="BB88" s="242">
        <f t="shared" ca="1" si="722"/>
        <v>0</v>
      </c>
      <c r="BC88" s="242">
        <f t="shared" ca="1" si="722"/>
        <v>0</v>
      </c>
      <c r="BD88" s="242">
        <f t="shared" ca="1" si="722"/>
        <v>0</v>
      </c>
      <c r="BE88" s="242">
        <f t="shared" ca="1" si="722"/>
        <v>0</v>
      </c>
      <c r="BF88" s="242">
        <f t="shared" ca="1" si="722"/>
        <v>0</v>
      </c>
      <c r="BG88" s="242">
        <f t="shared" ca="1" si="722"/>
        <v>0</v>
      </c>
      <c r="BH88" s="242">
        <f t="shared" ca="1" si="722"/>
        <v>0</v>
      </c>
      <c r="BI88" s="242">
        <f t="shared" ca="1" si="722"/>
        <v>0</v>
      </c>
      <c r="BJ88" s="242">
        <f t="shared" ca="1" si="722"/>
        <v>0</v>
      </c>
      <c r="BK88" s="242">
        <f t="shared" ca="1" si="722"/>
        <v>0</v>
      </c>
      <c r="BL88" s="242">
        <f t="shared" ca="1" si="722"/>
        <v>0</v>
      </c>
      <c r="BM88" s="242">
        <f t="shared" ca="1" si="722"/>
        <v>0</v>
      </c>
      <c r="BN88" s="242">
        <f t="shared" ca="1" si="722"/>
        <v>0</v>
      </c>
      <c r="BO88" s="242">
        <f t="shared" ca="1" si="722"/>
        <v>0</v>
      </c>
      <c r="BP88" s="242">
        <f t="shared" ca="1" si="722"/>
        <v>0</v>
      </c>
      <c r="BQ88" s="242">
        <f t="shared" ca="1" si="722"/>
        <v>0</v>
      </c>
      <c r="BR88" s="242">
        <f t="shared" ca="1" si="722"/>
        <v>0</v>
      </c>
      <c r="BS88" s="242">
        <f t="shared" ca="1" si="722"/>
        <v>0</v>
      </c>
      <c r="BT88" s="242">
        <f t="shared" ca="1" si="722"/>
        <v>0</v>
      </c>
      <c r="BU88" s="242">
        <f t="shared" ca="1" si="722"/>
        <v>0</v>
      </c>
      <c r="BV88" s="242">
        <f t="shared" ca="1" si="722"/>
        <v>0</v>
      </c>
      <c r="BW88" s="242">
        <f t="shared" ca="1" si="722"/>
        <v>0</v>
      </c>
      <c r="BX88" s="242">
        <f t="shared" ca="1" si="722"/>
        <v>0</v>
      </c>
      <c r="BY88" s="242">
        <f t="shared" ca="1" si="722"/>
        <v>0</v>
      </c>
      <c r="BZ88" s="242">
        <f t="shared" ca="1" si="722"/>
        <v>0</v>
      </c>
      <c r="CA88" s="242">
        <f t="shared" ref="CA88" ca="1" si="723">BZ90</f>
        <v>0</v>
      </c>
      <c r="CB88" s="242">
        <f t="shared" ref="CB88" ca="1" si="724">CA90</f>
        <v>0</v>
      </c>
      <c r="CC88" s="242">
        <f t="shared" ref="CC88" ca="1" si="725">CB90</f>
        <v>0</v>
      </c>
      <c r="CD88" s="242">
        <f t="shared" ref="CD88" ca="1" si="726">CC90</f>
        <v>0</v>
      </c>
      <c r="CE88" s="242">
        <f t="shared" ref="CE88" ca="1" si="727">CD90</f>
        <v>0</v>
      </c>
      <c r="CF88" s="242">
        <f t="shared" ref="CF88" ca="1" si="728">CE90</f>
        <v>0</v>
      </c>
      <c r="CG88" s="242">
        <f t="shared" ref="CG88" ca="1" si="729">CF90</f>
        <v>0</v>
      </c>
      <c r="CH88" s="242">
        <f t="shared" ref="CH88" ca="1" si="730">CG90</f>
        <v>0</v>
      </c>
      <c r="CI88" s="242">
        <f t="shared" ref="CI88" ca="1" si="731">CH90</f>
        <v>0</v>
      </c>
      <c r="CJ88" s="242">
        <f t="shared" ref="CJ88" ca="1" si="732">CI90</f>
        <v>0</v>
      </c>
      <c r="CK88" s="242">
        <f t="shared" ref="CK88" ca="1" si="733">CJ90</f>
        <v>0</v>
      </c>
      <c r="CL88" s="242">
        <f t="shared" ref="CL88" ca="1" si="734">CK90</f>
        <v>0</v>
      </c>
      <c r="CM88" s="242">
        <f t="shared" ref="CM88" ca="1" si="735">CL90</f>
        <v>0</v>
      </c>
      <c r="CN88" s="242">
        <f t="shared" ref="CN88" ca="1" si="736">CM90</f>
        <v>0</v>
      </c>
      <c r="CO88" s="242">
        <f t="shared" ref="CO88" ca="1" si="737">CN90</f>
        <v>0</v>
      </c>
      <c r="CP88" s="242">
        <f t="shared" ref="CP88" ca="1" si="738">CO90</f>
        <v>0</v>
      </c>
      <c r="CQ88" s="242">
        <f t="shared" ref="CQ88" ca="1" si="739">CP90</f>
        <v>0</v>
      </c>
      <c r="CR88" s="242">
        <f t="shared" ref="CR88" ca="1" si="740">CQ90</f>
        <v>0</v>
      </c>
      <c r="CS88" s="242">
        <f t="shared" ref="CS88" ca="1" si="741">CR90</f>
        <v>0</v>
      </c>
      <c r="CT88" s="242">
        <f t="shared" ref="CT88" ca="1" si="742">CS90</f>
        <v>0</v>
      </c>
      <c r="CU88" s="242">
        <f t="shared" ref="CU88" ca="1" si="743">CT90</f>
        <v>0</v>
      </c>
      <c r="CV88" s="242">
        <f t="shared" ref="CV88" ca="1" si="744">CU90</f>
        <v>0</v>
      </c>
      <c r="CW88" s="242">
        <f t="shared" ref="CW88" ca="1" si="745">CV90</f>
        <v>0</v>
      </c>
      <c r="CX88" s="242">
        <f t="shared" ref="CX88" ca="1" si="746">CW90</f>
        <v>0</v>
      </c>
      <c r="CY88" s="242">
        <f t="shared" ref="CY88" ca="1" si="747">CX90</f>
        <v>0</v>
      </c>
      <c r="CZ88" s="242">
        <f t="shared" ref="CZ88" ca="1" si="748">CY90</f>
        <v>0</v>
      </c>
      <c r="DA88" s="242">
        <f t="shared" ref="DA88" ca="1" si="749">CZ90</f>
        <v>0</v>
      </c>
      <c r="DB88" s="242">
        <f t="shared" ref="DB88" ca="1" si="750">DA90</f>
        <v>0</v>
      </c>
      <c r="DC88" s="242">
        <f t="shared" ref="DC88" ca="1" si="751">DB90</f>
        <v>0</v>
      </c>
      <c r="DD88" s="242">
        <f t="shared" ref="DD88" ca="1" si="752">DC90</f>
        <v>0</v>
      </c>
      <c r="DE88" s="242">
        <f t="shared" ref="DE88" ca="1" si="753">DD90</f>
        <v>0</v>
      </c>
      <c r="DF88" s="242">
        <f t="shared" ref="DF88" ca="1" si="754">DE90</f>
        <v>0</v>
      </c>
      <c r="DG88" s="242">
        <f t="shared" ref="DG88" ca="1" si="755">DF90</f>
        <v>0</v>
      </c>
      <c r="DH88" s="242">
        <f t="shared" ref="DH88" ca="1" si="756">DG90</f>
        <v>0</v>
      </c>
      <c r="DI88" s="242">
        <f t="shared" ref="DI88" ca="1" si="757">DH90</f>
        <v>0</v>
      </c>
      <c r="DJ88" s="242">
        <f t="shared" ref="DJ88" ca="1" si="758">DI90</f>
        <v>0</v>
      </c>
      <c r="DK88" s="242">
        <f t="shared" ref="DK88" ca="1" si="759">DJ90</f>
        <v>0</v>
      </c>
      <c r="DL88" s="242">
        <f t="shared" ref="DL88" ca="1" si="760">DK90</f>
        <v>0</v>
      </c>
      <c r="DM88" s="242">
        <f t="shared" ref="DM88" ca="1" si="761">DL90</f>
        <v>0</v>
      </c>
      <c r="DN88" s="242">
        <f t="shared" ref="DN88" ca="1" si="762">DM90</f>
        <v>0</v>
      </c>
      <c r="DO88" s="242">
        <f t="shared" ref="DO88" ca="1" si="763">DN90</f>
        <v>0</v>
      </c>
      <c r="DP88" s="242">
        <f t="shared" ref="DP88" ca="1" si="764">DO90</f>
        <v>0</v>
      </c>
      <c r="DQ88" s="242">
        <f t="shared" ref="DQ88" ca="1" si="765">DP90</f>
        <v>0</v>
      </c>
      <c r="DR88" s="242">
        <f t="shared" ref="DR88" ca="1" si="766">DQ90</f>
        <v>0</v>
      </c>
      <c r="DS88" s="242">
        <f t="shared" ref="DS88" ca="1" si="767">DR90</f>
        <v>0</v>
      </c>
      <c r="DT88" s="242">
        <f t="shared" ref="DT88" ca="1" si="768">DS90</f>
        <v>0</v>
      </c>
      <c r="DU88" s="242">
        <f t="shared" ref="DU88" ca="1" si="769">DT90</f>
        <v>0</v>
      </c>
      <c r="DV88" s="242">
        <f t="shared" ref="DV88" ca="1" si="770">DU90</f>
        <v>0</v>
      </c>
      <c r="DW88" s="242">
        <f t="shared" ref="DW88" ca="1" si="771">DV90</f>
        <v>0</v>
      </c>
      <c r="DX88" s="242">
        <f t="shared" ref="DX88" ca="1" si="772">DW90</f>
        <v>0</v>
      </c>
      <c r="DY88" s="242">
        <f t="shared" ref="DY88" ca="1" si="773">DX90</f>
        <v>0</v>
      </c>
      <c r="DZ88" s="242">
        <f t="shared" ref="DZ88" ca="1" si="774">DY90</f>
        <v>0</v>
      </c>
      <c r="EA88" s="242">
        <f t="shared" ref="EA88" ca="1" si="775">DZ90</f>
        <v>0</v>
      </c>
      <c r="EB88" s="242">
        <f t="shared" ref="EB88" ca="1" si="776">EA90</f>
        <v>0</v>
      </c>
      <c r="EC88" s="242">
        <f t="shared" ref="EC88" ca="1" si="777">EB90</f>
        <v>0</v>
      </c>
      <c r="ED88" s="242">
        <f t="shared" ref="ED88" ca="1" si="778">EC90</f>
        <v>0</v>
      </c>
      <c r="EE88" s="242">
        <f t="shared" ref="EE88" ca="1" si="779">ED90</f>
        <v>0</v>
      </c>
      <c r="EF88" s="242">
        <f t="shared" ref="EF88" ca="1" si="780">EE90</f>
        <v>0</v>
      </c>
      <c r="EG88" s="242">
        <f t="shared" ref="EG88" ca="1" si="781">EF90</f>
        <v>0</v>
      </c>
      <c r="EH88" s="242">
        <f t="shared" ref="EH88" ca="1" si="782">EG90</f>
        <v>0</v>
      </c>
      <c r="EI88" s="242">
        <f t="shared" ref="EI88" ca="1" si="783">EH90</f>
        <v>0</v>
      </c>
      <c r="EJ88" s="242">
        <f t="shared" ref="EJ88" ca="1" si="784">EI90</f>
        <v>0</v>
      </c>
      <c r="EK88" s="242">
        <f t="shared" ref="EK88" ca="1" si="785">EJ90</f>
        <v>0</v>
      </c>
      <c r="EL88" s="242">
        <f t="shared" ref="EL88" ca="1" si="786">EK90</f>
        <v>0</v>
      </c>
      <c r="EM88" s="242">
        <f t="shared" ref="EM88" ca="1" si="787">EL90</f>
        <v>0</v>
      </c>
      <c r="EN88" s="242">
        <f t="shared" ref="EN88" ca="1" si="788">EM90</f>
        <v>0</v>
      </c>
      <c r="EO88" s="242">
        <f t="shared" ref="EO88" ca="1" si="789">EN90</f>
        <v>0</v>
      </c>
      <c r="EP88" s="242">
        <f t="shared" ref="EP88" ca="1" si="790">EO90</f>
        <v>0</v>
      </c>
      <c r="EQ88" s="242">
        <f t="shared" ref="EQ88" ca="1" si="791">EP90</f>
        <v>0</v>
      </c>
      <c r="ER88" s="242">
        <f t="shared" ref="ER88" ca="1" si="792">EQ90</f>
        <v>0</v>
      </c>
      <c r="ES88" s="242">
        <f t="shared" ref="ES88" ca="1" si="793">ER90</f>
        <v>0</v>
      </c>
      <c r="ET88" s="242">
        <f t="shared" ref="ET88" ca="1" si="794">ES90</f>
        <v>0</v>
      </c>
    </row>
    <row r="89" spans="2:150" x14ac:dyDescent="0.2">
      <c r="B89" t="s">
        <v>168</v>
      </c>
      <c r="F89" s="242">
        <f t="shared" ref="F89:AK89" ca="1" si="795">-MIN(F88,-F17-F114)</f>
        <v>-2021575.8597919773</v>
      </c>
      <c r="G89" s="242">
        <f t="shared" ca="1" si="795"/>
        <v>-133075.85979197739</v>
      </c>
      <c r="H89" s="242">
        <f t="shared" ca="1" si="795"/>
        <v>-133075.85979197739</v>
      </c>
      <c r="I89" s="242">
        <f t="shared" ca="1" si="795"/>
        <v>-133075.85979197739</v>
      </c>
      <c r="J89" s="242">
        <f t="shared" ca="1" si="795"/>
        <v>-133075.85979197739</v>
      </c>
      <c r="K89" s="242">
        <f t="shared" ca="1" si="795"/>
        <v>-133075.85979197739</v>
      </c>
      <c r="L89" s="242">
        <f t="shared" ca="1" si="795"/>
        <v>-133075.85979197739</v>
      </c>
      <c r="M89" s="242">
        <f t="shared" ca="1" si="795"/>
        <v>-133075.85979197739</v>
      </c>
      <c r="N89" s="242">
        <f t="shared" ca="1" si="795"/>
        <v>-133075.85979197739</v>
      </c>
      <c r="O89" s="242">
        <f t="shared" ca="1" si="795"/>
        <v>-133075.85979197739</v>
      </c>
      <c r="P89" s="242">
        <f t="shared" ca="1" si="795"/>
        <v>-133075.85979197739</v>
      </c>
      <c r="Q89" s="242">
        <f t="shared" ca="1" si="795"/>
        <v>-133075.85979197739</v>
      </c>
      <c r="R89" s="242">
        <f t="shared" ca="1" si="795"/>
        <v>-133075.85979197739</v>
      </c>
      <c r="S89" s="242">
        <f t="shared" ca="1" si="795"/>
        <v>-133075.85979197739</v>
      </c>
      <c r="T89" s="242">
        <f t="shared" ca="1" si="795"/>
        <v>-133075.85979197739</v>
      </c>
      <c r="U89" s="242">
        <f t="shared" ca="1" si="795"/>
        <v>-1109050.8597919773</v>
      </c>
      <c r="V89" s="242">
        <f t="shared" ca="1" si="795"/>
        <v>-1109050.8597919773</v>
      </c>
      <c r="W89" s="242">
        <f t="shared" ca="1" si="795"/>
        <v>-1109050.8597919773</v>
      </c>
      <c r="X89" s="242">
        <f t="shared" ca="1" si="795"/>
        <v>-334243.05899830069</v>
      </c>
      <c r="Y89" s="242">
        <f t="shared" ca="1" si="795"/>
        <v>0</v>
      </c>
      <c r="Z89" s="242">
        <f t="shared" ca="1" si="795"/>
        <v>0</v>
      </c>
      <c r="AA89" s="242">
        <f t="shared" ca="1" si="795"/>
        <v>0</v>
      </c>
      <c r="AB89" s="242">
        <f t="shared" ca="1" si="795"/>
        <v>0</v>
      </c>
      <c r="AC89" s="242">
        <f t="shared" ca="1" si="795"/>
        <v>0</v>
      </c>
      <c r="AD89" s="242">
        <f t="shared" ca="1" si="795"/>
        <v>0</v>
      </c>
      <c r="AE89" s="242">
        <f t="shared" ca="1" si="795"/>
        <v>0</v>
      </c>
      <c r="AF89" s="242">
        <f t="shared" ca="1" si="795"/>
        <v>0</v>
      </c>
      <c r="AG89" s="242">
        <f t="shared" ca="1" si="795"/>
        <v>0</v>
      </c>
      <c r="AH89" s="242">
        <f t="shared" ca="1" si="795"/>
        <v>0</v>
      </c>
      <c r="AI89" s="242">
        <f t="shared" ca="1" si="795"/>
        <v>0</v>
      </c>
      <c r="AJ89" s="242">
        <f t="shared" ca="1" si="795"/>
        <v>0</v>
      </c>
      <c r="AK89" s="242">
        <f t="shared" ca="1" si="795"/>
        <v>0</v>
      </c>
      <c r="AL89" s="242">
        <f t="shared" ref="AL89:BQ89" ca="1" si="796">-MIN(AL88,-AL17-AL114)</f>
        <v>0</v>
      </c>
      <c r="AM89" s="242">
        <f t="shared" ca="1" si="796"/>
        <v>0</v>
      </c>
      <c r="AN89" s="242">
        <f t="shared" ca="1" si="796"/>
        <v>0</v>
      </c>
      <c r="AO89" s="242">
        <f t="shared" ca="1" si="796"/>
        <v>0</v>
      </c>
      <c r="AP89" s="242">
        <f t="shared" ca="1" si="796"/>
        <v>0</v>
      </c>
      <c r="AQ89" s="242">
        <f t="shared" ca="1" si="796"/>
        <v>0</v>
      </c>
      <c r="AR89" s="242">
        <f t="shared" ca="1" si="796"/>
        <v>0</v>
      </c>
      <c r="AS89" s="242">
        <f t="shared" ca="1" si="796"/>
        <v>0</v>
      </c>
      <c r="AT89" s="242">
        <f t="shared" ca="1" si="796"/>
        <v>0</v>
      </c>
      <c r="AU89" s="242">
        <f t="shared" ca="1" si="796"/>
        <v>0</v>
      </c>
      <c r="AV89" s="242">
        <f t="shared" ca="1" si="796"/>
        <v>0</v>
      </c>
      <c r="AW89" s="242">
        <f t="shared" ca="1" si="796"/>
        <v>0</v>
      </c>
      <c r="AX89" s="242">
        <f t="shared" ca="1" si="796"/>
        <v>0</v>
      </c>
      <c r="AY89" s="242">
        <f t="shared" ca="1" si="796"/>
        <v>0</v>
      </c>
      <c r="AZ89" s="242">
        <f t="shared" ca="1" si="796"/>
        <v>0</v>
      </c>
      <c r="BA89" s="242">
        <f t="shared" ca="1" si="796"/>
        <v>0</v>
      </c>
      <c r="BB89" s="242">
        <f t="shared" ca="1" si="796"/>
        <v>0</v>
      </c>
      <c r="BC89" s="242">
        <f t="shared" ca="1" si="796"/>
        <v>0</v>
      </c>
      <c r="BD89" s="242">
        <f t="shared" ca="1" si="796"/>
        <v>0</v>
      </c>
      <c r="BE89" s="242">
        <f t="shared" ca="1" si="796"/>
        <v>0</v>
      </c>
      <c r="BF89" s="242">
        <f t="shared" ca="1" si="796"/>
        <v>0</v>
      </c>
      <c r="BG89" s="242">
        <f t="shared" ca="1" si="796"/>
        <v>0</v>
      </c>
      <c r="BH89" s="242">
        <f t="shared" ca="1" si="796"/>
        <v>0</v>
      </c>
      <c r="BI89" s="242">
        <f t="shared" ca="1" si="796"/>
        <v>0</v>
      </c>
      <c r="BJ89" s="242">
        <f t="shared" ca="1" si="796"/>
        <v>0</v>
      </c>
      <c r="BK89" s="242">
        <f t="shared" ca="1" si="796"/>
        <v>0</v>
      </c>
      <c r="BL89" s="242">
        <f t="shared" ca="1" si="796"/>
        <v>0</v>
      </c>
      <c r="BM89" s="242">
        <f t="shared" ca="1" si="796"/>
        <v>0</v>
      </c>
      <c r="BN89" s="242">
        <f t="shared" ca="1" si="796"/>
        <v>0</v>
      </c>
      <c r="BO89" s="242">
        <f t="shared" ca="1" si="796"/>
        <v>0</v>
      </c>
      <c r="BP89" s="242">
        <f t="shared" ca="1" si="796"/>
        <v>0</v>
      </c>
      <c r="BQ89" s="242">
        <f t="shared" ca="1" si="796"/>
        <v>0</v>
      </c>
      <c r="BR89" s="242">
        <f t="shared" ref="BR89:CW89" ca="1" si="797">-MIN(BR88,-BR17-BR114)</f>
        <v>0</v>
      </c>
      <c r="BS89" s="242">
        <f t="shared" ca="1" si="797"/>
        <v>0</v>
      </c>
      <c r="BT89" s="242">
        <f t="shared" ca="1" si="797"/>
        <v>0</v>
      </c>
      <c r="BU89" s="242">
        <f t="shared" ca="1" si="797"/>
        <v>0</v>
      </c>
      <c r="BV89" s="242">
        <f t="shared" ca="1" si="797"/>
        <v>0</v>
      </c>
      <c r="BW89" s="242">
        <f t="shared" ca="1" si="797"/>
        <v>0</v>
      </c>
      <c r="BX89" s="242">
        <f t="shared" ca="1" si="797"/>
        <v>0</v>
      </c>
      <c r="BY89" s="242">
        <f t="shared" ca="1" si="797"/>
        <v>0</v>
      </c>
      <c r="BZ89" s="242">
        <f t="shared" ca="1" si="797"/>
        <v>0</v>
      </c>
      <c r="CA89" s="242">
        <f t="shared" ca="1" si="797"/>
        <v>0</v>
      </c>
      <c r="CB89" s="242">
        <f t="shared" ca="1" si="797"/>
        <v>0</v>
      </c>
      <c r="CC89" s="242">
        <f t="shared" ca="1" si="797"/>
        <v>0</v>
      </c>
      <c r="CD89" s="242">
        <f t="shared" ca="1" si="797"/>
        <v>0</v>
      </c>
      <c r="CE89" s="242">
        <f t="shared" ca="1" si="797"/>
        <v>0</v>
      </c>
      <c r="CF89" s="242">
        <f t="shared" ca="1" si="797"/>
        <v>0</v>
      </c>
      <c r="CG89" s="242">
        <f t="shared" ca="1" si="797"/>
        <v>0</v>
      </c>
      <c r="CH89" s="242">
        <f t="shared" ca="1" si="797"/>
        <v>0</v>
      </c>
      <c r="CI89" s="242">
        <f t="shared" ca="1" si="797"/>
        <v>0</v>
      </c>
      <c r="CJ89" s="242">
        <f t="shared" ca="1" si="797"/>
        <v>0</v>
      </c>
      <c r="CK89" s="242">
        <f t="shared" ca="1" si="797"/>
        <v>0</v>
      </c>
      <c r="CL89" s="242">
        <f t="shared" ca="1" si="797"/>
        <v>0</v>
      </c>
      <c r="CM89" s="242">
        <f t="shared" ca="1" si="797"/>
        <v>0</v>
      </c>
      <c r="CN89" s="242">
        <f t="shared" ca="1" si="797"/>
        <v>0</v>
      </c>
      <c r="CO89" s="242">
        <f t="shared" ca="1" si="797"/>
        <v>0</v>
      </c>
      <c r="CP89" s="242">
        <f t="shared" ca="1" si="797"/>
        <v>0</v>
      </c>
      <c r="CQ89" s="242">
        <f t="shared" ca="1" si="797"/>
        <v>0</v>
      </c>
      <c r="CR89" s="242">
        <f t="shared" ca="1" si="797"/>
        <v>0</v>
      </c>
      <c r="CS89" s="242">
        <f t="shared" ca="1" si="797"/>
        <v>0</v>
      </c>
      <c r="CT89" s="242">
        <f t="shared" ca="1" si="797"/>
        <v>0</v>
      </c>
      <c r="CU89" s="242">
        <f t="shared" ca="1" si="797"/>
        <v>0</v>
      </c>
      <c r="CV89" s="242">
        <f t="shared" ca="1" si="797"/>
        <v>0</v>
      </c>
      <c r="CW89" s="242">
        <f t="shared" ca="1" si="797"/>
        <v>0</v>
      </c>
      <c r="CX89" s="242">
        <f t="shared" ref="CX89:EC89" ca="1" si="798">-MIN(CX88,-CX17-CX114)</f>
        <v>0</v>
      </c>
      <c r="CY89" s="242">
        <f t="shared" ca="1" si="798"/>
        <v>0</v>
      </c>
      <c r="CZ89" s="242">
        <f t="shared" ca="1" si="798"/>
        <v>0</v>
      </c>
      <c r="DA89" s="242">
        <f t="shared" ca="1" si="798"/>
        <v>0</v>
      </c>
      <c r="DB89" s="242">
        <f t="shared" ca="1" si="798"/>
        <v>0</v>
      </c>
      <c r="DC89" s="242">
        <f t="shared" ca="1" si="798"/>
        <v>0</v>
      </c>
      <c r="DD89" s="242">
        <f t="shared" ca="1" si="798"/>
        <v>0</v>
      </c>
      <c r="DE89" s="242">
        <f t="shared" ca="1" si="798"/>
        <v>0</v>
      </c>
      <c r="DF89" s="242">
        <f t="shared" ca="1" si="798"/>
        <v>0</v>
      </c>
      <c r="DG89" s="242">
        <f t="shared" ca="1" si="798"/>
        <v>0</v>
      </c>
      <c r="DH89" s="242">
        <f t="shared" ca="1" si="798"/>
        <v>0</v>
      </c>
      <c r="DI89" s="242">
        <f t="shared" ca="1" si="798"/>
        <v>0</v>
      </c>
      <c r="DJ89" s="242">
        <f t="shared" ca="1" si="798"/>
        <v>0</v>
      </c>
      <c r="DK89" s="242">
        <f t="shared" ca="1" si="798"/>
        <v>0</v>
      </c>
      <c r="DL89" s="242">
        <f t="shared" ca="1" si="798"/>
        <v>0</v>
      </c>
      <c r="DM89" s="242">
        <f t="shared" ca="1" si="798"/>
        <v>0</v>
      </c>
      <c r="DN89" s="242">
        <f t="shared" ca="1" si="798"/>
        <v>0</v>
      </c>
      <c r="DO89" s="242">
        <f t="shared" ca="1" si="798"/>
        <v>0</v>
      </c>
      <c r="DP89" s="242">
        <f t="shared" ca="1" si="798"/>
        <v>0</v>
      </c>
      <c r="DQ89" s="242">
        <f t="shared" ca="1" si="798"/>
        <v>0</v>
      </c>
      <c r="DR89" s="242">
        <f t="shared" ca="1" si="798"/>
        <v>0</v>
      </c>
      <c r="DS89" s="242">
        <f t="shared" ca="1" si="798"/>
        <v>0</v>
      </c>
      <c r="DT89" s="242">
        <f t="shared" ca="1" si="798"/>
        <v>0</v>
      </c>
      <c r="DU89" s="242">
        <f t="shared" ca="1" si="798"/>
        <v>0</v>
      </c>
      <c r="DV89" s="242">
        <f t="shared" ca="1" si="798"/>
        <v>0</v>
      </c>
      <c r="DW89" s="242">
        <f t="shared" ca="1" si="798"/>
        <v>0</v>
      </c>
      <c r="DX89" s="242">
        <f t="shared" ca="1" si="798"/>
        <v>0</v>
      </c>
      <c r="DY89" s="242">
        <f t="shared" ca="1" si="798"/>
        <v>0</v>
      </c>
      <c r="DZ89" s="242">
        <f t="shared" ca="1" si="798"/>
        <v>0</v>
      </c>
      <c r="EA89" s="242">
        <f t="shared" ca="1" si="798"/>
        <v>0</v>
      </c>
      <c r="EB89" s="242">
        <f t="shared" ca="1" si="798"/>
        <v>0</v>
      </c>
      <c r="EC89" s="242">
        <f t="shared" ca="1" si="798"/>
        <v>0</v>
      </c>
      <c r="ED89" s="242">
        <f t="shared" ref="ED89:ET89" ca="1" si="799">-MIN(ED88,-ED17-ED114)</f>
        <v>0</v>
      </c>
      <c r="EE89" s="242">
        <f t="shared" ca="1" si="799"/>
        <v>0</v>
      </c>
      <c r="EF89" s="242">
        <f t="shared" ca="1" si="799"/>
        <v>0</v>
      </c>
      <c r="EG89" s="242">
        <f t="shared" ca="1" si="799"/>
        <v>0</v>
      </c>
      <c r="EH89" s="242">
        <f t="shared" ca="1" si="799"/>
        <v>0</v>
      </c>
      <c r="EI89" s="242">
        <f t="shared" ca="1" si="799"/>
        <v>0</v>
      </c>
      <c r="EJ89" s="242">
        <f t="shared" ca="1" si="799"/>
        <v>0</v>
      </c>
      <c r="EK89" s="242">
        <f t="shared" ca="1" si="799"/>
        <v>0</v>
      </c>
      <c r="EL89" s="242">
        <f t="shared" ca="1" si="799"/>
        <v>0</v>
      </c>
      <c r="EM89" s="242">
        <f t="shared" ca="1" si="799"/>
        <v>0</v>
      </c>
      <c r="EN89" s="242">
        <f t="shared" ca="1" si="799"/>
        <v>0</v>
      </c>
      <c r="EO89" s="242">
        <f t="shared" ca="1" si="799"/>
        <v>0</v>
      </c>
      <c r="EP89" s="242">
        <f t="shared" ca="1" si="799"/>
        <v>0</v>
      </c>
      <c r="EQ89" s="242">
        <f t="shared" ca="1" si="799"/>
        <v>0</v>
      </c>
      <c r="ER89" s="242">
        <f t="shared" ca="1" si="799"/>
        <v>0</v>
      </c>
      <c r="ES89" s="242">
        <f t="shared" ca="1" si="799"/>
        <v>0</v>
      </c>
      <c r="ET89" s="242">
        <f t="shared" ca="1" si="799"/>
        <v>0</v>
      </c>
    </row>
    <row r="90" spans="2:150" x14ac:dyDescent="0.2">
      <c r="B90" s="98" t="s">
        <v>169</v>
      </c>
      <c r="C90" s="98"/>
      <c r="D90" s="97"/>
      <c r="E90" s="98"/>
      <c r="F90" s="251">
        <f ca="1">SUM(F88:F89)</f>
        <v>5524457.6754722092</v>
      </c>
      <c r="G90" s="251">
        <f t="shared" ref="G90:S90" ca="1" si="800">SUM(G88:G89)</f>
        <v>5391381.8156800792</v>
      </c>
      <c r="H90" s="251">
        <f t="shared" ca="1" si="800"/>
        <v>5258305.9558879146</v>
      </c>
      <c r="I90" s="251">
        <f t="shared" ca="1" si="800"/>
        <v>5125230.0960957138</v>
      </c>
      <c r="J90" s="251">
        <f t="shared" ca="1" si="800"/>
        <v>4992154.2363034682</v>
      </c>
      <c r="K90" s="251">
        <f t="shared" ca="1" si="800"/>
        <v>4859078.3765111808</v>
      </c>
      <c r="L90" s="251">
        <f t="shared" ca="1" si="800"/>
        <v>4726002.5167188467</v>
      </c>
      <c r="M90" s="251">
        <f t="shared" ca="1" si="800"/>
        <v>4592926.6569264634</v>
      </c>
      <c r="N90" s="251">
        <f t="shared" ca="1" si="800"/>
        <v>4459850.7971340306</v>
      </c>
      <c r="O90" s="251">
        <f t="shared" ca="1" si="800"/>
        <v>4326774.9373415411</v>
      </c>
      <c r="P90" s="251">
        <f t="shared" ca="1" si="800"/>
        <v>4193699.0775489993</v>
      </c>
      <c r="Q90" s="251">
        <f t="shared" ca="1" si="800"/>
        <v>4060623.2177563943</v>
      </c>
      <c r="R90" s="251">
        <f t="shared" ca="1" si="800"/>
        <v>3927547.3579637296</v>
      </c>
      <c r="S90" s="251">
        <f t="shared" ca="1" si="800"/>
        <v>3794471.4981709993</v>
      </c>
      <c r="T90" s="251">
        <f t="shared" ref="T90" ca="1" si="801">SUM(T88:T89)</f>
        <v>3661395.6383782062</v>
      </c>
      <c r="U90" s="251">
        <f t="shared" ref="U90" ca="1" si="802">SUM(U88:U89)</f>
        <v>2552344.778585345</v>
      </c>
      <c r="V90" s="251">
        <f t="shared" ref="V90" ca="1" si="803">SUM(V88:V89)</f>
        <v>1443293.9187924108</v>
      </c>
      <c r="W90" s="251">
        <f t="shared" ref="W90" ca="1" si="804">SUM(W88:W89)</f>
        <v>334243.05899940524</v>
      </c>
      <c r="X90" s="251">
        <f t="shared" ref="X90" ca="1" si="805">SUM(X88:X89)</f>
        <v>0</v>
      </c>
      <c r="Y90" s="251">
        <f t="shared" ref="Y90" ca="1" si="806">SUM(Y88:Y89)</f>
        <v>0</v>
      </c>
      <c r="Z90" s="251">
        <f t="shared" ref="Z90" ca="1" si="807">SUM(Z88:Z89)</f>
        <v>0</v>
      </c>
      <c r="AA90" s="251">
        <f t="shared" ref="AA90" ca="1" si="808">SUM(AA88:AA89)</f>
        <v>0</v>
      </c>
      <c r="AB90" s="251">
        <f t="shared" ref="AB90" ca="1" si="809">SUM(AB88:AB89)</f>
        <v>0</v>
      </c>
      <c r="AC90" s="251">
        <f t="shared" ref="AC90" ca="1" si="810">SUM(AC88:AC89)</f>
        <v>0</v>
      </c>
      <c r="AD90" s="251">
        <f t="shared" ref="AD90" ca="1" si="811">SUM(AD88:AD89)</f>
        <v>0</v>
      </c>
      <c r="AE90" s="251">
        <f t="shared" ref="AE90" ca="1" si="812">SUM(AE88:AE89)</f>
        <v>0</v>
      </c>
      <c r="AF90" s="251">
        <f t="shared" ref="AF90" ca="1" si="813">SUM(AF88:AF89)</f>
        <v>0</v>
      </c>
      <c r="AG90" s="251">
        <f t="shared" ref="AG90" ca="1" si="814">SUM(AG88:AG89)</f>
        <v>0</v>
      </c>
      <c r="AH90" s="251">
        <f t="shared" ref="AH90" ca="1" si="815">SUM(AH88:AH89)</f>
        <v>0</v>
      </c>
      <c r="AI90" s="251">
        <f t="shared" ref="AI90" ca="1" si="816">SUM(AI88:AI89)</f>
        <v>0</v>
      </c>
      <c r="AJ90" s="251">
        <f t="shared" ref="AJ90" ca="1" si="817">SUM(AJ88:AJ89)</f>
        <v>0</v>
      </c>
      <c r="AK90" s="251">
        <f t="shared" ref="AK90" ca="1" si="818">SUM(AK88:AK89)</f>
        <v>0</v>
      </c>
      <c r="AL90" s="251">
        <f t="shared" ref="AL90" ca="1" si="819">SUM(AL88:AL89)</f>
        <v>0</v>
      </c>
      <c r="AM90" s="251">
        <f t="shared" ref="AM90" ca="1" si="820">SUM(AM88:AM89)</f>
        <v>0</v>
      </c>
      <c r="AN90" s="251">
        <f t="shared" ref="AN90" ca="1" si="821">SUM(AN88:AN89)</f>
        <v>0</v>
      </c>
      <c r="AO90" s="251">
        <f t="shared" ref="AO90" ca="1" si="822">SUM(AO88:AO89)</f>
        <v>0</v>
      </c>
      <c r="AP90" s="251">
        <f t="shared" ref="AP90" ca="1" si="823">SUM(AP88:AP89)</f>
        <v>0</v>
      </c>
      <c r="AQ90" s="251">
        <f t="shared" ref="AQ90" ca="1" si="824">SUM(AQ88:AQ89)</f>
        <v>0</v>
      </c>
      <c r="AR90" s="251">
        <f t="shared" ref="AR90" ca="1" si="825">SUM(AR88:AR89)</f>
        <v>0</v>
      </c>
      <c r="AS90" s="251">
        <f t="shared" ref="AS90" ca="1" si="826">SUM(AS88:AS89)</f>
        <v>0</v>
      </c>
      <c r="AT90" s="251">
        <f t="shared" ref="AT90" ca="1" si="827">SUM(AT88:AT89)</f>
        <v>0</v>
      </c>
      <c r="AU90" s="251">
        <f t="shared" ref="AU90" ca="1" si="828">SUM(AU88:AU89)</f>
        <v>0</v>
      </c>
      <c r="AV90" s="251">
        <f t="shared" ref="AV90" ca="1" si="829">SUM(AV88:AV89)</f>
        <v>0</v>
      </c>
      <c r="AW90" s="251">
        <f t="shared" ref="AW90" ca="1" si="830">SUM(AW88:AW89)</f>
        <v>0</v>
      </c>
      <c r="AX90" s="251">
        <f t="shared" ref="AX90" ca="1" si="831">SUM(AX88:AX89)</f>
        <v>0</v>
      </c>
      <c r="AY90" s="251">
        <f t="shared" ref="AY90" ca="1" si="832">SUM(AY88:AY89)</f>
        <v>0</v>
      </c>
      <c r="AZ90" s="251">
        <f t="shared" ref="AZ90" ca="1" si="833">SUM(AZ88:AZ89)</f>
        <v>0</v>
      </c>
      <c r="BA90" s="251">
        <f t="shared" ref="BA90" ca="1" si="834">SUM(BA88:BA89)</f>
        <v>0</v>
      </c>
      <c r="BB90" s="251">
        <f t="shared" ref="BB90" ca="1" si="835">SUM(BB88:BB89)</f>
        <v>0</v>
      </c>
      <c r="BC90" s="251">
        <f t="shared" ref="BC90" ca="1" si="836">SUM(BC88:BC89)</f>
        <v>0</v>
      </c>
      <c r="BD90" s="251">
        <f t="shared" ref="BD90" ca="1" si="837">SUM(BD88:BD89)</f>
        <v>0</v>
      </c>
      <c r="BE90" s="251">
        <f t="shared" ref="BE90" ca="1" si="838">SUM(BE88:BE89)</f>
        <v>0</v>
      </c>
      <c r="BF90" s="251">
        <f t="shared" ref="BF90" ca="1" si="839">SUM(BF88:BF89)</f>
        <v>0</v>
      </c>
      <c r="BG90" s="251">
        <f t="shared" ref="BG90" ca="1" si="840">SUM(BG88:BG89)</f>
        <v>0</v>
      </c>
      <c r="BH90" s="251">
        <f t="shared" ref="BH90" ca="1" si="841">SUM(BH88:BH89)</f>
        <v>0</v>
      </c>
      <c r="BI90" s="251">
        <f t="shared" ref="BI90" ca="1" si="842">SUM(BI88:BI89)</f>
        <v>0</v>
      </c>
      <c r="BJ90" s="251">
        <f t="shared" ref="BJ90" ca="1" si="843">SUM(BJ88:BJ89)</f>
        <v>0</v>
      </c>
      <c r="BK90" s="251">
        <f t="shared" ref="BK90" ca="1" si="844">SUM(BK88:BK89)</f>
        <v>0</v>
      </c>
      <c r="BL90" s="251">
        <f t="shared" ref="BL90:BZ90" ca="1" si="845">SUM(BL88:BL89)</f>
        <v>0</v>
      </c>
      <c r="BM90" s="251">
        <f t="shared" ca="1" si="845"/>
        <v>0</v>
      </c>
      <c r="BN90" s="251">
        <f t="shared" ca="1" si="845"/>
        <v>0</v>
      </c>
      <c r="BO90" s="251">
        <f t="shared" ca="1" si="845"/>
        <v>0</v>
      </c>
      <c r="BP90" s="251">
        <f t="shared" ca="1" si="845"/>
        <v>0</v>
      </c>
      <c r="BQ90" s="251">
        <f t="shared" ca="1" si="845"/>
        <v>0</v>
      </c>
      <c r="BR90" s="251">
        <f t="shared" ca="1" si="845"/>
        <v>0</v>
      </c>
      <c r="BS90" s="251">
        <f t="shared" ca="1" si="845"/>
        <v>0</v>
      </c>
      <c r="BT90" s="251">
        <f t="shared" ca="1" si="845"/>
        <v>0</v>
      </c>
      <c r="BU90" s="251">
        <f t="shared" ca="1" si="845"/>
        <v>0</v>
      </c>
      <c r="BV90" s="251">
        <f t="shared" ca="1" si="845"/>
        <v>0</v>
      </c>
      <c r="BW90" s="251">
        <f t="shared" ca="1" si="845"/>
        <v>0</v>
      </c>
      <c r="BX90" s="251">
        <f t="shared" ca="1" si="845"/>
        <v>0</v>
      </c>
      <c r="BY90" s="251">
        <f t="shared" ca="1" si="845"/>
        <v>0</v>
      </c>
      <c r="BZ90" s="251">
        <f t="shared" ca="1" si="845"/>
        <v>0</v>
      </c>
      <c r="CA90" s="251">
        <f t="shared" ref="CA90:EL90" ca="1" si="846">SUM(CA88:CA89)</f>
        <v>0</v>
      </c>
      <c r="CB90" s="251">
        <f t="shared" ca="1" si="846"/>
        <v>0</v>
      </c>
      <c r="CC90" s="251">
        <f t="shared" ca="1" si="846"/>
        <v>0</v>
      </c>
      <c r="CD90" s="251">
        <f t="shared" ca="1" si="846"/>
        <v>0</v>
      </c>
      <c r="CE90" s="251">
        <f t="shared" ca="1" si="846"/>
        <v>0</v>
      </c>
      <c r="CF90" s="251">
        <f t="shared" ca="1" si="846"/>
        <v>0</v>
      </c>
      <c r="CG90" s="251">
        <f t="shared" ca="1" si="846"/>
        <v>0</v>
      </c>
      <c r="CH90" s="251">
        <f t="shared" ca="1" si="846"/>
        <v>0</v>
      </c>
      <c r="CI90" s="251">
        <f t="shared" ca="1" si="846"/>
        <v>0</v>
      </c>
      <c r="CJ90" s="251">
        <f t="shared" ca="1" si="846"/>
        <v>0</v>
      </c>
      <c r="CK90" s="251">
        <f t="shared" ca="1" si="846"/>
        <v>0</v>
      </c>
      <c r="CL90" s="251">
        <f t="shared" ca="1" si="846"/>
        <v>0</v>
      </c>
      <c r="CM90" s="251">
        <f t="shared" ca="1" si="846"/>
        <v>0</v>
      </c>
      <c r="CN90" s="251">
        <f t="shared" ca="1" si="846"/>
        <v>0</v>
      </c>
      <c r="CO90" s="251">
        <f t="shared" ca="1" si="846"/>
        <v>0</v>
      </c>
      <c r="CP90" s="251">
        <f t="shared" ca="1" si="846"/>
        <v>0</v>
      </c>
      <c r="CQ90" s="251">
        <f t="shared" ca="1" si="846"/>
        <v>0</v>
      </c>
      <c r="CR90" s="251">
        <f t="shared" ca="1" si="846"/>
        <v>0</v>
      </c>
      <c r="CS90" s="251">
        <f t="shared" ca="1" si="846"/>
        <v>0</v>
      </c>
      <c r="CT90" s="251">
        <f t="shared" ca="1" si="846"/>
        <v>0</v>
      </c>
      <c r="CU90" s="251">
        <f t="shared" ca="1" si="846"/>
        <v>0</v>
      </c>
      <c r="CV90" s="251">
        <f t="shared" ca="1" si="846"/>
        <v>0</v>
      </c>
      <c r="CW90" s="251">
        <f t="shared" ca="1" si="846"/>
        <v>0</v>
      </c>
      <c r="CX90" s="251">
        <f t="shared" ca="1" si="846"/>
        <v>0</v>
      </c>
      <c r="CY90" s="251">
        <f t="shared" ca="1" si="846"/>
        <v>0</v>
      </c>
      <c r="CZ90" s="251">
        <f t="shared" ca="1" si="846"/>
        <v>0</v>
      </c>
      <c r="DA90" s="251">
        <f t="shared" ca="1" si="846"/>
        <v>0</v>
      </c>
      <c r="DB90" s="251">
        <f t="shared" ca="1" si="846"/>
        <v>0</v>
      </c>
      <c r="DC90" s="251">
        <f t="shared" ca="1" si="846"/>
        <v>0</v>
      </c>
      <c r="DD90" s="251">
        <f t="shared" ca="1" si="846"/>
        <v>0</v>
      </c>
      <c r="DE90" s="251">
        <f t="shared" ca="1" si="846"/>
        <v>0</v>
      </c>
      <c r="DF90" s="251">
        <f t="shared" ca="1" si="846"/>
        <v>0</v>
      </c>
      <c r="DG90" s="251">
        <f t="shared" ca="1" si="846"/>
        <v>0</v>
      </c>
      <c r="DH90" s="251">
        <f t="shared" ca="1" si="846"/>
        <v>0</v>
      </c>
      <c r="DI90" s="251">
        <f t="shared" ca="1" si="846"/>
        <v>0</v>
      </c>
      <c r="DJ90" s="251">
        <f t="shared" ca="1" si="846"/>
        <v>0</v>
      </c>
      <c r="DK90" s="251">
        <f t="shared" ca="1" si="846"/>
        <v>0</v>
      </c>
      <c r="DL90" s="251">
        <f t="shared" ca="1" si="846"/>
        <v>0</v>
      </c>
      <c r="DM90" s="251">
        <f t="shared" ca="1" si="846"/>
        <v>0</v>
      </c>
      <c r="DN90" s="251">
        <f t="shared" ca="1" si="846"/>
        <v>0</v>
      </c>
      <c r="DO90" s="251">
        <f t="shared" ca="1" si="846"/>
        <v>0</v>
      </c>
      <c r="DP90" s="251">
        <f t="shared" ca="1" si="846"/>
        <v>0</v>
      </c>
      <c r="DQ90" s="251">
        <f t="shared" ca="1" si="846"/>
        <v>0</v>
      </c>
      <c r="DR90" s="251">
        <f t="shared" ca="1" si="846"/>
        <v>0</v>
      </c>
      <c r="DS90" s="251">
        <f t="shared" ca="1" si="846"/>
        <v>0</v>
      </c>
      <c r="DT90" s="251">
        <f t="shared" ca="1" si="846"/>
        <v>0</v>
      </c>
      <c r="DU90" s="251">
        <f t="shared" ca="1" si="846"/>
        <v>0</v>
      </c>
      <c r="DV90" s="251">
        <f t="shared" ca="1" si="846"/>
        <v>0</v>
      </c>
      <c r="DW90" s="251">
        <f t="shared" ca="1" si="846"/>
        <v>0</v>
      </c>
      <c r="DX90" s="251">
        <f t="shared" ca="1" si="846"/>
        <v>0</v>
      </c>
      <c r="DY90" s="251">
        <f t="shared" ca="1" si="846"/>
        <v>0</v>
      </c>
      <c r="DZ90" s="251">
        <f t="shared" ca="1" si="846"/>
        <v>0</v>
      </c>
      <c r="EA90" s="251">
        <f t="shared" ca="1" si="846"/>
        <v>0</v>
      </c>
      <c r="EB90" s="251">
        <f t="shared" ca="1" si="846"/>
        <v>0</v>
      </c>
      <c r="EC90" s="251">
        <f t="shared" ca="1" si="846"/>
        <v>0</v>
      </c>
      <c r="ED90" s="251">
        <f t="shared" ca="1" si="846"/>
        <v>0</v>
      </c>
      <c r="EE90" s="251">
        <f t="shared" ca="1" si="846"/>
        <v>0</v>
      </c>
      <c r="EF90" s="251">
        <f t="shared" ca="1" si="846"/>
        <v>0</v>
      </c>
      <c r="EG90" s="251">
        <f t="shared" ca="1" si="846"/>
        <v>0</v>
      </c>
      <c r="EH90" s="251">
        <f t="shared" ca="1" si="846"/>
        <v>0</v>
      </c>
      <c r="EI90" s="251">
        <f t="shared" ca="1" si="846"/>
        <v>0</v>
      </c>
      <c r="EJ90" s="251">
        <f t="shared" ca="1" si="846"/>
        <v>0</v>
      </c>
      <c r="EK90" s="251">
        <f t="shared" ca="1" si="846"/>
        <v>0</v>
      </c>
      <c r="EL90" s="251">
        <f t="shared" ca="1" si="846"/>
        <v>0</v>
      </c>
      <c r="EM90" s="251">
        <f t="shared" ref="EM90:ET90" ca="1" si="847">SUM(EM88:EM89)</f>
        <v>0</v>
      </c>
      <c r="EN90" s="251">
        <f t="shared" ca="1" si="847"/>
        <v>0</v>
      </c>
      <c r="EO90" s="251">
        <f t="shared" ca="1" si="847"/>
        <v>0</v>
      </c>
      <c r="EP90" s="251">
        <f t="shared" ca="1" si="847"/>
        <v>0</v>
      </c>
      <c r="EQ90" s="251">
        <f t="shared" ca="1" si="847"/>
        <v>0</v>
      </c>
      <c r="ER90" s="251">
        <f t="shared" ca="1" si="847"/>
        <v>0</v>
      </c>
      <c r="ES90" s="251">
        <f t="shared" ca="1" si="847"/>
        <v>0</v>
      </c>
      <c r="ET90" s="251">
        <f t="shared" ca="1" si="847"/>
        <v>0</v>
      </c>
    </row>
    <row r="91" spans="2:150" x14ac:dyDescent="0.2"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</row>
    <row r="92" spans="2:150" x14ac:dyDescent="0.2">
      <c r="B92" s="83" t="s">
        <v>277</v>
      </c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</row>
    <row r="93" spans="2:150" x14ac:dyDescent="0.2">
      <c r="B93" t="s">
        <v>167</v>
      </c>
      <c r="F93" s="242">
        <f>E96</f>
        <v>0</v>
      </c>
      <c r="G93" s="242">
        <f t="shared" ref="G93:R93" si="848">F96</f>
        <v>0</v>
      </c>
      <c r="H93" s="242">
        <f t="shared" si="848"/>
        <v>0</v>
      </c>
      <c r="I93" s="242">
        <f t="shared" si="848"/>
        <v>0</v>
      </c>
      <c r="J93" s="242">
        <f t="shared" si="848"/>
        <v>0</v>
      </c>
      <c r="K93" s="242">
        <f t="shared" si="848"/>
        <v>0</v>
      </c>
      <c r="L93" s="242">
        <f t="shared" si="848"/>
        <v>0</v>
      </c>
      <c r="M93" s="242">
        <f t="shared" si="848"/>
        <v>0</v>
      </c>
      <c r="N93" s="242">
        <f t="shared" si="848"/>
        <v>0</v>
      </c>
      <c r="O93" s="242">
        <f t="shared" si="848"/>
        <v>0</v>
      </c>
      <c r="P93" s="242">
        <f t="shared" si="848"/>
        <v>0</v>
      </c>
      <c r="Q93" s="242">
        <f t="shared" si="848"/>
        <v>0</v>
      </c>
      <c r="R93" s="242">
        <f t="shared" si="848"/>
        <v>0</v>
      </c>
      <c r="S93" s="242">
        <f t="shared" ref="S93:BZ93" ca="1" si="849">R96</f>
        <v>0</v>
      </c>
      <c r="T93" s="242">
        <f t="shared" ca="1" si="849"/>
        <v>0</v>
      </c>
      <c r="U93" s="242">
        <f t="shared" ca="1" si="849"/>
        <v>0</v>
      </c>
      <c r="V93" s="242">
        <f t="shared" ca="1" si="849"/>
        <v>0</v>
      </c>
      <c r="W93" s="242">
        <f t="shared" ca="1" si="849"/>
        <v>0</v>
      </c>
      <c r="X93" s="242">
        <f t="shared" ca="1" si="849"/>
        <v>0</v>
      </c>
      <c r="Y93" s="242">
        <f t="shared" ca="1" si="849"/>
        <v>0</v>
      </c>
      <c r="Z93" s="242">
        <f t="shared" ca="1" si="849"/>
        <v>0</v>
      </c>
      <c r="AA93" s="242">
        <f t="shared" ca="1" si="849"/>
        <v>0</v>
      </c>
      <c r="AB93" s="242">
        <f t="shared" ca="1" si="849"/>
        <v>0</v>
      </c>
      <c r="AC93" s="242">
        <f t="shared" ca="1" si="849"/>
        <v>0</v>
      </c>
      <c r="AD93" s="242">
        <f t="shared" ca="1" si="849"/>
        <v>0</v>
      </c>
      <c r="AE93" s="242">
        <f t="shared" ca="1" si="849"/>
        <v>0</v>
      </c>
      <c r="AF93" s="242">
        <f t="shared" ca="1" si="849"/>
        <v>0</v>
      </c>
      <c r="AG93" s="242">
        <f t="shared" ca="1" si="849"/>
        <v>0</v>
      </c>
      <c r="AH93" s="242">
        <f t="shared" ca="1" si="849"/>
        <v>0</v>
      </c>
      <c r="AI93" s="242">
        <f t="shared" ca="1" si="849"/>
        <v>0</v>
      </c>
      <c r="AJ93" s="242">
        <f t="shared" ca="1" si="849"/>
        <v>0</v>
      </c>
      <c r="AK93" s="242">
        <f t="shared" ca="1" si="849"/>
        <v>0</v>
      </c>
      <c r="AL93" s="242">
        <f t="shared" ca="1" si="849"/>
        <v>0</v>
      </c>
      <c r="AM93" s="242">
        <f t="shared" ca="1" si="849"/>
        <v>0</v>
      </c>
      <c r="AN93" s="242">
        <f t="shared" ca="1" si="849"/>
        <v>0</v>
      </c>
      <c r="AO93" s="242">
        <f t="shared" ca="1" si="849"/>
        <v>0</v>
      </c>
      <c r="AP93" s="242">
        <f t="shared" ca="1" si="849"/>
        <v>0</v>
      </c>
      <c r="AQ93" s="242">
        <f t="shared" ca="1" si="849"/>
        <v>0</v>
      </c>
      <c r="AR93" s="242">
        <f t="shared" ca="1" si="849"/>
        <v>0</v>
      </c>
      <c r="AS93" s="242">
        <f t="shared" ca="1" si="849"/>
        <v>0</v>
      </c>
      <c r="AT93" s="242">
        <f t="shared" ca="1" si="849"/>
        <v>0</v>
      </c>
      <c r="AU93" s="242">
        <f t="shared" ca="1" si="849"/>
        <v>0</v>
      </c>
      <c r="AV93" s="242">
        <f t="shared" ca="1" si="849"/>
        <v>0</v>
      </c>
      <c r="AW93" s="242">
        <f t="shared" ca="1" si="849"/>
        <v>0</v>
      </c>
      <c r="AX93" s="242">
        <f t="shared" ca="1" si="849"/>
        <v>0</v>
      </c>
      <c r="AY93" s="242">
        <f t="shared" ca="1" si="849"/>
        <v>0</v>
      </c>
      <c r="AZ93" s="242">
        <f t="shared" ca="1" si="849"/>
        <v>0</v>
      </c>
      <c r="BA93" s="242">
        <f t="shared" ca="1" si="849"/>
        <v>0</v>
      </c>
      <c r="BB93" s="242">
        <f t="shared" ca="1" si="849"/>
        <v>0</v>
      </c>
      <c r="BC93" s="242">
        <f t="shared" ca="1" si="849"/>
        <v>0</v>
      </c>
      <c r="BD93" s="242">
        <f t="shared" ca="1" si="849"/>
        <v>0</v>
      </c>
      <c r="BE93" s="242">
        <f t="shared" ca="1" si="849"/>
        <v>0</v>
      </c>
      <c r="BF93" s="242">
        <f t="shared" ca="1" si="849"/>
        <v>0</v>
      </c>
      <c r="BG93" s="242">
        <f t="shared" ca="1" si="849"/>
        <v>0</v>
      </c>
      <c r="BH93" s="242">
        <f t="shared" ca="1" si="849"/>
        <v>0</v>
      </c>
      <c r="BI93" s="242">
        <f t="shared" ca="1" si="849"/>
        <v>0</v>
      </c>
      <c r="BJ93" s="242">
        <f t="shared" ca="1" si="849"/>
        <v>0</v>
      </c>
      <c r="BK93" s="242">
        <f t="shared" ca="1" si="849"/>
        <v>0</v>
      </c>
      <c r="BL93" s="242">
        <f t="shared" ca="1" si="849"/>
        <v>0</v>
      </c>
      <c r="BM93" s="242">
        <f t="shared" ca="1" si="849"/>
        <v>0</v>
      </c>
      <c r="BN93" s="242">
        <f t="shared" ca="1" si="849"/>
        <v>0</v>
      </c>
      <c r="BO93" s="242">
        <f t="shared" ca="1" si="849"/>
        <v>0</v>
      </c>
      <c r="BP93" s="242">
        <f t="shared" ca="1" si="849"/>
        <v>0</v>
      </c>
      <c r="BQ93" s="242">
        <f t="shared" ca="1" si="849"/>
        <v>0</v>
      </c>
      <c r="BR93" s="242">
        <f t="shared" ca="1" si="849"/>
        <v>0</v>
      </c>
      <c r="BS93" s="242">
        <f t="shared" ca="1" si="849"/>
        <v>0</v>
      </c>
      <c r="BT93" s="242">
        <f t="shared" ca="1" si="849"/>
        <v>0</v>
      </c>
      <c r="BU93" s="242">
        <f t="shared" ca="1" si="849"/>
        <v>0</v>
      </c>
      <c r="BV93" s="242">
        <f t="shared" ca="1" si="849"/>
        <v>0</v>
      </c>
      <c r="BW93" s="242">
        <f t="shared" ca="1" si="849"/>
        <v>0</v>
      </c>
      <c r="BX93" s="242">
        <f t="shared" ca="1" si="849"/>
        <v>0</v>
      </c>
      <c r="BY93" s="242">
        <f t="shared" ca="1" si="849"/>
        <v>0</v>
      </c>
      <c r="BZ93" s="242">
        <f t="shared" ca="1" si="849"/>
        <v>0</v>
      </c>
      <c r="CA93" s="242">
        <f t="shared" ref="CA93" ca="1" si="850">BZ96</f>
        <v>0</v>
      </c>
      <c r="CB93" s="242">
        <f t="shared" ref="CB93" ca="1" si="851">CA96</f>
        <v>0</v>
      </c>
      <c r="CC93" s="242">
        <f t="shared" ref="CC93" ca="1" si="852">CB96</f>
        <v>0</v>
      </c>
      <c r="CD93" s="242">
        <f t="shared" ref="CD93" ca="1" si="853">CC96</f>
        <v>0</v>
      </c>
      <c r="CE93" s="242">
        <f t="shared" ref="CE93" ca="1" si="854">CD96</f>
        <v>0</v>
      </c>
      <c r="CF93" s="242">
        <f t="shared" ref="CF93" ca="1" si="855">CE96</f>
        <v>0</v>
      </c>
      <c r="CG93" s="242">
        <f t="shared" ref="CG93" ca="1" si="856">CF96</f>
        <v>0</v>
      </c>
      <c r="CH93" s="242">
        <f t="shared" ref="CH93" ca="1" si="857">CG96</f>
        <v>0</v>
      </c>
      <c r="CI93" s="242">
        <f t="shared" ref="CI93" ca="1" si="858">CH96</f>
        <v>0</v>
      </c>
      <c r="CJ93" s="242">
        <f t="shared" ref="CJ93" ca="1" si="859">CI96</f>
        <v>0</v>
      </c>
      <c r="CK93" s="242">
        <f t="shared" ref="CK93" ca="1" si="860">CJ96</f>
        <v>0</v>
      </c>
      <c r="CL93" s="242">
        <f t="shared" ref="CL93" ca="1" si="861">CK96</f>
        <v>0</v>
      </c>
      <c r="CM93" s="242">
        <f t="shared" ref="CM93" ca="1" si="862">CL96</f>
        <v>0</v>
      </c>
      <c r="CN93" s="242">
        <f t="shared" ref="CN93" ca="1" si="863">CM96</f>
        <v>0</v>
      </c>
      <c r="CO93" s="242">
        <f t="shared" ref="CO93" ca="1" si="864">CN96</f>
        <v>0</v>
      </c>
      <c r="CP93" s="242">
        <f t="shared" ref="CP93" ca="1" si="865">CO96</f>
        <v>0</v>
      </c>
      <c r="CQ93" s="242">
        <f t="shared" ref="CQ93" ca="1" si="866">CP96</f>
        <v>0</v>
      </c>
      <c r="CR93" s="242">
        <f t="shared" ref="CR93" ca="1" si="867">CQ96</f>
        <v>0</v>
      </c>
      <c r="CS93" s="242">
        <f t="shared" ref="CS93" ca="1" si="868">CR96</f>
        <v>0</v>
      </c>
      <c r="CT93" s="242">
        <f t="shared" ref="CT93" ca="1" si="869">CS96</f>
        <v>0</v>
      </c>
      <c r="CU93" s="242">
        <f t="shared" ref="CU93" ca="1" si="870">CT96</f>
        <v>0</v>
      </c>
      <c r="CV93" s="242">
        <f t="shared" ref="CV93" ca="1" si="871">CU96</f>
        <v>0</v>
      </c>
      <c r="CW93" s="242">
        <f t="shared" ref="CW93" ca="1" si="872">CV96</f>
        <v>0</v>
      </c>
      <c r="CX93" s="242">
        <f t="shared" ref="CX93" ca="1" si="873">CW96</f>
        <v>0</v>
      </c>
      <c r="CY93" s="242">
        <f t="shared" ref="CY93" ca="1" si="874">CX96</f>
        <v>0</v>
      </c>
      <c r="CZ93" s="242">
        <f t="shared" ref="CZ93" ca="1" si="875">CY96</f>
        <v>0</v>
      </c>
      <c r="DA93" s="242">
        <f t="shared" ref="DA93" ca="1" si="876">CZ96</f>
        <v>0</v>
      </c>
      <c r="DB93" s="242">
        <f t="shared" ref="DB93" ca="1" si="877">DA96</f>
        <v>0</v>
      </c>
      <c r="DC93" s="242">
        <f t="shared" ref="DC93" ca="1" si="878">DB96</f>
        <v>0</v>
      </c>
      <c r="DD93" s="242">
        <f t="shared" ref="DD93" ca="1" si="879">DC96</f>
        <v>0</v>
      </c>
      <c r="DE93" s="242">
        <f t="shared" ref="DE93" ca="1" si="880">DD96</f>
        <v>0</v>
      </c>
      <c r="DF93" s="242">
        <f t="shared" ref="DF93" ca="1" si="881">DE96</f>
        <v>0</v>
      </c>
      <c r="DG93" s="242">
        <f t="shared" ref="DG93" ca="1" si="882">DF96</f>
        <v>0</v>
      </c>
      <c r="DH93" s="242">
        <f t="shared" ref="DH93" ca="1" si="883">DG96</f>
        <v>0</v>
      </c>
      <c r="DI93" s="242">
        <f t="shared" ref="DI93" ca="1" si="884">DH96</f>
        <v>0</v>
      </c>
      <c r="DJ93" s="242">
        <f t="shared" ref="DJ93" ca="1" si="885">DI96</f>
        <v>0</v>
      </c>
      <c r="DK93" s="242">
        <f t="shared" ref="DK93" ca="1" si="886">DJ96</f>
        <v>0</v>
      </c>
      <c r="DL93" s="242">
        <f t="shared" ref="DL93" ca="1" si="887">DK96</f>
        <v>0</v>
      </c>
      <c r="DM93" s="242">
        <f t="shared" ref="DM93" ca="1" si="888">DL96</f>
        <v>0</v>
      </c>
      <c r="DN93" s="242">
        <f t="shared" ref="DN93" ca="1" si="889">DM96</f>
        <v>0</v>
      </c>
      <c r="DO93" s="242">
        <f t="shared" ref="DO93" ca="1" si="890">DN96</f>
        <v>0</v>
      </c>
      <c r="DP93" s="242">
        <f t="shared" ref="DP93" ca="1" si="891">DO96</f>
        <v>0</v>
      </c>
      <c r="DQ93" s="242">
        <f t="shared" ref="DQ93" ca="1" si="892">DP96</f>
        <v>0</v>
      </c>
      <c r="DR93" s="242">
        <f t="shared" ref="DR93" ca="1" si="893">DQ96</f>
        <v>0</v>
      </c>
      <c r="DS93" s="242">
        <f t="shared" ref="DS93" ca="1" si="894">DR96</f>
        <v>0</v>
      </c>
      <c r="DT93" s="242">
        <f t="shared" ref="DT93" ca="1" si="895">DS96</f>
        <v>0</v>
      </c>
      <c r="DU93" s="242">
        <f t="shared" ref="DU93" ca="1" si="896">DT96</f>
        <v>0</v>
      </c>
      <c r="DV93" s="242">
        <f t="shared" ref="DV93" ca="1" si="897">DU96</f>
        <v>0</v>
      </c>
      <c r="DW93" s="242">
        <f t="shared" ref="DW93" ca="1" si="898">DV96</f>
        <v>0</v>
      </c>
      <c r="DX93" s="242">
        <f t="shared" ref="DX93" ca="1" si="899">DW96</f>
        <v>0</v>
      </c>
      <c r="DY93" s="242">
        <f t="shared" ref="DY93" ca="1" si="900">DX96</f>
        <v>0</v>
      </c>
      <c r="DZ93" s="242">
        <f t="shared" ref="DZ93" ca="1" si="901">DY96</f>
        <v>0</v>
      </c>
      <c r="EA93" s="242">
        <f t="shared" ref="EA93" ca="1" si="902">DZ96</f>
        <v>0</v>
      </c>
      <c r="EB93" s="242">
        <f t="shared" ref="EB93" ca="1" si="903">EA96</f>
        <v>0</v>
      </c>
      <c r="EC93" s="242">
        <f t="shared" ref="EC93" ca="1" si="904">EB96</f>
        <v>0</v>
      </c>
      <c r="ED93" s="242">
        <f t="shared" ref="ED93" ca="1" si="905">EC96</f>
        <v>0</v>
      </c>
      <c r="EE93" s="242">
        <f t="shared" ref="EE93" ca="1" si="906">ED96</f>
        <v>0</v>
      </c>
      <c r="EF93" s="242">
        <f t="shared" ref="EF93" ca="1" si="907">EE96</f>
        <v>0</v>
      </c>
      <c r="EG93" s="242">
        <f t="shared" ref="EG93" ca="1" si="908">EF96</f>
        <v>0</v>
      </c>
      <c r="EH93" s="242">
        <f t="shared" ref="EH93" ca="1" si="909">EG96</f>
        <v>0</v>
      </c>
      <c r="EI93" s="242">
        <f t="shared" ref="EI93" ca="1" si="910">EH96</f>
        <v>0</v>
      </c>
      <c r="EJ93" s="242">
        <f t="shared" ref="EJ93" ca="1" si="911">EI96</f>
        <v>0</v>
      </c>
      <c r="EK93" s="242">
        <f t="shared" ref="EK93" ca="1" si="912">EJ96</f>
        <v>0</v>
      </c>
      <c r="EL93" s="242">
        <f t="shared" ref="EL93" ca="1" si="913">EK96</f>
        <v>0</v>
      </c>
      <c r="EM93" s="242">
        <f t="shared" ref="EM93" ca="1" si="914">EL96</f>
        <v>0</v>
      </c>
      <c r="EN93" s="242">
        <f t="shared" ref="EN93" ca="1" si="915">EM96</f>
        <v>0</v>
      </c>
      <c r="EO93" s="242">
        <f t="shared" ref="EO93" ca="1" si="916">EN96</f>
        <v>0</v>
      </c>
      <c r="EP93" s="242">
        <f t="shared" ref="EP93" ca="1" si="917">EO96</f>
        <v>0</v>
      </c>
      <c r="EQ93" s="242">
        <f t="shared" ref="EQ93" ca="1" si="918">EP96</f>
        <v>0</v>
      </c>
      <c r="ER93" s="242">
        <f t="shared" ref="ER93" ca="1" si="919">EQ96</f>
        <v>0</v>
      </c>
      <c r="ES93" s="242">
        <f t="shared" ref="ES93" ca="1" si="920">ER96</f>
        <v>0</v>
      </c>
      <c r="ET93" s="242">
        <f t="shared" ref="ET93" ca="1" si="921">ES96</f>
        <v>0</v>
      </c>
    </row>
    <row r="94" spans="2:150" x14ac:dyDescent="0.2">
      <c r="B94" t="s">
        <v>170</v>
      </c>
      <c r="F94" s="242">
        <f>IF(F$6=Assumptions!$P$18,Assumptions!$Q$17,0)</f>
        <v>0</v>
      </c>
      <c r="G94" s="242">
        <f>IF(G$6=Assumptions!$P$18,Assumptions!$Q$17,0)</f>
        <v>0</v>
      </c>
      <c r="H94" s="242">
        <f>IF(H$6=Assumptions!$P$18,Assumptions!$Q$17,0)</f>
        <v>0</v>
      </c>
      <c r="I94" s="242">
        <f>IF(I$6=Assumptions!$P$18,Assumptions!$Q$17,0)</f>
        <v>0</v>
      </c>
      <c r="J94" s="242">
        <f>IF(J$6=Assumptions!$P$18,Assumptions!$Q$17,0)</f>
        <v>0</v>
      </c>
      <c r="K94" s="242">
        <f>IF(K$6=Assumptions!$P$18,Assumptions!$Q$17,0)</f>
        <v>0</v>
      </c>
      <c r="L94" s="242">
        <f>IF(L$6=Assumptions!$P$18,Assumptions!$Q$17,0)</f>
        <v>0</v>
      </c>
      <c r="M94" s="242">
        <f>IF(M$6=Assumptions!$P$18,Assumptions!$Q$17,0)</f>
        <v>0</v>
      </c>
      <c r="N94" s="242">
        <f>IF(N$6=Assumptions!$P$18,Assumptions!$Q$17,0)</f>
        <v>0</v>
      </c>
      <c r="O94" s="242">
        <f>IF(O$6=Assumptions!$P$18,Assumptions!$Q$17,0)</f>
        <v>0</v>
      </c>
      <c r="P94" s="242">
        <f>IF(P$6=Assumptions!$P$18,Assumptions!$Q$17,0)</f>
        <v>0</v>
      </c>
      <c r="Q94" s="242">
        <f>IF(Q$6=Assumptions!$P$18,Assumptions!$Q$17,0)</f>
        <v>0</v>
      </c>
      <c r="R94" s="242">
        <f ca="1">IF(R$6=Assumptions!$P$18,Assumptions!$Q$17,0)</f>
        <v>0</v>
      </c>
      <c r="S94" s="242">
        <f>IF(S$6=Assumptions!$P$18,Assumptions!$Q$17,0)</f>
        <v>0</v>
      </c>
      <c r="T94" s="242">
        <f>IF(T$6=Assumptions!$P$18,Assumptions!$Q$17,0)</f>
        <v>0</v>
      </c>
      <c r="U94" s="242">
        <f>IF(U$6=Assumptions!$P$18,Assumptions!$Q$17,0)</f>
        <v>0</v>
      </c>
      <c r="V94" s="242">
        <f>IF(V$6=Assumptions!$P$18,Assumptions!$Q$17,0)</f>
        <v>0</v>
      </c>
      <c r="W94" s="242">
        <f>IF(W$6=Assumptions!$P$18,Assumptions!$Q$17,0)</f>
        <v>0</v>
      </c>
      <c r="X94" s="242">
        <f>IF(X$6=Assumptions!$P$18,Assumptions!$Q$17,0)</f>
        <v>0</v>
      </c>
      <c r="Y94" s="242">
        <f>IF(Y$6=Assumptions!$P$18,Assumptions!$Q$17,0)</f>
        <v>0</v>
      </c>
      <c r="Z94" s="242">
        <f>IF(Z$6=Assumptions!$P$18,Assumptions!$Q$17,0)</f>
        <v>0</v>
      </c>
      <c r="AA94" s="242">
        <f>IF(AA$6=Assumptions!$P$18,Assumptions!$Q$17,0)</f>
        <v>0</v>
      </c>
      <c r="AB94" s="242">
        <f>IF(AB$6=Assumptions!$P$18,Assumptions!$Q$17,0)</f>
        <v>0</v>
      </c>
      <c r="AC94" s="242">
        <f>IF(AC$6=Assumptions!$P$18,Assumptions!$Q$17,0)</f>
        <v>0</v>
      </c>
      <c r="AD94" s="242">
        <f>IF(AD$6=Assumptions!$P$18,Assumptions!$Q$17,0)</f>
        <v>0</v>
      </c>
      <c r="AE94" s="242">
        <f>IF(AE$6=Assumptions!$P$18,Assumptions!$Q$17,0)</f>
        <v>0</v>
      </c>
      <c r="AF94" s="242">
        <f>IF(AF$6=Assumptions!$P$18,Assumptions!$Q$17,0)</f>
        <v>0</v>
      </c>
      <c r="AG94" s="242">
        <f>IF(AG$6=Assumptions!$P$18,Assumptions!$Q$17,0)</f>
        <v>0</v>
      </c>
      <c r="AH94" s="242">
        <f>IF(AH$6=Assumptions!$P$18,Assumptions!$Q$17,0)</f>
        <v>0</v>
      </c>
      <c r="AI94" s="242">
        <f>IF(AI$6=Assumptions!$P$18,Assumptions!$Q$17,0)</f>
        <v>0</v>
      </c>
      <c r="AJ94" s="242">
        <f>IF(AJ$6=Assumptions!$P$18,Assumptions!$Q$17,0)</f>
        <v>0</v>
      </c>
      <c r="AK94" s="242">
        <f>IF(AK$6=Assumptions!$P$18,Assumptions!$Q$17,0)</f>
        <v>0</v>
      </c>
      <c r="AL94" s="242">
        <f>IF(AL$6=Assumptions!$P$18,Assumptions!$Q$17,0)</f>
        <v>0</v>
      </c>
      <c r="AM94" s="242">
        <f>IF(AM$6=Assumptions!$P$18,Assumptions!$Q$17,0)</f>
        <v>0</v>
      </c>
      <c r="AN94" s="242">
        <f>IF(AN$6=Assumptions!$P$18,Assumptions!$Q$17,0)</f>
        <v>0</v>
      </c>
      <c r="AO94" s="242">
        <f>IF(AO$6=Assumptions!$P$18,Assumptions!$Q$17,0)</f>
        <v>0</v>
      </c>
      <c r="AP94" s="242">
        <f>IF(AP$6=Assumptions!$P$18,Assumptions!$Q$17,0)</f>
        <v>0</v>
      </c>
      <c r="AQ94" s="242">
        <f>IF(AQ$6=Assumptions!$P$18,Assumptions!$Q$17,0)</f>
        <v>0</v>
      </c>
      <c r="AR94" s="242">
        <f>IF(AR$6=Assumptions!$P$18,Assumptions!$Q$17,0)</f>
        <v>0</v>
      </c>
      <c r="AS94" s="242">
        <f>IF(AS$6=Assumptions!$P$18,Assumptions!$Q$17,0)</f>
        <v>0</v>
      </c>
      <c r="AT94" s="242">
        <f>IF(AT$6=Assumptions!$P$18,Assumptions!$Q$17,0)</f>
        <v>0</v>
      </c>
      <c r="AU94" s="242">
        <f>IF(AU$6=Assumptions!$P$18,Assumptions!$Q$17,0)</f>
        <v>0</v>
      </c>
      <c r="AV94" s="242">
        <f>IF(AV$6=Assumptions!$P$18,Assumptions!$Q$17,0)</f>
        <v>0</v>
      </c>
      <c r="AW94" s="242">
        <f>IF(AW$6=Assumptions!$P$18,Assumptions!$Q$17,0)</f>
        <v>0</v>
      </c>
      <c r="AX94" s="242">
        <f>IF(AX$6=Assumptions!$P$18,Assumptions!$Q$17,0)</f>
        <v>0</v>
      </c>
      <c r="AY94" s="242">
        <f>IF(AY$6=Assumptions!$P$18,Assumptions!$Q$17,0)</f>
        <v>0</v>
      </c>
      <c r="AZ94" s="242">
        <f>IF(AZ$6=Assumptions!$P$18,Assumptions!$Q$17,0)</f>
        <v>0</v>
      </c>
      <c r="BA94" s="242">
        <f>IF(BA$6=Assumptions!$P$18,Assumptions!$Q$17,0)</f>
        <v>0</v>
      </c>
      <c r="BB94" s="242">
        <f>IF(BB$6=Assumptions!$P$18,Assumptions!$Q$17,0)</f>
        <v>0</v>
      </c>
      <c r="BC94" s="242">
        <f>IF(BC$6=Assumptions!$P$18,Assumptions!$Q$17,0)</f>
        <v>0</v>
      </c>
      <c r="BD94" s="242">
        <f>IF(BD$6=Assumptions!$P$18,Assumptions!$Q$17,0)</f>
        <v>0</v>
      </c>
      <c r="BE94" s="242">
        <f>IF(BE$6=Assumptions!$P$18,Assumptions!$Q$17,0)</f>
        <v>0</v>
      </c>
      <c r="BF94" s="242">
        <f>IF(BF$6=Assumptions!$P$18,Assumptions!$Q$17,0)</f>
        <v>0</v>
      </c>
      <c r="BG94" s="242">
        <f>IF(BG$6=Assumptions!$P$18,Assumptions!$Q$17,0)</f>
        <v>0</v>
      </c>
      <c r="BH94" s="242">
        <f>IF(BH$6=Assumptions!$P$18,Assumptions!$Q$17,0)</f>
        <v>0</v>
      </c>
      <c r="BI94" s="242">
        <f>IF(BI$6=Assumptions!$P$18,Assumptions!$Q$17,0)</f>
        <v>0</v>
      </c>
      <c r="BJ94" s="242">
        <f>IF(BJ$6=Assumptions!$P$18,Assumptions!$Q$17,0)</f>
        <v>0</v>
      </c>
      <c r="BK94" s="242">
        <f>IF(BK$6=Assumptions!$P$18,Assumptions!$Q$17,0)</f>
        <v>0</v>
      </c>
      <c r="BL94" s="242">
        <f>IF(BL$6=Assumptions!$P$18,Assumptions!$Q$17,0)</f>
        <v>0</v>
      </c>
      <c r="BM94" s="242">
        <f>IF(BM$6=Assumptions!$P$18,Assumptions!$Q$17,0)</f>
        <v>0</v>
      </c>
      <c r="BN94" s="242">
        <f>IF(BN$6=Assumptions!$P$18,Assumptions!$Q$17,0)</f>
        <v>0</v>
      </c>
      <c r="BO94" s="242">
        <f>IF(BO$6=Assumptions!$P$18,Assumptions!$Q$17,0)</f>
        <v>0</v>
      </c>
      <c r="BP94" s="242">
        <f>IF(BP$6=Assumptions!$P$18,Assumptions!$Q$17,0)</f>
        <v>0</v>
      </c>
      <c r="BQ94" s="242">
        <f>IF(BQ$6=Assumptions!$P$18,Assumptions!$Q$17,0)</f>
        <v>0</v>
      </c>
      <c r="BR94" s="242">
        <f>IF(BR$6=Assumptions!$P$18,Assumptions!$Q$17,0)</f>
        <v>0</v>
      </c>
      <c r="BS94" s="242">
        <f>IF(BS$6=Assumptions!$P$18,Assumptions!$Q$17,0)</f>
        <v>0</v>
      </c>
      <c r="BT94" s="242">
        <f>IF(BT$6=Assumptions!$P$18,Assumptions!$Q$17,0)</f>
        <v>0</v>
      </c>
      <c r="BU94" s="242">
        <f>IF(BU$6=Assumptions!$P$18,Assumptions!$Q$17,0)</f>
        <v>0</v>
      </c>
      <c r="BV94" s="242">
        <f>IF(BV$6=Assumptions!$P$18,Assumptions!$Q$17,0)</f>
        <v>0</v>
      </c>
      <c r="BW94" s="242">
        <f>IF(BW$6=Assumptions!$P$18,Assumptions!$Q$17,0)</f>
        <v>0</v>
      </c>
      <c r="BX94" s="242">
        <f>IF(BX$6=Assumptions!$P$18,Assumptions!$Q$17,0)</f>
        <v>0</v>
      </c>
      <c r="BY94" s="242">
        <f>IF(BY$6=Assumptions!$P$18,Assumptions!$Q$17,0)</f>
        <v>0</v>
      </c>
      <c r="BZ94" s="242">
        <f>IF(BZ$6=Assumptions!$P$18,Assumptions!$Q$17,0)</f>
        <v>0</v>
      </c>
      <c r="CA94" s="242">
        <f>IF(CA$6=Assumptions!$P$18,Assumptions!$Q$17,0)</f>
        <v>0</v>
      </c>
      <c r="CB94" s="242">
        <f>IF(CB$6=Assumptions!$P$18,Assumptions!$Q$17,0)</f>
        <v>0</v>
      </c>
      <c r="CC94" s="242">
        <f>IF(CC$6=Assumptions!$P$18,Assumptions!$Q$17,0)</f>
        <v>0</v>
      </c>
      <c r="CD94" s="242">
        <f>IF(CD$6=Assumptions!$P$18,Assumptions!$Q$17,0)</f>
        <v>0</v>
      </c>
      <c r="CE94" s="242">
        <f>IF(CE$6=Assumptions!$P$18,Assumptions!$Q$17,0)</f>
        <v>0</v>
      </c>
      <c r="CF94" s="242">
        <f>IF(CF$6=Assumptions!$P$18,Assumptions!$Q$17,0)</f>
        <v>0</v>
      </c>
      <c r="CG94" s="242">
        <f>IF(CG$6=Assumptions!$P$18,Assumptions!$Q$17,0)</f>
        <v>0</v>
      </c>
      <c r="CH94" s="242">
        <f>IF(CH$6=Assumptions!$P$18,Assumptions!$Q$17,0)</f>
        <v>0</v>
      </c>
      <c r="CI94" s="242">
        <f>IF(CI$6=Assumptions!$P$18,Assumptions!$Q$17,0)</f>
        <v>0</v>
      </c>
      <c r="CJ94" s="242">
        <f>IF(CJ$6=Assumptions!$P$18,Assumptions!$Q$17,0)</f>
        <v>0</v>
      </c>
      <c r="CK94" s="242">
        <f>IF(CK$6=Assumptions!$P$18,Assumptions!$Q$17,0)</f>
        <v>0</v>
      </c>
      <c r="CL94" s="242">
        <f>IF(CL$6=Assumptions!$P$18,Assumptions!$Q$17,0)</f>
        <v>0</v>
      </c>
      <c r="CM94" s="242">
        <f>IF(CM$6=Assumptions!$P$18,Assumptions!$Q$17,0)</f>
        <v>0</v>
      </c>
      <c r="CN94" s="242">
        <f>IF(CN$6=Assumptions!$P$18,Assumptions!$Q$17,0)</f>
        <v>0</v>
      </c>
      <c r="CO94" s="242">
        <f>IF(CO$6=Assumptions!$P$18,Assumptions!$Q$17,0)</f>
        <v>0</v>
      </c>
      <c r="CP94" s="242">
        <f>IF(CP$6=Assumptions!$P$18,Assumptions!$Q$17,0)</f>
        <v>0</v>
      </c>
      <c r="CQ94" s="242">
        <f>IF(CQ$6=Assumptions!$P$18,Assumptions!$Q$17,0)</f>
        <v>0</v>
      </c>
      <c r="CR94" s="242">
        <f>IF(CR$6=Assumptions!$P$18,Assumptions!$Q$17,0)</f>
        <v>0</v>
      </c>
      <c r="CS94" s="242">
        <f>IF(CS$6=Assumptions!$P$18,Assumptions!$Q$17,0)</f>
        <v>0</v>
      </c>
      <c r="CT94" s="242">
        <f>IF(CT$6=Assumptions!$P$18,Assumptions!$Q$17,0)</f>
        <v>0</v>
      </c>
      <c r="CU94" s="242">
        <f>IF(CU$6=Assumptions!$P$18,Assumptions!$Q$17,0)</f>
        <v>0</v>
      </c>
      <c r="CV94" s="242">
        <f>IF(CV$6=Assumptions!$P$18,Assumptions!$Q$17,0)</f>
        <v>0</v>
      </c>
      <c r="CW94" s="242">
        <f>IF(CW$6=Assumptions!$P$18,Assumptions!$Q$17,0)</f>
        <v>0</v>
      </c>
      <c r="CX94" s="242">
        <f>IF(CX$6=Assumptions!$P$18,Assumptions!$Q$17,0)</f>
        <v>0</v>
      </c>
      <c r="CY94" s="242">
        <f>IF(CY$6=Assumptions!$P$18,Assumptions!$Q$17,0)</f>
        <v>0</v>
      </c>
      <c r="CZ94" s="242">
        <f>IF(CZ$6=Assumptions!$P$18,Assumptions!$Q$17,0)</f>
        <v>0</v>
      </c>
      <c r="DA94" s="242">
        <f>IF(DA$6=Assumptions!$P$18,Assumptions!$Q$17,0)</f>
        <v>0</v>
      </c>
      <c r="DB94" s="242">
        <f>IF(DB$6=Assumptions!$P$18,Assumptions!$Q$17,0)</f>
        <v>0</v>
      </c>
      <c r="DC94" s="242">
        <f>IF(DC$6=Assumptions!$P$18,Assumptions!$Q$17,0)</f>
        <v>0</v>
      </c>
      <c r="DD94" s="242">
        <f>IF(DD$6=Assumptions!$P$18,Assumptions!$Q$17,0)</f>
        <v>0</v>
      </c>
      <c r="DE94" s="242">
        <f>IF(DE$6=Assumptions!$P$18,Assumptions!$Q$17,0)</f>
        <v>0</v>
      </c>
      <c r="DF94" s="242">
        <f>IF(DF$6=Assumptions!$P$18,Assumptions!$Q$17,0)</f>
        <v>0</v>
      </c>
      <c r="DG94" s="242">
        <f>IF(DG$6=Assumptions!$P$18,Assumptions!$Q$17,0)</f>
        <v>0</v>
      </c>
      <c r="DH94" s="242">
        <f>IF(DH$6=Assumptions!$P$18,Assumptions!$Q$17,0)</f>
        <v>0</v>
      </c>
      <c r="DI94" s="242">
        <f>IF(DI$6=Assumptions!$P$18,Assumptions!$Q$17,0)</f>
        <v>0</v>
      </c>
      <c r="DJ94" s="242">
        <f>IF(DJ$6=Assumptions!$P$18,Assumptions!$Q$17,0)</f>
        <v>0</v>
      </c>
      <c r="DK94" s="242">
        <f>IF(DK$6=Assumptions!$P$18,Assumptions!$Q$17,0)</f>
        <v>0</v>
      </c>
      <c r="DL94" s="242">
        <f>IF(DL$6=Assumptions!$P$18,Assumptions!$Q$17,0)</f>
        <v>0</v>
      </c>
      <c r="DM94" s="242">
        <f>IF(DM$6=Assumptions!$P$18,Assumptions!$Q$17,0)</f>
        <v>0</v>
      </c>
      <c r="DN94" s="242">
        <f>IF(DN$6=Assumptions!$P$18,Assumptions!$Q$17,0)</f>
        <v>0</v>
      </c>
      <c r="DO94" s="242">
        <f>IF(DO$6=Assumptions!$P$18,Assumptions!$Q$17,0)</f>
        <v>0</v>
      </c>
      <c r="DP94" s="242">
        <f>IF(DP$6=Assumptions!$P$18,Assumptions!$Q$17,0)</f>
        <v>0</v>
      </c>
      <c r="DQ94" s="242">
        <f>IF(DQ$6=Assumptions!$P$18,Assumptions!$Q$17,0)</f>
        <v>0</v>
      </c>
      <c r="DR94" s="242">
        <f>IF(DR$6=Assumptions!$P$18,Assumptions!$Q$17,0)</f>
        <v>0</v>
      </c>
      <c r="DS94" s="242">
        <f>IF(DS$6=Assumptions!$P$18,Assumptions!$Q$17,0)</f>
        <v>0</v>
      </c>
      <c r="DT94" s="242">
        <f>IF(DT$6=Assumptions!$P$18,Assumptions!$Q$17,0)</f>
        <v>0</v>
      </c>
      <c r="DU94" s="242">
        <f>IF(DU$6=Assumptions!$P$18,Assumptions!$Q$17,0)</f>
        <v>0</v>
      </c>
      <c r="DV94" s="242">
        <f>IF(DV$6=Assumptions!$P$18,Assumptions!$Q$17,0)</f>
        <v>0</v>
      </c>
      <c r="DW94" s="242">
        <f>IF(DW$6=Assumptions!$P$18,Assumptions!$Q$17,0)</f>
        <v>0</v>
      </c>
      <c r="DX94" s="242">
        <f>IF(DX$6=Assumptions!$P$18,Assumptions!$Q$17,0)</f>
        <v>0</v>
      </c>
      <c r="DY94" s="242">
        <f>IF(DY$6=Assumptions!$P$18,Assumptions!$Q$17,0)</f>
        <v>0</v>
      </c>
      <c r="DZ94" s="242">
        <f>IF(DZ$6=Assumptions!$P$18,Assumptions!$Q$17,0)</f>
        <v>0</v>
      </c>
      <c r="EA94" s="242">
        <f>IF(EA$6=Assumptions!$P$18,Assumptions!$Q$17,0)</f>
        <v>0</v>
      </c>
      <c r="EB94" s="242">
        <f>IF(EB$6=Assumptions!$P$18,Assumptions!$Q$17,0)</f>
        <v>0</v>
      </c>
      <c r="EC94" s="242">
        <f>IF(EC$6=Assumptions!$P$18,Assumptions!$Q$17,0)</f>
        <v>0</v>
      </c>
      <c r="ED94" s="242">
        <f>IF(ED$6=Assumptions!$P$18,Assumptions!$Q$17,0)</f>
        <v>0</v>
      </c>
      <c r="EE94" s="242">
        <f>IF(EE$6=Assumptions!$P$18,Assumptions!$Q$17,0)</f>
        <v>0</v>
      </c>
      <c r="EF94" s="242">
        <f>IF(EF$6=Assumptions!$P$18,Assumptions!$Q$17,0)</f>
        <v>0</v>
      </c>
      <c r="EG94" s="242">
        <f>IF(EG$6=Assumptions!$P$18,Assumptions!$Q$17,0)</f>
        <v>0</v>
      </c>
      <c r="EH94" s="242">
        <f>IF(EH$6=Assumptions!$P$18,Assumptions!$Q$17,0)</f>
        <v>0</v>
      </c>
      <c r="EI94" s="242">
        <f>IF(EI$6=Assumptions!$P$18,Assumptions!$Q$17,0)</f>
        <v>0</v>
      </c>
      <c r="EJ94" s="242">
        <f>IF(EJ$6=Assumptions!$P$18,Assumptions!$Q$17,0)</f>
        <v>0</v>
      </c>
      <c r="EK94" s="242">
        <f>IF(EK$6=Assumptions!$P$18,Assumptions!$Q$17,0)</f>
        <v>0</v>
      </c>
      <c r="EL94" s="242">
        <f>IF(EL$6=Assumptions!$P$18,Assumptions!$Q$17,0)</f>
        <v>0</v>
      </c>
      <c r="EM94" s="242">
        <f>IF(EM$6=Assumptions!$P$18,Assumptions!$Q$17,0)</f>
        <v>0</v>
      </c>
      <c r="EN94" s="242">
        <f>IF(EN$6=Assumptions!$P$18,Assumptions!$Q$17,0)</f>
        <v>0</v>
      </c>
      <c r="EO94" s="242">
        <f>IF(EO$6=Assumptions!$P$18,Assumptions!$Q$17,0)</f>
        <v>0</v>
      </c>
      <c r="EP94" s="242">
        <f>IF(EP$6=Assumptions!$P$18,Assumptions!$Q$17,0)</f>
        <v>0</v>
      </c>
      <c r="EQ94" s="242">
        <f>IF(EQ$6=Assumptions!$P$18,Assumptions!$Q$17,0)</f>
        <v>0</v>
      </c>
      <c r="ER94" s="242">
        <f>IF(ER$6=Assumptions!$P$18,Assumptions!$Q$17,0)</f>
        <v>0</v>
      </c>
      <c r="ES94" s="242">
        <f>IF(ES$6=Assumptions!$P$18,Assumptions!$Q$17,0)</f>
        <v>0</v>
      </c>
      <c r="ET94" s="242">
        <f>IF(ET$6=Assumptions!$P$18,Assumptions!$Q$17,0)</f>
        <v>0</v>
      </c>
    </row>
    <row r="95" spans="2:150" x14ac:dyDescent="0.2">
      <c r="B95" t="s">
        <v>168</v>
      </c>
      <c r="F95" s="242">
        <f>IF(F6&lt;Assumptions!$P$18,0,-MIN(-F17+F89+F114,F93+F94))</f>
        <v>0</v>
      </c>
      <c r="G95" s="242">
        <f>IF(G6&lt;Assumptions!$P$18,0,-MIN(-G17+G89+G114,G93+G94))</f>
        <v>0</v>
      </c>
      <c r="H95" s="242">
        <f>IF(H6&lt;Assumptions!$P$18,0,-MIN(-H17+H89+H114,H93+H94))</f>
        <v>0</v>
      </c>
      <c r="I95" s="242">
        <f>IF(I6&lt;Assumptions!$P$18,0,-MIN(-I17+I89+I114,I93+I94))</f>
        <v>0</v>
      </c>
      <c r="J95" s="242">
        <f>IF(J6&lt;Assumptions!$P$18,0,-MIN(-J17+J89+J114,J93+J94))</f>
        <v>0</v>
      </c>
      <c r="K95" s="242">
        <f>IF(K6&lt;Assumptions!$P$18,0,-MIN(-K17+K89+K114,K93+K94))</f>
        <v>0</v>
      </c>
      <c r="L95" s="242">
        <f>IF(L6&lt;Assumptions!$P$18,0,-MIN(-L17+L89+L114,L93+L94))</f>
        <v>0</v>
      </c>
      <c r="M95" s="242">
        <f>IF(M6&lt;Assumptions!$P$18,0,-MIN(-M17+M89+M114,M93+M94))</f>
        <v>0</v>
      </c>
      <c r="N95" s="242">
        <f>IF(N6&lt;Assumptions!$P$18,0,-MIN(-N17+N89+N114,N93+N94))</f>
        <v>0</v>
      </c>
      <c r="O95" s="242">
        <f>IF(O6&lt;Assumptions!$P$18,0,-MIN(-O17+O89+O114,O93+O94))</f>
        <v>0</v>
      </c>
      <c r="P95" s="242">
        <f>IF(P6&lt;Assumptions!$P$18,0,-MIN(-P17+P89+P114,P93+P94))</f>
        <v>0</v>
      </c>
      <c r="Q95" s="242">
        <f>IF(Q6&lt;Assumptions!$P$18,0,-MIN(-Q17+Q89+Q114,Q93+Q94))</f>
        <v>0</v>
      </c>
      <c r="R95" s="242">
        <f ca="1">IF(R6&lt;Assumptions!$P$18,0,-MIN(-R17+R89+R114,R93+R94))</f>
        <v>0</v>
      </c>
      <c r="S95" s="242">
        <f ca="1">IF(S6&lt;Assumptions!$P$18,0,-MIN(-S17+S89+S114,S93+S94))</f>
        <v>0</v>
      </c>
      <c r="T95" s="242">
        <f ca="1">IF(T6&lt;Assumptions!$P$18,0,-MIN(-T17+T89+T114,T93+T94))</f>
        <v>0</v>
      </c>
      <c r="U95" s="242">
        <f ca="1">IF(U6&lt;Assumptions!$P$18,0,-MIN(-U17+U89+U114,U93+U94))</f>
        <v>0</v>
      </c>
      <c r="V95" s="242">
        <f ca="1">IF(V6&lt;Assumptions!$P$18,0,-MIN(-V17+V89+V114,V93+V94))</f>
        <v>0</v>
      </c>
      <c r="W95" s="242">
        <f ca="1">IF(W6&lt;Assumptions!$P$18,0,-MIN(-W17+W89+W114,W93+W94))</f>
        <v>0</v>
      </c>
      <c r="X95" s="242">
        <f ca="1">IF(X6&lt;Assumptions!$P$18,0,-MIN(-X17+X89+X114,X93+X94))</f>
        <v>0</v>
      </c>
      <c r="Y95" s="242">
        <f ca="1">IF(Y6&lt;Assumptions!$P$18,0,-MIN(-Y17+Y89+Y114,Y93+Y94))</f>
        <v>0</v>
      </c>
      <c r="Z95" s="242">
        <f ca="1">IF(Z6&lt;Assumptions!$P$18,0,-MIN(-Z17+Z89+Z114,Z93+Z94))</f>
        <v>0</v>
      </c>
      <c r="AA95" s="242">
        <f ca="1">IF(AA6&lt;Assumptions!$P$18,0,-MIN(-AA17+AA89+AA114,AA93+AA94))</f>
        <v>0</v>
      </c>
      <c r="AB95" s="242">
        <f ca="1">IF(AB6&lt;Assumptions!$P$18,0,-MIN(-AB17+AB89+AB114,AB93+AB94))</f>
        <v>0</v>
      </c>
      <c r="AC95" s="242">
        <f ca="1">IF(AC6&lt;Assumptions!$P$18,0,-MIN(-AC17+AC89+AC114,AC93+AC94))</f>
        <v>0</v>
      </c>
      <c r="AD95" s="242">
        <f ca="1">IF(AD6&lt;Assumptions!$P$18,0,-MIN(-AD17+AD89+AD114,AD93+AD94))</f>
        <v>0</v>
      </c>
      <c r="AE95" s="242">
        <f ca="1">IF(AE6&lt;Assumptions!$P$18,0,-MIN(-AE17+AE89+AE114,AE93+AE94))</f>
        <v>0</v>
      </c>
      <c r="AF95" s="242">
        <f ca="1">IF(AF6&lt;Assumptions!$P$18,0,-MIN(-AF17+AF89+AF114,AF93+AF94))</f>
        <v>0</v>
      </c>
      <c r="AG95" s="242">
        <f ca="1">IF(AG6&lt;Assumptions!$P$18,0,-MIN(-AG17+AG89+AG114,AG93+AG94))</f>
        <v>0</v>
      </c>
      <c r="AH95" s="242">
        <f ca="1">IF(AH6&lt;Assumptions!$P$18,0,-MIN(-AH17+AH89+AH114,AH93+AH94))</f>
        <v>0</v>
      </c>
      <c r="AI95" s="242">
        <f ca="1">IF(AI6&lt;Assumptions!$P$18,0,-MIN(-AI17+AI89+AI114,AI93+AI94))</f>
        <v>0</v>
      </c>
      <c r="AJ95" s="242">
        <f ca="1">IF(AJ6&lt;Assumptions!$P$18,0,-MIN(-AJ17+AJ89+AJ114,AJ93+AJ94))</f>
        <v>0</v>
      </c>
      <c r="AK95" s="242">
        <f ca="1">IF(AK6&lt;Assumptions!$P$18,0,-MIN(-AK17+AK89+AK114,AK93+AK94))</f>
        <v>0</v>
      </c>
      <c r="AL95" s="242">
        <f ca="1">IF(AL6&lt;Assumptions!$P$18,0,-MIN(-AL17+AL89+AL114,AL93+AL94))</f>
        <v>0</v>
      </c>
      <c r="AM95" s="242">
        <f ca="1">IF(AM6&lt;Assumptions!$P$18,0,-MIN(-AM17+AM89+AM114,AM93+AM94))</f>
        <v>0</v>
      </c>
      <c r="AN95" s="242">
        <f ca="1">IF(AN6&lt;Assumptions!$P$18,0,-MIN(-AN17+AN89+AN114,AN93+AN94))</f>
        <v>0</v>
      </c>
      <c r="AO95" s="242">
        <f ca="1">IF(AO6&lt;Assumptions!$P$18,0,-MIN(-AO17+AO89+AO114,AO93+AO94))</f>
        <v>0</v>
      </c>
      <c r="AP95" s="242">
        <f ca="1">IF(AP6&lt;Assumptions!$P$18,0,-MIN(-AP17+AP89+AP114,AP93+AP94))</f>
        <v>0</v>
      </c>
      <c r="AQ95" s="242">
        <f ca="1">IF(AQ6&lt;Assumptions!$P$18,0,-MIN(-AQ17+AQ89+AQ114,AQ93+AQ94))</f>
        <v>0</v>
      </c>
      <c r="AR95" s="242">
        <f ca="1">IF(AR6&lt;Assumptions!$P$18,0,-MIN(-AR17+AR89+AR114,AR93+AR94))</f>
        <v>0</v>
      </c>
      <c r="AS95" s="242">
        <f ca="1">IF(AS6&lt;Assumptions!$P$18,0,-MIN(-AS17+AS89+AS114,AS93+AS94))</f>
        <v>0</v>
      </c>
      <c r="AT95" s="242">
        <f ca="1">IF(AT6&lt;Assumptions!$P$18,0,-MIN(-AT17+AT89+AT114,AT93+AT94))</f>
        <v>0</v>
      </c>
      <c r="AU95" s="242">
        <f ca="1">IF(AU6&lt;Assumptions!$P$18,0,-MIN(-AU17+AU89+AU114,AU93+AU94))</f>
        <v>0</v>
      </c>
      <c r="AV95" s="242">
        <f ca="1">IF(AV6&lt;Assumptions!$P$18,0,-MIN(-AV17+AV89+AV114,AV93+AV94))</f>
        <v>0</v>
      </c>
      <c r="AW95" s="242">
        <f ca="1">IF(AW6&lt;Assumptions!$P$18,0,-MIN(-AW17+AW89+AW114,AW93+AW94))</f>
        <v>0</v>
      </c>
      <c r="AX95" s="242">
        <f ca="1">IF(AX6&lt;Assumptions!$P$18,0,-MIN(-AX17+AX89+AX114,AX93+AX94))</f>
        <v>0</v>
      </c>
      <c r="AY95" s="242">
        <f ca="1">IF(AY6&lt;Assumptions!$P$18,0,-MIN(-AY17+AY89+AY114,AY93+AY94))</f>
        <v>0</v>
      </c>
      <c r="AZ95" s="242">
        <f ca="1">IF(AZ6&lt;Assumptions!$P$18,0,-MIN(-AZ17+AZ89+AZ114,AZ93+AZ94))</f>
        <v>0</v>
      </c>
      <c r="BA95" s="242">
        <f ca="1">IF(BA6&lt;Assumptions!$P$18,0,-MIN(-BA17+BA89+BA114,BA93+BA94))</f>
        <v>0</v>
      </c>
      <c r="BB95" s="242">
        <f ca="1">IF(BB6&lt;Assumptions!$P$18,0,-MIN(-BB17+BB89+BB114,BB93+BB94))</f>
        <v>0</v>
      </c>
      <c r="BC95" s="242">
        <f ca="1">IF(BC6&lt;Assumptions!$P$18,0,-MIN(-BC17+BC89+BC114,BC93+BC94))</f>
        <v>0</v>
      </c>
      <c r="BD95" s="242">
        <f ca="1">IF(BD6&lt;Assumptions!$P$18,0,-MIN(-BD17+BD89+BD114,BD93+BD94))</f>
        <v>0</v>
      </c>
      <c r="BE95" s="242">
        <f ca="1">IF(BE6&lt;Assumptions!$P$18,0,-MIN(-BE17+BE89+BE114,BE93+BE94))</f>
        <v>0</v>
      </c>
      <c r="BF95" s="242">
        <f ca="1">IF(BF6&lt;Assumptions!$P$18,0,-MIN(-BF17+BF89+BF114,BF93+BF94))</f>
        <v>0</v>
      </c>
      <c r="BG95" s="242">
        <f ca="1">IF(BG6&lt;Assumptions!$P$18,0,-MIN(-BG17+BG89+BG114,BG93+BG94))</f>
        <v>0</v>
      </c>
      <c r="BH95" s="242">
        <f ca="1">IF(BH6&lt;Assumptions!$P$18,0,-MIN(-BH17+BH89+BH114,BH93+BH94))</f>
        <v>0</v>
      </c>
      <c r="BI95" s="242">
        <f ca="1">IF(BI6&lt;Assumptions!$P$18,0,-MIN(-BI17+BI89+BI114,BI93+BI94))</f>
        <v>0</v>
      </c>
      <c r="BJ95" s="242">
        <f ca="1">IF(BJ6&lt;Assumptions!$P$18,0,-MIN(-BJ17+BJ89+BJ114,BJ93+BJ94))</f>
        <v>0</v>
      </c>
      <c r="BK95" s="242">
        <f ca="1">IF(BK6&lt;Assumptions!$P$18,0,-MIN(-BK17+BK89+BK114,BK93+BK94))</f>
        <v>0</v>
      </c>
      <c r="BL95" s="242">
        <f ca="1">IF(BL6&lt;Assumptions!$P$18,0,-MIN(-BL17+BL89+BL114,BL93+BL94))</f>
        <v>0</v>
      </c>
      <c r="BM95" s="242">
        <f ca="1">IF(BM6&lt;Assumptions!$P$18,0,-MIN(-BM17+BM89+BM114,BM93+BM94))</f>
        <v>0</v>
      </c>
      <c r="BN95" s="242">
        <f ca="1">IF(BN6&lt;Assumptions!$P$18,0,-MIN(-BN17+BN89+BN114,BN93+BN94))</f>
        <v>0</v>
      </c>
      <c r="BO95" s="242">
        <f ca="1">IF(BO6&lt;Assumptions!$P$18,0,-MIN(-BO17+BO89+BO114,BO93+BO94))</f>
        <v>0</v>
      </c>
      <c r="BP95" s="242">
        <f ca="1">IF(BP6&lt;Assumptions!$P$18,0,-MIN(-BP17+BP89+BP114,BP93+BP94))</f>
        <v>0</v>
      </c>
      <c r="BQ95" s="242">
        <f ca="1">IF(BQ6&lt;Assumptions!$P$18,0,-MIN(-BQ17+BQ89+BQ114,BQ93+BQ94))</f>
        <v>0</v>
      </c>
      <c r="BR95" s="242">
        <f ca="1">IF(BR6&lt;Assumptions!$P$18,0,-MIN(-BR17+BR89+BR114,BR93+BR94))</f>
        <v>0</v>
      </c>
      <c r="BS95" s="242">
        <f ca="1">IF(BS6&lt;Assumptions!$P$18,0,-MIN(-BS17+BS89+BS114,BS93+BS94))</f>
        <v>0</v>
      </c>
      <c r="BT95" s="242">
        <f ca="1">IF(BT6&lt;Assumptions!$P$18,0,-MIN(-BT17+BT89+BT114,BT93+BT94))</f>
        <v>0</v>
      </c>
      <c r="BU95" s="242">
        <f ca="1">IF(BU6&lt;Assumptions!$P$18,0,-MIN(-BU17+BU89+BU114,BU93+BU94))</f>
        <v>0</v>
      </c>
      <c r="BV95" s="242">
        <f ca="1">IF(BV6&lt;Assumptions!$P$18,0,-MIN(-BV17+BV89+BV114,BV93+BV94))</f>
        <v>0</v>
      </c>
      <c r="BW95" s="242">
        <f ca="1">IF(BW6&lt;Assumptions!$P$18,0,-MIN(-BW17+BW89+BW114,BW93+BW94))</f>
        <v>0</v>
      </c>
      <c r="BX95" s="242">
        <f ca="1">IF(BX6&lt;Assumptions!$P$18,0,-MIN(-BX17+BX89+BX114,BX93+BX94))</f>
        <v>0</v>
      </c>
      <c r="BY95" s="242">
        <f ca="1">IF(BY6&lt;Assumptions!$P$18,0,-MIN(-BY17+BY89+BY114,BY93+BY94))</f>
        <v>0</v>
      </c>
      <c r="BZ95" s="242">
        <f ca="1">IF(BZ6&lt;Assumptions!$P$18,0,-MIN(-BZ17+BZ89+BZ114,BZ93+BZ94))</f>
        <v>0</v>
      </c>
      <c r="CA95" s="242">
        <f ca="1">IF(CA6&lt;Assumptions!$P$18,0,-MIN(-CA17+CA89+CA114,CA93+CA94))</f>
        <v>0</v>
      </c>
      <c r="CB95" s="242">
        <f ca="1">IF(CB6&lt;Assumptions!$P$18,0,-MIN(-CB17+CB89+CB114,CB93+CB94))</f>
        <v>0</v>
      </c>
      <c r="CC95" s="242">
        <f ca="1">IF(CC6&lt;Assumptions!$P$18,0,-MIN(-CC17+CC89+CC114,CC93+CC94))</f>
        <v>0</v>
      </c>
      <c r="CD95" s="242">
        <f ca="1">IF(CD6&lt;Assumptions!$P$18,0,-MIN(-CD17+CD89+CD114,CD93+CD94))</f>
        <v>0</v>
      </c>
      <c r="CE95" s="242">
        <f ca="1">IF(CE6&lt;Assumptions!$P$18,0,-MIN(-CE17+CE89+CE114,CE93+CE94))</f>
        <v>0</v>
      </c>
      <c r="CF95" s="242">
        <f ca="1">IF(CF6&lt;Assumptions!$P$18,0,-MIN(-CF17+CF89+CF114,CF93+CF94))</f>
        <v>0</v>
      </c>
      <c r="CG95" s="242">
        <f ca="1">IF(CG6&lt;Assumptions!$P$18,0,-MIN(-CG17+CG89+CG114,CG93+CG94))</f>
        <v>0</v>
      </c>
      <c r="CH95" s="242">
        <f ca="1">IF(CH6&lt;Assumptions!$P$18,0,-MIN(-CH17+CH89+CH114,CH93+CH94))</f>
        <v>0</v>
      </c>
      <c r="CI95" s="242">
        <f ca="1">IF(CI6&lt;Assumptions!$P$18,0,-MIN(-CI17+CI89+CI114,CI93+CI94))</f>
        <v>0</v>
      </c>
      <c r="CJ95" s="242">
        <f ca="1">IF(CJ6&lt;Assumptions!$P$18,0,-MIN(-CJ17+CJ89+CJ114,CJ93+CJ94))</f>
        <v>0</v>
      </c>
      <c r="CK95" s="242">
        <f ca="1">IF(CK6&lt;Assumptions!$P$18,0,-MIN(-CK17+CK89+CK114,CK93+CK94))</f>
        <v>0</v>
      </c>
      <c r="CL95" s="242">
        <f ca="1">IF(CL6&lt;Assumptions!$P$18,0,-MIN(-CL17+CL89+CL114,CL93+CL94))</f>
        <v>0</v>
      </c>
      <c r="CM95" s="242">
        <f ca="1">IF(CM6&lt;Assumptions!$P$18,0,-MIN(-CM17+CM89+CM114,CM93+CM94))</f>
        <v>0</v>
      </c>
      <c r="CN95" s="242">
        <f ca="1">IF(CN6&lt;Assumptions!$P$18,0,-MIN(-CN17+CN89+CN114,CN93+CN94))</f>
        <v>0</v>
      </c>
      <c r="CO95" s="242">
        <f ca="1">IF(CO6&lt;Assumptions!$P$18,0,-MIN(-CO17+CO89+CO114,CO93+CO94))</f>
        <v>0</v>
      </c>
      <c r="CP95" s="242">
        <f ca="1">IF(CP6&lt;Assumptions!$P$18,0,-MIN(-CP17+CP89+CP114,CP93+CP94))</f>
        <v>0</v>
      </c>
      <c r="CQ95" s="242">
        <f ca="1">IF(CQ6&lt;Assumptions!$P$18,0,-MIN(-CQ17+CQ89+CQ114,CQ93+CQ94))</f>
        <v>0</v>
      </c>
      <c r="CR95" s="242">
        <f ca="1">IF(CR6&lt;Assumptions!$P$18,0,-MIN(-CR17+CR89+CR114,CR93+CR94))</f>
        <v>0</v>
      </c>
      <c r="CS95" s="242">
        <f ca="1">IF(CS6&lt;Assumptions!$P$18,0,-MIN(-CS17+CS89+CS114,CS93+CS94))</f>
        <v>0</v>
      </c>
      <c r="CT95" s="242">
        <f ca="1">IF(CT6&lt;Assumptions!$P$18,0,-MIN(-CT17+CT89+CT114,CT93+CT94))</f>
        <v>0</v>
      </c>
      <c r="CU95" s="242">
        <f ca="1">IF(CU6&lt;Assumptions!$P$18,0,-MIN(-CU17+CU89+CU114,CU93+CU94))</f>
        <v>0</v>
      </c>
      <c r="CV95" s="242">
        <f ca="1">IF(CV6&lt;Assumptions!$P$18,0,-MIN(-CV17+CV89+CV114,CV93+CV94))</f>
        <v>0</v>
      </c>
      <c r="CW95" s="242">
        <f ca="1">IF(CW6&lt;Assumptions!$P$18,0,-MIN(-CW17+CW89+CW114,CW93+CW94))</f>
        <v>0</v>
      </c>
      <c r="CX95" s="242">
        <f ca="1">IF(CX6&lt;Assumptions!$P$18,0,-MIN(-CX17+CX89+CX114,CX93+CX94))</f>
        <v>0</v>
      </c>
      <c r="CY95" s="242">
        <f ca="1">IF(CY6&lt;Assumptions!$P$18,0,-MIN(-CY17+CY89+CY114,CY93+CY94))</f>
        <v>0</v>
      </c>
      <c r="CZ95" s="242">
        <f ca="1">IF(CZ6&lt;Assumptions!$P$18,0,-MIN(-CZ17+CZ89+CZ114,CZ93+CZ94))</f>
        <v>0</v>
      </c>
      <c r="DA95" s="242">
        <f ca="1">IF(DA6&lt;Assumptions!$P$18,0,-MIN(-DA17+DA89+DA114,DA93+DA94))</f>
        <v>0</v>
      </c>
      <c r="DB95" s="242">
        <f ca="1">IF(DB6&lt;Assumptions!$P$18,0,-MIN(-DB17+DB89+DB114,DB93+DB94))</f>
        <v>0</v>
      </c>
      <c r="DC95" s="242">
        <f ca="1">IF(DC6&lt;Assumptions!$P$18,0,-MIN(-DC17+DC89+DC114,DC93+DC94))</f>
        <v>0</v>
      </c>
      <c r="DD95" s="242">
        <f ca="1">IF(DD6&lt;Assumptions!$P$18,0,-MIN(-DD17+DD89+DD114,DD93+DD94))</f>
        <v>0</v>
      </c>
      <c r="DE95" s="242">
        <f ca="1">IF(DE6&lt;Assumptions!$P$18,0,-MIN(-DE17+DE89+DE114,DE93+DE94))</f>
        <v>0</v>
      </c>
      <c r="DF95" s="242">
        <f ca="1">IF(DF6&lt;Assumptions!$P$18,0,-MIN(-DF17+DF89+DF114,DF93+DF94))</f>
        <v>0</v>
      </c>
      <c r="DG95" s="242">
        <f ca="1">IF(DG6&lt;Assumptions!$P$18,0,-MIN(-DG17+DG89+DG114,DG93+DG94))</f>
        <v>0</v>
      </c>
      <c r="DH95" s="242">
        <f ca="1">IF(DH6&lt;Assumptions!$P$18,0,-MIN(-DH17+DH89+DH114,DH93+DH94))</f>
        <v>0</v>
      </c>
      <c r="DI95" s="242">
        <f ca="1">IF(DI6&lt;Assumptions!$P$18,0,-MIN(-DI17+DI89+DI114,DI93+DI94))</f>
        <v>0</v>
      </c>
      <c r="DJ95" s="242">
        <f ca="1">IF(DJ6&lt;Assumptions!$P$18,0,-MIN(-DJ17+DJ89+DJ114,DJ93+DJ94))</f>
        <v>0</v>
      </c>
      <c r="DK95" s="242">
        <f ca="1">IF(DK6&lt;Assumptions!$P$18,0,-MIN(-DK17+DK89+DK114,DK93+DK94))</f>
        <v>0</v>
      </c>
      <c r="DL95" s="242">
        <f ca="1">IF(DL6&lt;Assumptions!$P$18,0,-MIN(-DL17+DL89+DL114,DL93+DL94))</f>
        <v>0</v>
      </c>
      <c r="DM95" s="242">
        <f ca="1">IF(DM6&lt;Assumptions!$P$18,0,-MIN(-DM17+DM89+DM114,DM93+DM94))</f>
        <v>0</v>
      </c>
      <c r="DN95" s="242">
        <f ca="1">IF(DN6&lt;Assumptions!$P$18,0,-MIN(-DN17+DN89+DN114,DN93+DN94))</f>
        <v>0</v>
      </c>
      <c r="DO95" s="242">
        <f ca="1">IF(DO6&lt;Assumptions!$P$18,0,-MIN(-DO17+DO89+DO114,DO93+DO94))</f>
        <v>0</v>
      </c>
      <c r="DP95" s="242">
        <f ca="1">IF(DP6&lt;Assumptions!$P$18,0,-MIN(-DP17+DP89+DP114,DP93+DP94))</f>
        <v>0</v>
      </c>
      <c r="DQ95" s="242">
        <f ca="1">IF(DQ6&lt;Assumptions!$P$18,0,-MIN(-DQ17+DQ89+DQ114,DQ93+DQ94))</f>
        <v>0</v>
      </c>
      <c r="DR95" s="242">
        <f ca="1">IF(DR6&lt;Assumptions!$P$18,0,-MIN(-DR17+DR89+DR114,DR93+DR94))</f>
        <v>0</v>
      </c>
      <c r="DS95" s="242">
        <f ca="1">IF(DS6&lt;Assumptions!$P$18,0,-MIN(-DS17+DS89+DS114,DS93+DS94))</f>
        <v>0</v>
      </c>
      <c r="DT95" s="242">
        <f ca="1">IF(DT6&lt;Assumptions!$P$18,0,-MIN(-DT17+DT89+DT114,DT93+DT94))</f>
        <v>0</v>
      </c>
      <c r="DU95" s="242">
        <f ca="1">IF(DU6&lt;Assumptions!$P$18,0,-MIN(-DU17+DU89+DU114,DU93+DU94))</f>
        <v>0</v>
      </c>
      <c r="DV95" s="242">
        <f ca="1">IF(DV6&lt;Assumptions!$P$18,0,-MIN(-DV17+DV89+DV114,DV93+DV94))</f>
        <v>0</v>
      </c>
      <c r="DW95" s="242">
        <f ca="1">IF(DW6&lt;Assumptions!$P$18,0,-MIN(-DW17+DW89+DW114,DW93+DW94))</f>
        <v>0</v>
      </c>
      <c r="DX95" s="242">
        <f ca="1">IF(DX6&lt;Assumptions!$P$18,0,-MIN(-DX17+DX89+DX114,DX93+DX94))</f>
        <v>0</v>
      </c>
      <c r="DY95" s="242">
        <f ca="1">IF(DY6&lt;Assumptions!$P$18,0,-MIN(-DY17+DY89+DY114,DY93+DY94))</f>
        <v>0</v>
      </c>
      <c r="DZ95" s="242">
        <f ca="1">IF(DZ6&lt;Assumptions!$P$18,0,-MIN(-DZ17+DZ89+DZ114,DZ93+DZ94))</f>
        <v>0</v>
      </c>
      <c r="EA95" s="242">
        <f ca="1">IF(EA6&lt;Assumptions!$P$18,0,-MIN(-EA17+EA89+EA114,EA93+EA94))</f>
        <v>0</v>
      </c>
      <c r="EB95" s="242">
        <f ca="1">IF(EB6&lt;Assumptions!$P$18,0,-MIN(-EB17+EB89+EB114,EB93+EB94))</f>
        <v>0</v>
      </c>
      <c r="EC95" s="242">
        <f ca="1">IF(EC6&lt;Assumptions!$P$18,0,-MIN(-EC17+EC89+EC114,EC93+EC94))</f>
        <v>0</v>
      </c>
      <c r="ED95" s="242">
        <f ca="1">IF(ED6&lt;Assumptions!$P$18,0,-MIN(-ED17+ED89+ED114,ED93+ED94))</f>
        <v>0</v>
      </c>
      <c r="EE95" s="242">
        <f ca="1">IF(EE6&lt;Assumptions!$P$18,0,-MIN(-EE17+EE89+EE114,EE93+EE94))</f>
        <v>0</v>
      </c>
      <c r="EF95" s="242">
        <f ca="1">IF(EF6&lt;Assumptions!$P$18,0,-MIN(-EF17+EF89+EF114,EF93+EF94))</f>
        <v>0</v>
      </c>
      <c r="EG95" s="242">
        <f ca="1">IF(EG6&lt;Assumptions!$P$18,0,-MIN(-EG17+EG89+EG114,EG93+EG94))</f>
        <v>0</v>
      </c>
      <c r="EH95" s="242">
        <f ca="1">IF(EH6&lt;Assumptions!$P$18,0,-MIN(-EH17+EH89+EH114,EH93+EH94))</f>
        <v>0</v>
      </c>
      <c r="EI95" s="242">
        <f ca="1">IF(EI6&lt;Assumptions!$P$18,0,-MIN(-EI17+EI89+EI114,EI93+EI94))</f>
        <v>0</v>
      </c>
      <c r="EJ95" s="242">
        <f ca="1">IF(EJ6&lt;Assumptions!$P$18,0,-MIN(-EJ17+EJ89+EJ114,EJ93+EJ94))</f>
        <v>0</v>
      </c>
      <c r="EK95" s="242">
        <f ca="1">IF(EK6&lt;Assumptions!$P$18,0,-MIN(-EK17+EK89+EK114,EK93+EK94))</f>
        <v>0</v>
      </c>
      <c r="EL95" s="242">
        <f ca="1">IF(EL6&lt;Assumptions!$P$18,0,-MIN(-EL17+EL89+EL114,EL93+EL94))</f>
        <v>0</v>
      </c>
      <c r="EM95" s="242">
        <f ca="1">IF(EM6&lt;Assumptions!$P$18,0,-MIN(-EM17+EM89+EM114,EM93+EM94))</f>
        <v>0</v>
      </c>
      <c r="EN95" s="242">
        <f ca="1">IF(EN6&lt;Assumptions!$P$18,0,-MIN(-EN17+EN89+EN114,EN93+EN94))</f>
        <v>0</v>
      </c>
      <c r="EO95" s="242">
        <f ca="1">IF(EO6&lt;Assumptions!$P$18,0,-MIN(-EO17+EO89+EO114,EO93+EO94))</f>
        <v>0</v>
      </c>
      <c r="EP95" s="242">
        <f ca="1">IF(EP6&lt;Assumptions!$P$18,0,-MIN(-EP17+EP89+EP114,EP93+EP94))</f>
        <v>0</v>
      </c>
      <c r="EQ95" s="242">
        <f ca="1">IF(EQ6&lt;Assumptions!$P$18,0,-MIN(-EQ17+EQ89+EQ114,EQ93+EQ94))</f>
        <v>0</v>
      </c>
      <c r="ER95" s="242">
        <f ca="1">IF(ER6&lt;Assumptions!$P$18,0,-MIN(-ER17+ER89+ER114,ER93+ER94))</f>
        <v>0</v>
      </c>
      <c r="ES95" s="242">
        <f ca="1">IF(ES6&lt;Assumptions!$P$18,0,-MIN(-ES17+ES89+ES114,ES93+ES94))</f>
        <v>0</v>
      </c>
      <c r="ET95" s="242">
        <f ca="1">IF(ET6&lt;Assumptions!$P$18,0,-MIN(-ET17+ET89+ET114,ET93+ET94))</f>
        <v>0</v>
      </c>
    </row>
    <row r="96" spans="2:150" x14ac:dyDescent="0.2">
      <c r="B96" s="98" t="s">
        <v>169</v>
      </c>
      <c r="C96" s="98"/>
      <c r="D96" s="97"/>
      <c r="E96" s="98"/>
      <c r="F96" s="251">
        <f>SUM(F93:F95)</f>
        <v>0</v>
      </c>
      <c r="G96" s="251">
        <f t="shared" ref="G96:R96" si="922">SUM(G93:G95)</f>
        <v>0</v>
      </c>
      <c r="H96" s="251">
        <f t="shared" si="922"/>
        <v>0</v>
      </c>
      <c r="I96" s="251">
        <f t="shared" si="922"/>
        <v>0</v>
      </c>
      <c r="J96" s="251">
        <f t="shared" si="922"/>
        <v>0</v>
      </c>
      <c r="K96" s="251">
        <f t="shared" si="922"/>
        <v>0</v>
      </c>
      <c r="L96" s="251">
        <f t="shared" si="922"/>
        <v>0</v>
      </c>
      <c r="M96" s="251">
        <f t="shared" si="922"/>
        <v>0</v>
      </c>
      <c r="N96" s="251">
        <f t="shared" si="922"/>
        <v>0</v>
      </c>
      <c r="O96" s="251">
        <f t="shared" si="922"/>
        <v>0</v>
      </c>
      <c r="P96" s="251">
        <f t="shared" si="922"/>
        <v>0</v>
      </c>
      <c r="Q96" s="251">
        <f t="shared" si="922"/>
        <v>0</v>
      </c>
      <c r="R96" s="251">
        <f t="shared" ca="1" si="922"/>
        <v>0</v>
      </c>
      <c r="S96" s="251">
        <f t="shared" ref="S96" ca="1" si="923">SUM(S93:S95)</f>
        <v>0</v>
      </c>
      <c r="T96" s="251">
        <f t="shared" ref="T96" ca="1" si="924">SUM(T93:T95)</f>
        <v>0</v>
      </c>
      <c r="U96" s="251">
        <f t="shared" ref="U96" ca="1" si="925">SUM(U93:U95)</f>
        <v>0</v>
      </c>
      <c r="V96" s="251">
        <f t="shared" ref="V96" ca="1" si="926">SUM(V93:V95)</f>
        <v>0</v>
      </c>
      <c r="W96" s="251">
        <f t="shared" ref="W96" ca="1" si="927">SUM(W93:W95)</f>
        <v>0</v>
      </c>
      <c r="X96" s="251">
        <f t="shared" ref="X96" ca="1" si="928">SUM(X93:X95)</f>
        <v>0</v>
      </c>
      <c r="Y96" s="251">
        <f t="shared" ref="Y96" ca="1" si="929">SUM(Y93:Y95)</f>
        <v>0</v>
      </c>
      <c r="Z96" s="251">
        <f t="shared" ref="Z96" ca="1" si="930">SUM(Z93:Z95)</f>
        <v>0</v>
      </c>
      <c r="AA96" s="251">
        <f t="shared" ref="AA96" ca="1" si="931">SUM(AA93:AA95)</f>
        <v>0</v>
      </c>
      <c r="AB96" s="251">
        <f t="shared" ref="AB96" ca="1" si="932">SUM(AB93:AB95)</f>
        <v>0</v>
      </c>
      <c r="AC96" s="251">
        <f t="shared" ref="AC96" ca="1" si="933">SUM(AC93:AC95)</f>
        <v>0</v>
      </c>
      <c r="AD96" s="251">
        <f t="shared" ref="AD96" ca="1" si="934">SUM(AD93:AD95)</f>
        <v>0</v>
      </c>
      <c r="AE96" s="251">
        <f t="shared" ref="AE96" ca="1" si="935">SUM(AE93:AE95)</f>
        <v>0</v>
      </c>
      <c r="AF96" s="251">
        <f t="shared" ref="AF96" ca="1" si="936">SUM(AF93:AF95)</f>
        <v>0</v>
      </c>
      <c r="AG96" s="251">
        <f t="shared" ref="AG96" ca="1" si="937">SUM(AG93:AG95)</f>
        <v>0</v>
      </c>
      <c r="AH96" s="251">
        <f t="shared" ref="AH96" ca="1" si="938">SUM(AH93:AH95)</f>
        <v>0</v>
      </c>
      <c r="AI96" s="251">
        <f t="shared" ref="AI96" ca="1" si="939">SUM(AI93:AI95)</f>
        <v>0</v>
      </c>
      <c r="AJ96" s="251">
        <f t="shared" ref="AJ96" ca="1" si="940">SUM(AJ93:AJ95)</f>
        <v>0</v>
      </c>
      <c r="AK96" s="251">
        <f t="shared" ref="AK96" ca="1" si="941">SUM(AK93:AK95)</f>
        <v>0</v>
      </c>
      <c r="AL96" s="251">
        <f t="shared" ref="AL96" ca="1" si="942">SUM(AL93:AL95)</f>
        <v>0</v>
      </c>
      <c r="AM96" s="251">
        <f t="shared" ref="AM96" ca="1" si="943">SUM(AM93:AM95)</f>
        <v>0</v>
      </c>
      <c r="AN96" s="251">
        <f t="shared" ref="AN96" ca="1" si="944">SUM(AN93:AN95)</f>
        <v>0</v>
      </c>
      <c r="AO96" s="251">
        <f t="shared" ref="AO96" ca="1" si="945">SUM(AO93:AO95)</f>
        <v>0</v>
      </c>
      <c r="AP96" s="251">
        <f t="shared" ref="AP96" ca="1" si="946">SUM(AP93:AP95)</f>
        <v>0</v>
      </c>
      <c r="AQ96" s="251">
        <f t="shared" ref="AQ96" ca="1" si="947">SUM(AQ93:AQ95)</f>
        <v>0</v>
      </c>
      <c r="AR96" s="251">
        <f t="shared" ref="AR96" ca="1" si="948">SUM(AR93:AR95)</f>
        <v>0</v>
      </c>
      <c r="AS96" s="251">
        <f t="shared" ref="AS96" ca="1" si="949">SUM(AS93:AS95)</f>
        <v>0</v>
      </c>
      <c r="AT96" s="251">
        <f t="shared" ref="AT96" ca="1" si="950">SUM(AT93:AT95)</f>
        <v>0</v>
      </c>
      <c r="AU96" s="251">
        <f t="shared" ref="AU96" ca="1" si="951">SUM(AU93:AU95)</f>
        <v>0</v>
      </c>
      <c r="AV96" s="251">
        <f t="shared" ref="AV96" ca="1" si="952">SUM(AV93:AV95)</f>
        <v>0</v>
      </c>
      <c r="AW96" s="251">
        <f t="shared" ref="AW96" ca="1" si="953">SUM(AW93:AW95)</f>
        <v>0</v>
      </c>
      <c r="AX96" s="251">
        <f t="shared" ref="AX96" ca="1" si="954">SUM(AX93:AX95)</f>
        <v>0</v>
      </c>
      <c r="AY96" s="251">
        <f t="shared" ref="AY96" ca="1" si="955">SUM(AY93:AY95)</f>
        <v>0</v>
      </c>
      <c r="AZ96" s="251">
        <f t="shared" ref="AZ96" ca="1" si="956">SUM(AZ93:AZ95)</f>
        <v>0</v>
      </c>
      <c r="BA96" s="251">
        <f t="shared" ref="BA96" ca="1" si="957">SUM(BA93:BA95)</f>
        <v>0</v>
      </c>
      <c r="BB96" s="251">
        <f t="shared" ref="BB96" ca="1" si="958">SUM(BB93:BB95)</f>
        <v>0</v>
      </c>
      <c r="BC96" s="251">
        <f t="shared" ref="BC96" ca="1" si="959">SUM(BC93:BC95)</f>
        <v>0</v>
      </c>
      <c r="BD96" s="251">
        <f t="shared" ref="BD96" ca="1" si="960">SUM(BD93:BD95)</f>
        <v>0</v>
      </c>
      <c r="BE96" s="251">
        <f t="shared" ref="BE96" ca="1" si="961">SUM(BE93:BE95)</f>
        <v>0</v>
      </c>
      <c r="BF96" s="251">
        <f t="shared" ref="BF96" ca="1" si="962">SUM(BF93:BF95)</f>
        <v>0</v>
      </c>
      <c r="BG96" s="251">
        <f t="shared" ref="BG96" ca="1" si="963">SUM(BG93:BG95)</f>
        <v>0</v>
      </c>
      <c r="BH96" s="251">
        <f t="shared" ref="BH96" ca="1" si="964">SUM(BH93:BH95)</f>
        <v>0</v>
      </c>
      <c r="BI96" s="251">
        <f t="shared" ref="BI96" ca="1" si="965">SUM(BI93:BI95)</f>
        <v>0</v>
      </c>
      <c r="BJ96" s="251">
        <f t="shared" ref="BJ96" ca="1" si="966">SUM(BJ93:BJ95)</f>
        <v>0</v>
      </c>
      <c r="BK96" s="251">
        <f t="shared" ref="BK96" ca="1" si="967">SUM(BK93:BK95)</f>
        <v>0</v>
      </c>
      <c r="BL96" s="251">
        <f t="shared" ref="BL96" ca="1" si="968">SUM(BL93:BL95)</f>
        <v>0</v>
      </c>
      <c r="BM96" s="251">
        <f t="shared" ref="BM96" ca="1" si="969">SUM(BM93:BM95)</f>
        <v>0</v>
      </c>
      <c r="BN96" s="251">
        <f t="shared" ref="BN96" ca="1" si="970">SUM(BN93:BN95)</f>
        <v>0</v>
      </c>
      <c r="BO96" s="251">
        <f t="shared" ref="BO96" ca="1" si="971">SUM(BO93:BO95)</f>
        <v>0</v>
      </c>
      <c r="BP96" s="251">
        <f t="shared" ref="BP96" ca="1" si="972">SUM(BP93:BP95)</f>
        <v>0</v>
      </c>
      <c r="BQ96" s="251">
        <f t="shared" ref="BQ96" ca="1" si="973">SUM(BQ93:BQ95)</f>
        <v>0</v>
      </c>
      <c r="BR96" s="251">
        <f t="shared" ref="BR96" ca="1" si="974">SUM(BR93:BR95)</f>
        <v>0</v>
      </c>
      <c r="BS96" s="251">
        <f t="shared" ref="BS96" ca="1" si="975">SUM(BS93:BS95)</f>
        <v>0</v>
      </c>
      <c r="BT96" s="251">
        <f t="shared" ref="BT96" ca="1" si="976">SUM(BT93:BT95)</f>
        <v>0</v>
      </c>
      <c r="BU96" s="251">
        <f t="shared" ref="BU96" ca="1" si="977">SUM(BU93:BU95)</f>
        <v>0</v>
      </c>
      <c r="BV96" s="251">
        <f t="shared" ref="BV96" ca="1" si="978">SUM(BV93:BV95)</f>
        <v>0</v>
      </c>
      <c r="BW96" s="251">
        <f t="shared" ref="BW96" ca="1" si="979">SUM(BW93:BW95)</f>
        <v>0</v>
      </c>
      <c r="BX96" s="251">
        <f t="shared" ref="BX96" ca="1" si="980">SUM(BX93:BX95)</f>
        <v>0</v>
      </c>
      <c r="BY96" s="251">
        <f t="shared" ref="BY96" ca="1" si="981">SUM(BY93:BY95)</f>
        <v>0</v>
      </c>
      <c r="BZ96" s="251">
        <f t="shared" ref="BZ96:EK96" ca="1" si="982">SUM(BZ93:BZ95)</f>
        <v>0</v>
      </c>
      <c r="CA96" s="251">
        <f t="shared" ca="1" si="982"/>
        <v>0</v>
      </c>
      <c r="CB96" s="251">
        <f t="shared" ca="1" si="982"/>
        <v>0</v>
      </c>
      <c r="CC96" s="251">
        <f t="shared" ca="1" si="982"/>
        <v>0</v>
      </c>
      <c r="CD96" s="251">
        <f t="shared" ca="1" si="982"/>
        <v>0</v>
      </c>
      <c r="CE96" s="251">
        <f t="shared" ca="1" si="982"/>
        <v>0</v>
      </c>
      <c r="CF96" s="251">
        <f t="shared" ca="1" si="982"/>
        <v>0</v>
      </c>
      <c r="CG96" s="251">
        <f t="shared" ca="1" si="982"/>
        <v>0</v>
      </c>
      <c r="CH96" s="251">
        <f t="shared" ca="1" si="982"/>
        <v>0</v>
      </c>
      <c r="CI96" s="251">
        <f t="shared" ca="1" si="982"/>
        <v>0</v>
      </c>
      <c r="CJ96" s="251">
        <f t="shared" ca="1" si="982"/>
        <v>0</v>
      </c>
      <c r="CK96" s="251">
        <f t="shared" ca="1" si="982"/>
        <v>0</v>
      </c>
      <c r="CL96" s="251">
        <f t="shared" ca="1" si="982"/>
        <v>0</v>
      </c>
      <c r="CM96" s="251">
        <f t="shared" ca="1" si="982"/>
        <v>0</v>
      </c>
      <c r="CN96" s="251">
        <f t="shared" ca="1" si="982"/>
        <v>0</v>
      </c>
      <c r="CO96" s="251">
        <f t="shared" ca="1" si="982"/>
        <v>0</v>
      </c>
      <c r="CP96" s="251">
        <f t="shared" ca="1" si="982"/>
        <v>0</v>
      </c>
      <c r="CQ96" s="251">
        <f t="shared" ca="1" si="982"/>
        <v>0</v>
      </c>
      <c r="CR96" s="251">
        <f t="shared" ca="1" si="982"/>
        <v>0</v>
      </c>
      <c r="CS96" s="251">
        <f t="shared" ca="1" si="982"/>
        <v>0</v>
      </c>
      <c r="CT96" s="251">
        <f t="shared" ca="1" si="982"/>
        <v>0</v>
      </c>
      <c r="CU96" s="251">
        <f t="shared" ca="1" si="982"/>
        <v>0</v>
      </c>
      <c r="CV96" s="251">
        <f t="shared" ca="1" si="982"/>
        <v>0</v>
      </c>
      <c r="CW96" s="251">
        <f t="shared" ca="1" si="982"/>
        <v>0</v>
      </c>
      <c r="CX96" s="251">
        <f t="shared" ca="1" si="982"/>
        <v>0</v>
      </c>
      <c r="CY96" s="251">
        <f t="shared" ca="1" si="982"/>
        <v>0</v>
      </c>
      <c r="CZ96" s="251">
        <f t="shared" ca="1" si="982"/>
        <v>0</v>
      </c>
      <c r="DA96" s="251">
        <f t="shared" ca="1" si="982"/>
        <v>0</v>
      </c>
      <c r="DB96" s="251">
        <f t="shared" ca="1" si="982"/>
        <v>0</v>
      </c>
      <c r="DC96" s="251">
        <f t="shared" ca="1" si="982"/>
        <v>0</v>
      </c>
      <c r="DD96" s="251">
        <f t="shared" ca="1" si="982"/>
        <v>0</v>
      </c>
      <c r="DE96" s="251">
        <f t="shared" ca="1" si="982"/>
        <v>0</v>
      </c>
      <c r="DF96" s="251">
        <f t="shared" ca="1" si="982"/>
        <v>0</v>
      </c>
      <c r="DG96" s="251">
        <f t="shared" ca="1" si="982"/>
        <v>0</v>
      </c>
      <c r="DH96" s="251">
        <f t="shared" ca="1" si="982"/>
        <v>0</v>
      </c>
      <c r="DI96" s="251">
        <f t="shared" ca="1" si="982"/>
        <v>0</v>
      </c>
      <c r="DJ96" s="251">
        <f t="shared" ca="1" si="982"/>
        <v>0</v>
      </c>
      <c r="DK96" s="251">
        <f t="shared" ca="1" si="982"/>
        <v>0</v>
      </c>
      <c r="DL96" s="251">
        <f t="shared" ca="1" si="982"/>
        <v>0</v>
      </c>
      <c r="DM96" s="251">
        <f t="shared" ca="1" si="982"/>
        <v>0</v>
      </c>
      <c r="DN96" s="251">
        <f t="shared" ca="1" si="982"/>
        <v>0</v>
      </c>
      <c r="DO96" s="251">
        <f t="shared" ca="1" si="982"/>
        <v>0</v>
      </c>
      <c r="DP96" s="251">
        <f t="shared" ca="1" si="982"/>
        <v>0</v>
      </c>
      <c r="DQ96" s="251">
        <f t="shared" ca="1" si="982"/>
        <v>0</v>
      </c>
      <c r="DR96" s="251">
        <f t="shared" ca="1" si="982"/>
        <v>0</v>
      </c>
      <c r="DS96" s="251">
        <f t="shared" ca="1" si="982"/>
        <v>0</v>
      </c>
      <c r="DT96" s="251">
        <f t="shared" ca="1" si="982"/>
        <v>0</v>
      </c>
      <c r="DU96" s="251">
        <f t="shared" ca="1" si="982"/>
        <v>0</v>
      </c>
      <c r="DV96" s="251">
        <f t="shared" ca="1" si="982"/>
        <v>0</v>
      </c>
      <c r="DW96" s="251">
        <f t="shared" ca="1" si="982"/>
        <v>0</v>
      </c>
      <c r="DX96" s="251">
        <f t="shared" ca="1" si="982"/>
        <v>0</v>
      </c>
      <c r="DY96" s="251">
        <f t="shared" ca="1" si="982"/>
        <v>0</v>
      </c>
      <c r="DZ96" s="251">
        <f t="shared" ca="1" si="982"/>
        <v>0</v>
      </c>
      <c r="EA96" s="251">
        <f t="shared" ca="1" si="982"/>
        <v>0</v>
      </c>
      <c r="EB96" s="251">
        <f t="shared" ca="1" si="982"/>
        <v>0</v>
      </c>
      <c r="EC96" s="251">
        <f t="shared" ca="1" si="982"/>
        <v>0</v>
      </c>
      <c r="ED96" s="251">
        <f t="shared" ca="1" si="982"/>
        <v>0</v>
      </c>
      <c r="EE96" s="251">
        <f t="shared" ca="1" si="982"/>
        <v>0</v>
      </c>
      <c r="EF96" s="251">
        <f t="shared" ca="1" si="982"/>
        <v>0</v>
      </c>
      <c r="EG96" s="251">
        <f t="shared" ca="1" si="982"/>
        <v>0</v>
      </c>
      <c r="EH96" s="251">
        <f t="shared" ca="1" si="982"/>
        <v>0</v>
      </c>
      <c r="EI96" s="251">
        <f t="shared" ca="1" si="982"/>
        <v>0</v>
      </c>
      <c r="EJ96" s="251">
        <f t="shared" ca="1" si="982"/>
        <v>0</v>
      </c>
      <c r="EK96" s="251">
        <f t="shared" ca="1" si="982"/>
        <v>0</v>
      </c>
      <c r="EL96" s="251">
        <f t="shared" ref="EL96:ET96" ca="1" si="983">SUM(EL93:EL95)</f>
        <v>0</v>
      </c>
      <c r="EM96" s="251">
        <f t="shared" ca="1" si="983"/>
        <v>0</v>
      </c>
      <c r="EN96" s="251">
        <f t="shared" ca="1" si="983"/>
        <v>0</v>
      </c>
      <c r="EO96" s="251">
        <f t="shared" ca="1" si="983"/>
        <v>0</v>
      </c>
      <c r="EP96" s="251">
        <f t="shared" ca="1" si="983"/>
        <v>0</v>
      </c>
      <c r="EQ96" s="251">
        <f t="shared" ca="1" si="983"/>
        <v>0</v>
      </c>
      <c r="ER96" s="251">
        <f t="shared" ca="1" si="983"/>
        <v>0</v>
      </c>
      <c r="ES96" s="251">
        <f t="shared" ca="1" si="983"/>
        <v>0</v>
      </c>
      <c r="ET96" s="251">
        <f t="shared" ca="1" si="983"/>
        <v>0</v>
      </c>
    </row>
    <row r="97" spans="2:150" x14ac:dyDescent="0.2"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</row>
    <row r="98" spans="2:150" x14ac:dyDescent="0.2">
      <c r="B98" s="83" t="s">
        <v>278</v>
      </c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</row>
    <row r="99" spans="2:150" x14ac:dyDescent="0.2">
      <c r="B99" t="s">
        <v>167</v>
      </c>
      <c r="F99" s="242">
        <f>E102</f>
        <v>0</v>
      </c>
      <c r="G99" s="242">
        <f t="shared" ref="G99:I99" ca="1" si="984">F102</f>
        <v>0</v>
      </c>
      <c r="H99" s="242">
        <f t="shared" ca="1" si="984"/>
        <v>0</v>
      </c>
      <c r="I99" s="242">
        <f t="shared" ca="1" si="984"/>
        <v>0</v>
      </c>
      <c r="J99" s="242">
        <f t="shared" ref="J99:BU99" ca="1" si="985">I102</f>
        <v>0</v>
      </c>
      <c r="K99" s="242">
        <f t="shared" ca="1" si="985"/>
        <v>0</v>
      </c>
      <c r="L99" s="242">
        <f t="shared" ca="1" si="985"/>
        <v>0</v>
      </c>
      <c r="M99" s="242">
        <f t="shared" ca="1" si="985"/>
        <v>0</v>
      </c>
      <c r="N99" s="242">
        <f t="shared" ca="1" si="985"/>
        <v>0</v>
      </c>
      <c r="O99" s="242">
        <f t="shared" ca="1" si="985"/>
        <v>0</v>
      </c>
      <c r="P99" s="242">
        <f t="shared" ca="1" si="985"/>
        <v>0</v>
      </c>
      <c r="Q99" s="242">
        <f t="shared" ca="1" si="985"/>
        <v>0</v>
      </c>
      <c r="R99" s="242">
        <f t="shared" ca="1" si="985"/>
        <v>0</v>
      </c>
      <c r="S99" s="242">
        <f t="shared" ca="1" si="985"/>
        <v>0</v>
      </c>
      <c r="T99" s="242">
        <f t="shared" ca="1" si="985"/>
        <v>0</v>
      </c>
      <c r="U99" s="242">
        <f t="shared" ca="1" si="985"/>
        <v>0</v>
      </c>
      <c r="V99" s="242">
        <f t="shared" ca="1" si="985"/>
        <v>0</v>
      </c>
      <c r="W99" s="242">
        <f t="shared" ca="1" si="985"/>
        <v>0</v>
      </c>
      <c r="X99" s="242">
        <f t="shared" ca="1" si="985"/>
        <v>0</v>
      </c>
      <c r="Y99" s="242">
        <f t="shared" ca="1" si="985"/>
        <v>0</v>
      </c>
      <c r="Z99" s="242">
        <f t="shared" ca="1" si="985"/>
        <v>0</v>
      </c>
      <c r="AA99" s="242">
        <f t="shared" ca="1" si="985"/>
        <v>0</v>
      </c>
      <c r="AB99" s="242">
        <f t="shared" ca="1" si="985"/>
        <v>0</v>
      </c>
      <c r="AC99" s="242">
        <f t="shared" ca="1" si="985"/>
        <v>0</v>
      </c>
      <c r="AD99" s="242">
        <f t="shared" ca="1" si="985"/>
        <v>0</v>
      </c>
      <c r="AE99" s="242">
        <f t="shared" ca="1" si="985"/>
        <v>0</v>
      </c>
      <c r="AF99" s="242">
        <f t="shared" ca="1" si="985"/>
        <v>0</v>
      </c>
      <c r="AG99" s="242">
        <f t="shared" ca="1" si="985"/>
        <v>0</v>
      </c>
      <c r="AH99" s="242">
        <f t="shared" ca="1" si="985"/>
        <v>0</v>
      </c>
      <c r="AI99" s="242">
        <f t="shared" ca="1" si="985"/>
        <v>0</v>
      </c>
      <c r="AJ99" s="242">
        <f t="shared" ca="1" si="985"/>
        <v>0</v>
      </c>
      <c r="AK99" s="242">
        <f t="shared" ca="1" si="985"/>
        <v>0</v>
      </c>
      <c r="AL99" s="242">
        <f t="shared" ca="1" si="985"/>
        <v>0</v>
      </c>
      <c r="AM99" s="242">
        <f t="shared" ca="1" si="985"/>
        <v>0</v>
      </c>
      <c r="AN99" s="242">
        <f t="shared" ca="1" si="985"/>
        <v>0</v>
      </c>
      <c r="AO99" s="242">
        <f t="shared" ca="1" si="985"/>
        <v>0</v>
      </c>
      <c r="AP99" s="242">
        <f t="shared" ca="1" si="985"/>
        <v>0</v>
      </c>
      <c r="AQ99" s="242">
        <f t="shared" ca="1" si="985"/>
        <v>0</v>
      </c>
      <c r="AR99" s="242">
        <f t="shared" ca="1" si="985"/>
        <v>0</v>
      </c>
      <c r="AS99" s="242">
        <f t="shared" ca="1" si="985"/>
        <v>0</v>
      </c>
      <c r="AT99" s="242">
        <f t="shared" ca="1" si="985"/>
        <v>0</v>
      </c>
      <c r="AU99" s="242">
        <f t="shared" ca="1" si="985"/>
        <v>0</v>
      </c>
      <c r="AV99" s="242">
        <f t="shared" ca="1" si="985"/>
        <v>0</v>
      </c>
      <c r="AW99" s="242">
        <f t="shared" ca="1" si="985"/>
        <v>0</v>
      </c>
      <c r="AX99" s="242">
        <f t="shared" ca="1" si="985"/>
        <v>0</v>
      </c>
      <c r="AY99" s="242">
        <f t="shared" ca="1" si="985"/>
        <v>0</v>
      </c>
      <c r="AZ99" s="242">
        <f t="shared" ca="1" si="985"/>
        <v>0</v>
      </c>
      <c r="BA99" s="242">
        <f t="shared" ca="1" si="985"/>
        <v>0</v>
      </c>
      <c r="BB99" s="242">
        <f t="shared" ca="1" si="985"/>
        <v>0</v>
      </c>
      <c r="BC99" s="242">
        <f t="shared" ca="1" si="985"/>
        <v>0</v>
      </c>
      <c r="BD99" s="242">
        <f t="shared" ca="1" si="985"/>
        <v>0</v>
      </c>
      <c r="BE99" s="242">
        <f t="shared" ca="1" si="985"/>
        <v>0</v>
      </c>
      <c r="BF99" s="242">
        <f t="shared" ca="1" si="985"/>
        <v>0</v>
      </c>
      <c r="BG99" s="242">
        <f t="shared" ca="1" si="985"/>
        <v>0</v>
      </c>
      <c r="BH99" s="242">
        <f t="shared" ca="1" si="985"/>
        <v>0</v>
      </c>
      <c r="BI99" s="242">
        <f t="shared" ca="1" si="985"/>
        <v>0</v>
      </c>
      <c r="BJ99" s="242">
        <f t="shared" ca="1" si="985"/>
        <v>0</v>
      </c>
      <c r="BK99" s="242">
        <f t="shared" ca="1" si="985"/>
        <v>0</v>
      </c>
      <c r="BL99" s="242">
        <f t="shared" ca="1" si="985"/>
        <v>0</v>
      </c>
      <c r="BM99" s="242">
        <f t="shared" ca="1" si="985"/>
        <v>0</v>
      </c>
      <c r="BN99" s="242">
        <f t="shared" ca="1" si="985"/>
        <v>0</v>
      </c>
      <c r="BO99" s="242">
        <f t="shared" ca="1" si="985"/>
        <v>0</v>
      </c>
      <c r="BP99" s="242">
        <f t="shared" ca="1" si="985"/>
        <v>0</v>
      </c>
      <c r="BQ99" s="242">
        <f t="shared" ca="1" si="985"/>
        <v>0</v>
      </c>
      <c r="BR99" s="242">
        <f t="shared" ca="1" si="985"/>
        <v>0</v>
      </c>
      <c r="BS99" s="242">
        <f t="shared" ca="1" si="985"/>
        <v>0</v>
      </c>
      <c r="BT99" s="242">
        <f t="shared" ca="1" si="985"/>
        <v>0</v>
      </c>
      <c r="BU99" s="242">
        <f t="shared" ca="1" si="985"/>
        <v>0</v>
      </c>
      <c r="BV99" s="242">
        <f t="shared" ref="BV99:BZ99" ca="1" si="986">BU102</f>
        <v>0</v>
      </c>
      <c r="BW99" s="242">
        <f t="shared" ca="1" si="986"/>
        <v>0</v>
      </c>
      <c r="BX99" s="242">
        <f t="shared" ca="1" si="986"/>
        <v>0</v>
      </c>
      <c r="BY99" s="242">
        <f t="shared" ca="1" si="986"/>
        <v>0</v>
      </c>
      <c r="BZ99" s="242">
        <f t="shared" ca="1" si="986"/>
        <v>0</v>
      </c>
      <c r="CA99" s="242">
        <f t="shared" ref="CA99" ca="1" si="987">BZ102</f>
        <v>0</v>
      </c>
      <c r="CB99" s="242">
        <f t="shared" ref="CB99" ca="1" si="988">CA102</f>
        <v>0</v>
      </c>
      <c r="CC99" s="242">
        <f t="shared" ref="CC99" ca="1" si="989">CB102</f>
        <v>0</v>
      </c>
      <c r="CD99" s="242">
        <f t="shared" ref="CD99" ca="1" si="990">CC102</f>
        <v>0</v>
      </c>
      <c r="CE99" s="242">
        <f t="shared" ref="CE99" ca="1" si="991">CD102</f>
        <v>0</v>
      </c>
      <c r="CF99" s="242">
        <f t="shared" ref="CF99" ca="1" si="992">CE102</f>
        <v>0</v>
      </c>
      <c r="CG99" s="242">
        <f t="shared" ref="CG99" ca="1" si="993">CF102</f>
        <v>0</v>
      </c>
      <c r="CH99" s="242">
        <f t="shared" ref="CH99" ca="1" si="994">CG102</f>
        <v>0</v>
      </c>
      <c r="CI99" s="242">
        <f t="shared" ref="CI99" ca="1" si="995">CH102</f>
        <v>0</v>
      </c>
      <c r="CJ99" s="242">
        <f t="shared" ref="CJ99" ca="1" si="996">CI102</f>
        <v>0</v>
      </c>
      <c r="CK99" s="242">
        <f t="shared" ref="CK99" ca="1" si="997">CJ102</f>
        <v>0</v>
      </c>
      <c r="CL99" s="242">
        <f t="shared" ref="CL99" ca="1" si="998">CK102</f>
        <v>0</v>
      </c>
      <c r="CM99" s="242">
        <f t="shared" ref="CM99" ca="1" si="999">CL102</f>
        <v>0</v>
      </c>
      <c r="CN99" s="242">
        <f t="shared" ref="CN99" ca="1" si="1000">CM102</f>
        <v>0</v>
      </c>
      <c r="CO99" s="242">
        <f t="shared" ref="CO99" ca="1" si="1001">CN102</f>
        <v>0</v>
      </c>
      <c r="CP99" s="242">
        <f t="shared" ref="CP99" ca="1" si="1002">CO102</f>
        <v>0</v>
      </c>
      <c r="CQ99" s="242">
        <f t="shared" ref="CQ99" ca="1" si="1003">CP102</f>
        <v>0</v>
      </c>
      <c r="CR99" s="242">
        <f t="shared" ref="CR99" ca="1" si="1004">CQ102</f>
        <v>0</v>
      </c>
      <c r="CS99" s="242">
        <f t="shared" ref="CS99" ca="1" si="1005">CR102</f>
        <v>0</v>
      </c>
      <c r="CT99" s="242">
        <f t="shared" ref="CT99" ca="1" si="1006">CS102</f>
        <v>0</v>
      </c>
      <c r="CU99" s="242">
        <f t="shared" ref="CU99" ca="1" si="1007">CT102</f>
        <v>0</v>
      </c>
      <c r="CV99" s="242">
        <f t="shared" ref="CV99" ca="1" si="1008">CU102</f>
        <v>0</v>
      </c>
      <c r="CW99" s="242">
        <f t="shared" ref="CW99" ca="1" si="1009">CV102</f>
        <v>0</v>
      </c>
      <c r="CX99" s="242">
        <f t="shared" ref="CX99" ca="1" si="1010">CW102</f>
        <v>0</v>
      </c>
      <c r="CY99" s="242">
        <f t="shared" ref="CY99" ca="1" si="1011">CX102</f>
        <v>0</v>
      </c>
      <c r="CZ99" s="242">
        <f t="shared" ref="CZ99" ca="1" si="1012">CY102</f>
        <v>0</v>
      </c>
      <c r="DA99" s="242">
        <f t="shared" ref="DA99" ca="1" si="1013">CZ102</f>
        <v>0</v>
      </c>
      <c r="DB99" s="242">
        <f t="shared" ref="DB99" ca="1" si="1014">DA102</f>
        <v>0</v>
      </c>
      <c r="DC99" s="242">
        <f t="shared" ref="DC99" ca="1" si="1015">DB102</f>
        <v>0</v>
      </c>
      <c r="DD99" s="242">
        <f t="shared" ref="DD99" ca="1" si="1016">DC102</f>
        <v>0</v>
      </c>
      <c r="DE99" s="242">
        <f t="shared" ref="DE99" ca="1" si="1017">DD102</f>
        <v>0</v>
      </c>
      <c r="DF99" s="242">
        <f t="shared" ref="DF99" ca="1" si="1018">DE102</f>
        <v>0</v>
      </c>
      <c r="DG99" s="242">
        <f t="shared" ref="DG99" ca="1" si="1019">DF102</f>
        <v>0</v>
      </c>
      <c r="DH99" s="242">
        <f t="shared" ref="DH99" ca="1" si="1020">DG102</f>
        <v>0</v>
      </c>
      <c r="DI99" s="242">
        <f t="shared" ref="DI99" ca="1" si="1021">DH102</f>
        <v>0</v>
      </c>
      <c r="DJ99" s="242">
        <f t="shared" ref="DJ99" ca="1" si="1022">DI102</f>
        <v>0</v>
      </c>
      <c r="DK99" s="242">
        <f t="shared" ref="DK99" ca="1" si="1023">DJ102</f>
        <v>0</v>
      </c>
      <c r="DL99" s="242">
        <f t="shared" ref="DL99" ca="1" si="1024">DK102</f>
        <v>0</v>
      </c>
      <c r="DM99" s="242">
        <f t="shared" ref="DM99" ca="1" si="1025">DL102</f>
        <v>0</v>
      </c>
      <c r="DN99" s="242">
        <f t="shared" ref="DN99" ca="1" si="1026">DM102</f>
        <v>0</v>
      </c>
      <c r="DO99" s="242">
        <f t="shared" ref="DO99" ca="1" si="1027">DN102</f>
        <v>0</v>
      </c>
      <c r="DP99" s="242">
        <f t="shared" ref="DP99" ca="1" si="1028">DO102</f>
        <v>0</v>
      </c>
      <c r="DQ99" s="242">
        <f t="shared" ref="DQ99" ca="1" si="1029">DP102</f>
        <v>0</v>
      </c>
      <c r="DR99" s="242">
        <f t="shared" ref="DR99" ca="1" si="1030">DQ102</f>
        <v>0</v>
      </c>
      <c r="DS99" s="242">
        <f t="shared" ref="DS99" ca="1" si="1031">DR102</f>
        <v>0</v>
      </c>
      <c r="DT99" s="242">
        <f t="shared" ref="DT99" ca="1" si="1032">DS102</f>
        <v>0</v>
      </c>
      <c r="DU99" s="242">
        <f t="shared" ref="DU99" ca="1" si="1033">DT102</f>
        <v>0</v>
      </c>
      <c r="DV99" s="242">
        <f t="shared" ref="DV99" ca="1" si="1034">DU102</f>
        <v>0</v>
      </c>
      <c r="DW99" s="242">
        <f t="shared" ref="DW99" ca="1" si="1035">DV102</f>
        <v>0</v>
      </c>
      <c r="DX99" s="242">
        <f t="shared" ref="DX99" ca="1" si="1036">DW102</f>
        <v>0</v>
      </c>
      <c r="DY99" s="242">
        <f t="shared" ref="DY99" ca="1" si="1037">DX102</f>
        <v>0</v>
      </c>
      <c r="DZ99" s="242">
        <f t="shared" ref="DZ99" ca="1" si="1038">DY102</f>
        <v>0</v>
      </c>
      <c r="EA99" s="242">
        <f t="shared" ref="EA99" ca="1" si="1039">DZ102</f>
        <v>0</v>
      </c>
      <c r="EB99" s="242">
        <f t="shared" ref="EB99" ca="1" si="1040">EA102</f>
        <v>0</v>
      </c>
      <c r="EC99" s="242">
        <f t="shared" ref="EC99" ca="1" si="1041">EB102</f>
        <v>0</v>
      </c>
      <c r="ED99" s="242">
        <f t="shared" ref="ED99" ca="1" si="1042">EC102</f>
        <v>0</v>
      </c>
      <c r="EE99" s="242">
        <f t="shared" ref="EE99" ca="1" si="1043">ED102</f>
        <v>0</v>
      </c>
      <c r="EF99" s="242">
        <f t="shared" ref="EF99" ca="1" si="1044">EE102</f>
        <v>0</v>
      </c>
      <c r="EG99" s="242">
        <f t="shared" ref="EG99" ca="1" si="1045">EF102</f>
        <v>0</v>
      </c>
      <c r="EH99" s="242">
        <f t="shared" ref="EH99" ca="1" si="1046">EG102</f>
        <v>0</v>
      </c>
      <c r="EI99" s="242">
        <f t="shared" ref="EI99" ca="1" si="1047">EH102</f>
        <v>0</v>
      </c>
      <c r="EJ99" s="242">
        <f t="shared" ref="EJ99" ca="1" si="1048">EI102</f>
        <v>0</v>
      </c>
      <c r="EK99" s="242">
        <f t="shared" ref="EK99" ca="1" si="1049">EJ102</f>
        <v>0</v>
      </c>
      <c r="EL99" s="242">
        <f t="shared" ref="EL99" ca="1" si="1050">EK102</f>
        <v>0</v>
      </c>
      <c r="EM99" s="242">
        <f t="shared" ref="EM99" ca="1" si="1051">EL102</f>
        <v>0</v>
      </c>
      <c r="EN99" s="242">
        <f t="shared" ref="EN99" ca="1" si="1052">EM102</f>
        <v>0</v>
      </c>
      <c r="EO99" s="242">
        <f t="shared" ref="EO99" ca="1" si="1053">EN102</f>
        <v>0</v>
      </c>
      <c r="EP99" s="242">
        <f t="shared" ref="EP99" ca="1" si="1054">EO102</f>
        <v>0</v>
      </c>
      <c r="EQ99" s="242">
        <f t="shared" ref="EQ99" ca="1" si="1055">EP102</f>
        <v>0</v>
      </c>
      <c r="ER99" s="242">
        <f t="shared" ref="ER99" ca="1" si="1056">EQ102</f>
        <v>0</v>
      </c>
      <c r="ES99" s="242">
        <f t="shared" ref="ES99" ca="1" si="1057">ER102</f>
        <v>0</v>
      </c>
      <c r="ET99" s="242">
        <f t="shared" ref="ET99" ca="1" si="1058">ES102</f>
        <v>0</v>
      </c>
    </row>
    <row r="100" spans="2:150" x14ac:dyDescent="0.2">
      <c r="B100" t="s">
        <v>170</v>
      </c>
      <c r="F100" s="242">
        <f>IF(Assumptions!$Q$24="Yes",IF(F$6=Assumptions!$P$26,Assumptions!$Q$25,0),0)</f>
        <v>0</v>
      </c>
      <c r="G100" s="242">
        <f>IF(Assumptions!$Q$24="Yes",IF(G$6=Assumptions!$P$26,Assumptions!$Q$25,0),0)</f>
        <v>0</v>
      </c>
      <c r="H100" s="242">
        <f>IF(Assumptions!$Q$24="Yes",IF(H$6=Assumptions!$P$26,Assumptions!$Q$25,0),0)</f>
        <v>0</v>
      </c>
      <c r="I100" s="242">
        <f>IF(Assumptions!$Q$24="Yes",IF(I$6=Assumptions!$P$26,Assumptions!$Q$25,0),0)</f>
        <v>0</v>
      </c>
      <c r="J100" s="242">
        <f>IF(Assumptions!$Q$24="Yes",IF(J$6=Assumptions!$P$26,Assumptions!$Q$25,0),0)</f>
        <v>0</v>
      </c>
      <c r="K100" s="242">
        <f>IF(Assumptions!$Q$24="Yes",IF(K$6=Assumptions!$P$26,Assumptions!$Q$25,0),0)</f>
        <v>0</v>
      </c>
      <c r="L100" s="242">
        <f>IF(Assumptions!$Q$24="Yes",IF(L$6=Assumptions!$P$26,Assumptions!$Q$25,0),0)</f>
        <v>0</v>
      </c>
      <c r="M100" s="242">
        <f>IF(Assumptions!$Q$24="Yes",IF(M$6=Assumptions!$P$26,Assumptions!$Q$25,0),0)</f>
        <v>0</v>
      </c>
      <c r="N100" s="242">
        <f>IF(Assumptions!$Q$24="Yes",IF(N$6=Assumptions!$P$26,Assumptions!$Q$25,0),0)</f>
        <v>0</v>
      </c>
      <c r="O100" s="242">
        <f>IF(Assumptions!$Q$24="Yes",IF(O$6=Assumptions!$P$26,Assumptions!$Q$25,0),0)</f>
        <v>0</v>
      </c>
      <c r="P100" s="242">
        <f>IF(Assumptions!$Q$24="Yes",IF(P$6=Assumptions!$P$26,Assumptions!$Q$25,0),0)</f>
        <v>0</v>
      </c>
      <c r="Q100" s="242">
        <f>IF(Assumptions!$Q$24="Yes",IF(Q$6=Assumptions!$P$26,Assumptions!$Q$25,0),0)</f>
        <v>0</v>
      </c>
      <c r="R100" s="242">
        <f>IF(Assumptions!$Q$24="Yes",IF(R$6=Assumptions!$P$26,Assumptions!$Q$25,0),0)</f>
        <v>0</v>
      </c>
      <c r="S100" s="242">
        <f>IF(Assumptions!$Q$24="Yes",IF(S$6=Assumptions!$P$26,Assumptions!$Q$25,0),0)</f>
        <v>0</v>
      </c>
      <c r="T100" s="242">
        <f>IF(Assumptions!$Q$24="Yes",IF(T$6=Assumptions!$P$26,Assumptions!$Q$25,0),0)</f>
        <v>0</v>
      </c>
      <c r="U100" s="242">
        <f>IF(Assumptions!$Q$24="Yes",IF(U$6=Assumptions!$P$26,Assumptions!$Q$25,0),0)</f>
        <v>0</v>
      </c>
      <c r="V100" s="242">
        <f>IF(Assumptions!$Q$24="Yes",IF(V$6=Assumptions!$P$26,Assumptions!$Q$25,0),0)</f>
        <v>0</v>
      </c>
      <c r="W100" s="242">
        <f>IF(Assumptions!$Q$24="Yes",IF(W$6=Assumptions!$P$26,Assumptions!$Q$25,0),0)</f>
        <v>0</v>
      </c>
      <c r="X100" s="242">
        <f>IF(Assumptions!$Q$24="Yes",IF(X$6=Assumptions!$P$26,Assumptions!$Q$25,0),0)</f>
        <v>0</v>
      </c>
      <c r="Y100" s="242">
        <f>IF(Assumptions!$Q$24="Yes",IF(Y$6=Assumptions!$P$26,Assumptions!$Q$25,0),0)</f>
        <v>0</v>
      </c>
      <c r="Z100" s="242">
        <f>IF(Assumptions!$Q$24="Yes",IF(Z$6=Assumptions!$P$26,Assumptions!$Q$25,0),0)</f>
        <v>0</v>
      </c>
      <c r="AA100" s="242">
        <f>IF(Assumptions!$Q$24="Yes",IF(AA$6=Assumptions!$P$26,Assumptions!$Q$25,0),0)</f>
        <v>0</v>
      </c>
      <c r="AB100" s="242">
        <f>IF(Assumptions!$Q$24="Yes",IF(AB$6=Assumptions!$P$26,Assumptions!$Q$25,0),0)</f>
        <v>0</v>
      </c>
      <c r="AC100" s="242">
        <f>IF(Assumptions!$Q$24="Yes",IF(AC$6=Assumptions!$P$26,Assumptions!$Q$25,0),0)</f>
        <v>0</v>
      </c>
      <c r="AD100" s="242">
        <f>IF(Assumptions!$Q$24="Yes",IF(AD$6=Assumptions!$P$26,Assumptions!$Q$25,0),0)</f>
        <v>0</v>
      </c>
      <c r="AE100" s="242">
        <f>IF(Assumptions!$Q$24="Yes",IF(AE$6=Assumptions!$P$26,Assumptions!$Q$25,0),0)</f>
        <v>0</v>
      </c>
      <c r="AF100" s="242">
        <f>IF(Assumptions!$Q$24="Yes",IF(AF$6=Assumptions!$P$26,Assumptions!$Q$25,0),0)</f>
        <v>0</v>
      </c>
      <c r="AG100" s="242">
        <f>IF(Assumptions!$Q$24="Yes",IF(AG$6=Assumptions!$P$26,Assumptions!$Q$25,0),0)</f>
        <v>0</v>
      </c>
      <c r="AH100" s="242">
        <f>IF(Assumptions!$Q$24="Yes",IF(AH$6=Assumptions!$P$26,Assumptions!$Q$25,0),0)</f>
        <v>0</v>
      </c>
      <c r="AI100" s="242">
        <f>IF(Assumptions!$Q$24="Yes",IF(AI$6=Assumptions!$P$26,Assumptions!$Q$25,0),0)</f>
        <v>0</v>
      </c>
      <c r="AJ100" s="242">
        <f>IF(Assumptions!$Q$24="Yes",IF(AJ$6=Assumptions!$P$26,Assumptions!$Q$25,0),0)</f>
        <v>0</v>
      </c>
      <c r="AK100" s="242">
        <f>IF(Assumptions!$Q$24="Yes",IF(AK$6=Assumptions!$P$26,Assumptions!$Q$25,0),0)</f>
        <v>0</v>
      </c>
      <c r="AL100" s="242">
        <f>IF(Assumptions!$Q$24="Yes",IF(AL$6=Assumptions!$P$26,Assumptions!$Q$25,0),0)</f>
        <v>0</v>
      </c>
      <c r="AM100" s="242">
        <f>IF(Assumptions!$Q$24="Yes",IF(AM$6=Assumptions!$P$26,Assumptions!$Q$25,0),0)</f>
        <v>0</v>
      </c>
      <c r="AN100" s="242">
        <f>IF(Assumptions!$Q$24="Yes",IF(AN$6=Assumptions!$P$26,Assumptions!$Q$25,0),0)</f>
        <v>0</v>
      </c>
      <c r="AO100" s="242">
        <f>IF(Assumptions!$Q$24="Yes",IF(AO$6=Assumptions!$P$26,Assumptions!$Q$25,0),0)</f>
        <v>0</v>
      </c>
      <c r="AP100" s="242">
        <f>IF(Assumptions!$Q$24="Yes",IF(AP$6=Assumptions!$P$26,Assumptions!$Q$25,0),0)</f>
        <v>0</v>
      </c>
      <c r="AQ100" s="242">
        <f>IF(Assumptions!$Q$24="Yes",IF(AQ$6=Assumptions!$P$26,Assumptions!$Q$25,0),0)</f>
        <v>0</v>
      </c>
      <c r="AR100" s="242">
        <f>IF(Assumptions!$Q$24="Yes",IF(AR$6=Assumptions!$P$26,Assumptions!$Q$25,0),0)</f>
        <v>0</v>
      </c>
      <c r="AS100" s="242">
        <f>IF(Assumptions!$Q$24="Yes",IF(AS$6=Assumptions!$P$26,Assumptions!$Q$25,0),0)</f>
        <v>0</v>
      </c>
      <c r="AT100" s="242">
        <f>IF(Assumptions!$Q$24="Yes",IF(AT$6=Assumptions!$P$26,Assumptions!$Q$25,0),0)</f>
        <v>0</v>
      </c>
      <c r="AU100" s="242">
        <f>IF(Assumptions!$Q$24="Yes",IF(AU$6=Assumptions!$P$26,Assumptions!$Q$25,0),0)</f>
        <v>0</v>
      </c>
      <c r="AV100" s="242">
        <f>IF(Assumptions!$Q$24="Yes",IF(AV$6=Assumptions!$P$26,Assumptions!$Q$25,0),0)</f>
        <v>0</v>
      </c>
      <c r="AW100" s="242">
        <f>IF(Assumptions!$Q$24="Yes",IF(AW$6=Assumptions!$P$26,Assumptions!$Q$25,0),0)</f>
        <v>0</v>
      </c>
      <c r="AX100" s="242">
        <f>IF(Assumptions!$Q$24="Yes",IF(AX$6=Assumptions!$P$26,Assumptions!$Q$25,0),0)</f>
        <v>0</v>
      </c>
      <c r="AY100" s="242">
        <f>IF(Assumptions!$Q$24="Yes",IF(AY$6=Assumptions!$P$26,Assumptions!$Q$25,0),0)</f>
        <v>0</v>
      </c>
      <c r="AZ100" s="242">
        <f>IF(Assumptions!$Q$24="Yes",IF(AZ$6=Assumptions!$P$26,Assumptions!$Q$25,0),0)</f>
        <v>0</v>
      </c>
      <c r="BA100" s="242">
        <f>IF(Assumptions!$Q$24="Yes",IF(BA$6=Assumptions!$P$26,Assumptions!$Q$25,0),0)</f>
        <v>0</v>
      </c>
      <c r="BB100" s="242">
        <f>IF(Assumptions!$Q$24="Yes",IF(BB$6=Assumptions!$P$26,Assumptions!$Q$25,0),0)</f>
        <v>0</v>
      </c>
      <c r="BC100" s="242">
        <f>IF(Assumptions!$Q$24="Yes",IF(BC$6=Assumptions!$P$26,Assumptions!$Q$25,0),0)</f>
        <v>0</v>
      </c>
      <c r="BD100" s="242">
        <f>IF(Assumptions!$Q$24="Yes",IF(BD$6=Assumptions!$P$26,Assumptions!$Q$25,0),0)</f>
        <v>0</v>
      </c>
      <c r="BE100" s="242">
        <f>IF(Assumptions!$Q$24="Yes",IF(BE$6=Assumptions!$P$26,Assumptions!$Q$25,0),0)</f>
        <v>0</v>
      </c>
      <c r="BF100" s="242">
        <f>IF(Assumptions!$Q$24="Yes",IF(BF$6=Assumptions!$P$26,Assumptions!$Q$25,0),0)</f>
        <v>0</v>
      </c>
      <c r="BG100" s="242">
        <f>IF(Assumptions!$Q$24="Yes",IF(BG$6=Assumptions!$P$26,Assumptions!$Q$25,0),0)</f>
        <v>0</v>
      </c>
      <c r="BH100" s="242">
        <f>IF(Assumptions!$Q$24="Yes",IF(BH$6=Assumptions!$P$26,Assumptions!$Q$25,0),0)</f>
        <v>0</v>
      </c>
      <c r="BI100" s="242">
        <f>IF(Assumptions!$Q$24="Yes",IF(BI$6=Assumptions!$P$26,Assumptions!$Q$25,0),0)</f>
        <v>0</v>
      </c>
      <c r="BJ100" s="242">
        <f>IF(Assumptions!$Q$24="Yes",IF(BJ$6=Assumptions!$P$26,Assumptions!$Q$25,0),0)</f>
        <v>0</v>
      </c>
      <c r="BK100" s="242">
        <f>IF(Assumptions!$Q$24="Yes",IF(BK$6=Assumptions!$P$26,Assumptions!$Q$25,0),0)</f>
        <v>0</v>
      </c>
      <c r="BL100" s="242">
        <f>IF(Assumptions!$Q$24="Yes",IF(BL$6=Assumptions!$P$26,Assumptions!$Q$25,0),0)</f>
        <v>0</v>
      </c>
      <c r="BM100" s="242">
        <f>IF(Assumptions!$Q$24="Yes",IF(BM$6=Assumptions!$P$26,Assumptions!$Q$25,0),0)</f>
        <v>0</v>
      </c>
      <c r="BN100" s="242">
        <f>IF(Assumptions!$Q$24="Yes",IF(BN$6=Assumptions!$P$26,Assumptions!$Q$25,0),0)</f>
        <v>0</v>
      </c>
      <c r="BO100" s="242">
        <f>IF(Assumptions!$Q$24="Yes",IF(BO$6=Assumptions!$P$26,Assumptions!$Q$25,0),0)</f>
        <v>0</v>
      </c>
      <c r="BP100" s="242">
        <f>IF(Assumptions!$Q$24="Yes",IF(BP$6=Assumptions!$P$26,Assumptions!$Q$25,0),0)</f>
        <v>0</v>
      </c>
      <c r="BQ100" s="242">
        <f>IF(Assumptions!$Q$24="Yes",IF(BQ$6=Assumptions!$P$26,Assumptions!$Q$25,0),0)</f>
        <v>0</v>
      </c>
      <c r="BR100" s="242">
        <f>IF(Assumptions!$Q$24="Yes",IF(BR$6=Assumptions!$P$26,Assumptions!$Q$25,0),0)</f>
        <v>0</v>
      </c>
      <c r="BS100" s="242">
        <f>IF(Assumptions!$Q$24="Yes",IF(BS$6=Assumptions!$P$26,Assumptions!$Q$25,0),0)</f>
        <v>0</v>
      </c>
      <c r="BT100" s="242">
        <f>IF(Assumptions!$Q$24="Yes",IF(BT$6=Assumptions!$P$26,Assumptions!$Q$25,0),0)</f>
        <v>0</v>
      </c>
      <c r="BU100" s="242">
        <f>IF(Assumptions!$Q$24="Yes",IF(BU$6=Assumptions!$P$26,Assumptions!$Q$25,0),0)</f>
        <v>0</v>
      </c>
      <c r="BV100" s="242">
        <f>IF(Assumptions!$Q$24="Yes",IF(BV$6=Assumptions!$P$26,Assumptions!$Q$25,0),0)</f>
        <v>0</v>
      </c>
      <c r="BW100" s="242">
        <f>IF(Assumptions!$Q$24="Yes",IF(BW$6=Assumptions!$P$26,Assumptions!$Q$25,0),0)</f>
        <v>0</v>
      </c>
      <c r="BX100" s="242">
        <f>IF(Assumptions!$Q$24="Yes",IF(BX$6=Assumptions!$P$26,Assumptions!$Q$25,0),0)</f>
        <v>0</v>
      </c>
      <c r="BY100" s="242">
        <f>IF(Assumptions!$Q$24="Yes",IF(BY$6=Assumptions!$P$26,Assumptions!$Q$25,0),0)</f>
        <v>0</v>
      </c>
      <c r="BZ100" s="242">
        <f>IF(Assumptions!$Q$24="Yes",IF(BZ$6=Assumptions!$P$26,Assumptions!$Q$25,0),0)</f>
        <v>0</v>
      </c>
      <c r="CA100" s="242">
        <f>IF(Assumptions!$Q$24="Yes",IF(CA$6=Assumptions!$P$26,Assumptions!$Q$25,0),0)</f>
        <v>0</v>
      </c>
      <c r="CB100" s="242">
        <f>IF(Assumptions!$Q$24="Yes",IF(CB$6=Assumptions!$P$26,Assumptions!$Q$25,0),0)</f>
        <v>0</v>
      </c>
      <c r="CC100" s="242">
        <f>IF(Assumptions!$Q$24="Yes",IF(CC$6=Assumptions!$P$26,Assumptions!$Q$25,0),0)</f>
        <v>0</v>
      </c>
      <c r="CD100" s="242">
        <f>IF(Assumptions!$Q$24="Yes",IF(CD$6=Assumptions!$P$26,Assumptions!$Q$25,0),0)</f>
        <v>0</v>
      </c>
      <c r="CE100" s="242">
        <f>IF(Assumptions!$Q$24="Yes",IF(CE$6=Assumptions!$P$26,Assumptions!$Q$25,0),0)</f>
        <v>0</v>
      </c>
      <c r="CF100" s="242">
        <f>IF(Assumptions!$Q$24="Yes",IF(CF$6=Assumptions!$P$26,Assumptions!$Q$25,0),0)</f>
        <v>0</v>
      </c>
      <c r="CG100" s="242">
        <f>IF(Assumptions!$Q$24="Yes",IF(CG$6=Assumptions!$P$26,Assumptions!$Q$25,0),0)</f>
        <v>0</v>
      </c>
      <c r="CH100" s="242">
        <f>IF(Assumptions!$Q$24="Yes",IF(CH$6=Assumptions!$P$26,Assumptions!$Q$25,0),0)</f>
        <v>0</v>
      </c>
      <c r="CI100" s="242">
        <f>IF(Assumptions!$Q$24="Yes",IF(CI$6=Assumptions!$P$26,Assumptions!$Q$25,0),0)</f>
        <v>0</v>
      </c>
      <c r="CJ100" s="242">
        <f>IF(Assumptions!$Q$24="Yes",IF(CJ$6=Assumptions!$P$26,Assumptions!$Q$25,0),0)</f>
        <v>0</v>
      </c>
      <c r="CK100" s="242">
        <f>IF(Assumptions!$Q$24="Yes",IF(CK$6=Assumptions!$P$26,Assumptions!$Q$25,0),0)</f>
        <v>0</v>
      </c>
      <c r="CL100" s="242">
        <f>IF(Assumptions!$Q$24="Yes",IF(CL$6=Assumptions!$P$26,Assumptions!$Q$25,0),0)</f>
        <v>0</v>
      </c>
      <c r="CM100" s="242">
        <f>IF(Assumptions!$Q$24="Yes",IF(CM$6=Assumptions!$P$26,Assumptions!$Q$25,0),0)</f>
        <v>0</v>
      </c>
      <c r="CN100" s="242">
        <f>IF(Assumptions!$Q$24="Yes",IF(CN$6=Assumptions!$P$26,Assumptions!$Q$25,0),0)</f>
        <v>0</v>
      </c>
      <c r="CO100" s="242">
        <f>IF(Assumptions!$Q$24="Yes",IF(CO$6=Assumptions!$P$26,Assumptions!$Q$25,0),0)</f>
        <v>0</v>
      </c>
      <c r="CP100" s="242">
        <f>IF(Assumptions!$Q$24="Yes",IF(CP$6=Assumptions!$P$26,Assumptions!$Q$25,0),0)</f>
        <v>0</v>
      </c>
      <c r="CQ100" s="242">
        <f>IF(Assumptions!$Q$24="Yes",IF(CQ$6=Assumptions!$P$26,Assumptions!$Q$25,0),0)</f>
        <v>0</v>
      </c>
      <c r="CR100" s="242">
        <f>IF(Assumptions!$Q$24="Yes",IF(CR$6=Assumptions!$P$26,Assumptions!$Q$25,0),0)</f>
        <v>0</v>
      </c>
      <c r="CS100" s="242">
        <f>IF(Assumptions!$Q$24="Yes",IF(CS$6=Assumptions!$P$26,Assumptions!$Q$25,0),0)</f>
        <v>0</v>
      </c>
      <c r="CT100" s="242">
        <f>IF(Assumptions!$Q$24="Yes",IF(CT$6=Assumptions!$P$26,Assumptions!$Q$25,0),0)</f>
        <v>0</v>
      </c>
      <c r="CU100" s="242">
        <f>IF(Assumptions!$Q$24="Yes",IF(CU$6=Assumptions!$P$26,Assumptions!$Q$25,0),0)</f>
        <v>0</v>
      </c>
      <c r="CV100" s="242">
        <f>IF(Assumptions!$Q$24="Yes",IF(CV$6=Assumptions!$P$26,Assumptions!$Q$25,0),0)</f>
        <v>0</v>
      </c>
      <c r="CW100" s="242">
        <f>IF(Assumptions!$Q$24="Yes",IF(CW$6=Assumptions!$P$26,Assumptions!$Q$25,0),0)</f>
        <v>0</v>
      </c>
      <c r="CX100" s="242">
        <f>IF(Assumptions!$Q$24="Yes",IF(CX$6=Assumptions!$P$26,Assumptions!$Q$25,0),0)</f>
        <v>0</v>
      </c>
      <c r="CY100" s="242">
        <f>IF(Assumptions!$Q$24="Yes",IF(CY$6=Assumptions!$P$26,Assumptions!$Q$25,0),0)</f>
        <v>0</v>
      </c>
      <c r="CZ100" s="242">
        <f>IF(Assumptions!$Q$24="Yes",IF(CZ$6=Assumptions!$P$26,Assumptions!$Q$25,0),0)</f>
        <v>0</v>
      </c>
      <c r="DA100" s="242">
        <f>IF(Assumptions!$Q$24="Yes",IF(DA$6=Assumptions!$P$26,Assumptions!$Q$25,0),0)</f>
        <v>0</v>
      </c>
      <c r="DB100" s="242">
        <f>IF(Assumptions!$Q$24="Yes",IF(DB$6=Assumptions!$P$26,Assumptions!$Q$25,0),0)</f>
        <v>0</v>
      </c>
      <c r="DC100" s="242">
        <f>IF(Assumptions!$Q$24="Yes",IF(DC$6=Assumptions!$P$26,Assumptions!$Q$25,0),0)</f>
        <v>0</v>
      </c>
      <c r="DD100" s="242">
        <f>IF(Assumptions!$Q$24="Yes",IF(DD$6=Assumptions!$P$26,Assumptions!$Q$25,0),0)</f>
        <v>0</v>
      </c>
      <c r="DE100" s="242">
        <f>IF(Assumptions!$Q$24="Yes",IF(DE$6=Assumptions!$P$26,Assumptions!$Q$25,0),0)</f>
        <v>0</v>
      </c>
      <c r="DF100" s="242">
        <f>IF(Assumptions!$Q$24="Yes",IF(DF$6=Assumptions!$P$26,Assumptions!$Q$25,0),0)</f>
        <v>0</v>
      </c>
      <c r="DG100" s="242">
        <f>IF(Assumptions!$Q$24="Yes",IF(DG$6=Assumptions!$P$26,Assumptions!$Q$25,0),0)</f>
        <v>0</v>
      </c>
      <c r="DH100" s="242">
        <f>IF(Assumptions!$Q$24="Yes",IF(DH$6=Assumptions!$P$26,Assumptions!$Q$25,0),0)</f>
        <v>0</v>
      </c>
      <c r="DI100" s="242">
        <f>IF(Assumptions!$Q$24="Yes",IF(DI$6=Assumptions!$P$26,Assumptions!$Q$25,0),0)</f>
        <v>0</v>
      </c>
      <c r="DJ100" s="242">
        <f>IF(Assumptions!$Q$24="Yes",IF(DJ$6=Assumptions!$P$26,Assumptions!$Q$25,0),0)</f>
        <v>0</v>
      </c>
      <c r="DK100" s="242">
        <f>IF(Assumptions!$Q$24="Yes",IF(DK$6=Assumptions!$P$26,Assumptions!$Q$25,0),0)</f>
        <v>0</v>
      </c>
      <c r="DL100" s="242">
        <f>IF(Assumptions!$Q$24="Yes",IF(DL$6=Assumptions!$P$26,Assumptions!$Q$25,0),0)</f>
        <v>0</v>
      </c>
      <c r="DM100" s="242">
        <f>IF(Assumptions!$Q$24="Yes",IF(DM$6=Assumptions!$P$26,Assumptions!$Q$25,0),0)</f>
        <v>0</v>
      </c>
      <c r="DN100" s="242">
        <f>IF(Assumptions!$Q$24="Yes",IF(DN$6=Assumptions!$P$26,Assumptions!$Q$25,0),0)</f>
        <v>0</v>
      </c>
      <c r="DO100" s="242">
        <f>IF(Assumptions!$Q$24="Yes",IF(DO$6=Assumptions!$P$26,Assumptions!$Q$25,0),0)</f>
        <v>0</v>
      </c>
      <c r="DP100" s="242">
        <f>IF(Assumptions!$Q$24="Yes",IF(DP$6=Assumptions!$P$26,Assumptions!$Q$25,0),0)</f>
        <v>0</v>
      </c>
      <c r="DQ100" s="242">
        <f>IF(Assumptions!$Q$24="Yes",IF(DQ$6=Assumptions!$P$26,Assumptions!$Q$25,0),0)</f>
        <v>0</v>
      </c>
      <c r="DR100" s="242">
        <f>IF(Assumptions!$Q$24="Yes",IF(DR$6=Assumptions!$P$26,Assumptions!$Q$25,0),0)</f>
        <v>0</v>
      </c>
      <c r="DS100" s="242">
        <f>IF(Assumptions!$Q$24="Yes",IF(DS$6=Assumptions!$P$26,Assumptions!$Q$25,0),0)</f>
        <v>0</v>
      </c>
      <c r="DT100" s="242">
        <f>IF(Assumptions!$Q$24="Yes",IF(DT$6=Assumptions!$P$26,Assumptions!$Q$25,0),0)</f>
        <v>0</v>
      </c>
      <c r="DU100" s="242">
        <f>IF(Assumptions!$Q$24="Yes",IF(DU$6=Assumptions!$P$26,Assumptions!$Q$25,0),0)</f>
        <v>0</v>
      </c>
      <c r="DV100" s="242">
        <f>IF(Assumptions!$Q$24="Yes",IF(DV$6=Assumptions!$P$26,Assumptions!$Q$25,0),0)</f>
        <v>0</v>
      </c>
      <c r="DW100" s="242">
        <f>IF(Assumptions!$Q$24="Yes",IF(DW$6=Assumptions!$P$26,Assumptions!$Q$25,0),0)</f>
        <v>0</v>
      </c>
      <c r="DX100" s="242">
        <f>IF(Assumptions!$Q$24="Yes",IF(DX$6=Assumptions!$P$26,Assumptions!$Q$25,0),0)</f>
        <v>0</v>
      </c>
      <c r="DY100" s="242">
        <f>IF(Assumptions!$Q$24="Yes",IF(DY$6=Assumptions!$P$26,Assumptions!$Q$25,0),0)</f>
        <v>0</v>
      </c>
      <c r="DZ100" s="242">
        <f>IF(Assumptions!$Q$24="Yes",IF(DZ$6=Assumptions!$P$26,Assumptions!$Q$25,0),0)</f>
        <v>0</v>
      </c>
      <c r="EA100" s="242">
        <f>IF(Assumptions!$Q$24="Yes",IF(EA$6=Assumptions!$P$26,Assumptions!$Q$25,0),0)</f>
        <v>0</v>
      </c>
      <c r="EB100" s="242">
        <f>IF(Assumptions!$Q$24="Yes",IF(EB$6=Assumptions!$P$26,Assumptions!$Q$25,0),0)</f>
        <v>0</v>
      </c>
      <c r="EC100" s="242">
        <f>IF(Assumptions!$Q$24="Yes",IF(EC$6=Assumptions!$P$26,Assumptions!$Q$25,0),0)</f>
        <v>0</v>
      </c>
      <c r="ED100" s="242">
        <f>IF(Assumptions!$Q$24="Yes",IF(ED$6=Assumptions!$P$26,Assumptions!$Q$25,0),0)</f>
        <v>0</v>
      </c>
      <c r="EE100" s="242">
        <f>IF(Assumptions!$Q$24="Yes",IF(EE$6=Assumptions!$P$26,Assumptions!$Q$25,0),0)</f>
        <v>0</v>
      </c>
      <c r="EF100" s="242">
        <f>IF(Assumptions!$Q$24="Yes",IF(EF$6=Assumptions!$P$26,Assumptions!$Q$25,0),0)</f>
        <v>0</v>
      </c>
      <c r="EG100" s="242">
        <f>IF(Assumptions!$Q$24="Yes",IF(EG$6=Assumptions!$P$26,Assumptions!$Q$25,0),0)</f>
        <v>0</v>
      </c>
      <c r="EH100" s="242">
        <f>IF(Assumptions!$Q$24="Yes",IF(EH$6=Assumptions!$P$26,Assumptions!$Q$25,0),0)</f>
        <v>0</v>
      </c>
      <c r="EI100" s="242">
        <f>IF(Assumptions!$Q$24="Yes",IF(EI$6=Assumptions!$P$26,Assumptions!$Q$25,0),0)</f>
        <v>0</v>
      </c>
      <c r="EJ100" s="242">
        <f>IF(Assumptions!$Q$24="Yes",IF(EJ$6=Assumptions!$P$26,Assumptions!$Q$25,0),0)</f>
        <v>0</v>
      </c>
      <c r="EK100" s="242">
        <f>IF(Assumptions!$Q$24="Yes",IF(EK$6=Assumptions!$P$26,Assumptions!$Q$25,0),0)</f>
        <v>0</v>
      </c>
      <c r="EL100" s="242">
        <f>IF(Assumptions!$Q$24="Yes",IF(EL$6=Assumptions!$P$26,Assumptions!$Q$25,0),0)</f>
        <v>0</v>
      </c>
      <c r="EM100" s="242">
        <f>IF(Assumptions!$Q$24="Yes",IF(EM$6=Assumptions!$P$26,Assumptions!$Q$25,0),0)</f>
        <v>0</v>
      </c>
      <c r="EN100" s="242">
        <f>IF(Assumptions!$Q$24="Yes",IF(EN$6=Assumptions!$P$26,Assumptions!$Q$25,0),0)</f>
        <v>0</v>
      </c>
      <c r="EO100" s="242">
        <f>IF(Assumptions!$Q$24="Yes",IF(EO$6=Assumptions!$P$26,Assumptions!$Q$25,0),0)</f>
        <v>0</v>
      </c>
      <c r="EP100" s="242">
        <f>IF(Assumptions!$Q$24="Yes",IF(EP$6=Assumptions!$P$26,Assumptions!$Q$25,0),0)</f>
        <v>0</v>
      </c>
      <c r="EQ100" s="242">
        <f>IF(Assumptions!$Q$24="Yes",IF(EQ$6=Assumptions!$P$26,Assumptions!$Q$25,0),0)</f>
        <v>0</v>
      </c>
      <c r="ER100" s="242">
        <f>IF(Assumptions!$Q$24="Yes",IF(ER$6=Assumptions!$P$26,Assumptions!$Q$25,0),0)</f>
        <v>0</v>
      </c>
      <c r="ES100" s="242">
        <f>IF(Assumptions!$Q$24="Yes",IF(ES$6=Assumptions!$P$26,Assumptions!$Q$25,0),0)</f>
        <v>0</v>
      </c>
      <c r="ET100" s="242">
        <f>IF(Assumptions!$Q$24="Yes",IF(ET$6=Assumptions!$P$26,Assumptions!$Q$25,0),0)</f>
        <v>0</v>
      </c>
    </row>
    <row r="101" spans="2:150" x14ac:dyDescent="0.2">
      <c r="B101" t="s">
        <v>168</v>
      </c>
      <c r="F101" s="242">
        <f ca="1">IF(F6&lt;Assumptions!$P$26,0,-MIN(-F17+F89+F114,F99+F100))</f>
        <v>0</v>
      </c>
      <c r="G101" s="242">
        <f ca="1">IF(G6&lt;Assumptions!$P$26,0,-MIN(-G17+G89+G114,G99+G100))</f>
        <v>0</v>
      </c>
      <c r="H101" s="242">
        <f ca="1">IF(H6&lt;Assumptions!$P$26,0,-MIN(-H17+H89+H114,H99+H100))</f>
        <v>0</v>
      </c>
      <c r="I101" s="242">
        <f ca="1">IF(I6&lt;Assumptions!$P$26,0,-MIN(-I17+I89+I114,I99+I100))</f>
        <v>0</v>
      </c>
      <c r="J101" s="242">
        <f ca="1">IF(J6&lt;Assumptions!$P$26,0,-MIN(-J17+J89+J114,J99+J100))</f>
        <v>0</v>
      </c>
      <c r="K101" s="242">
        <f ca="1">IF(K6&lt;Assumptions!$P$26,0,-MIN(-K17+K89+K114,K99+K100))</f>
        <v>0</v>
      </c>
      <c r="L101" s="242">
        <f ca="1">IF(L6&lt;Assumptions!$P$26,0,-MIN(-L17+L89+L114,L99+L100))</f>
        <v>0</v>
      </c>
      <c r="M101" s="242">
        <f ca="1">IF(M6&lt;Assumptions!$P$26,0,-MIN(-M17+M89+M114,M99+M100))</f>
        <v>0</v>
      </c>
      <c r="N101" s="242">
        <f ca="1">IF(N6&lt;Assumptions!$P$26,0,-MIN(-N17+N89+N114,N99+N100))</f>
        <v>0</v>
      </c>
      <c r="O101" s="242">
        <f ca="1">IF(O6&lt;Assumptions!$P$26,0,-MIN(-O17+O89+O114,O99+O100))</f>
        <v>0</v>
      </c>
      <c r="P101" s="242">
        <f ca="1">IF(P6&lt;Assumptions!$P$26,0,-MIN(-P17+P89+P114,P99+P100))</f>
        <v>0</v>
      </c>
      <c r="Q101" s="242">
        <f ca="1">IF(Q6&lt;Assumptions!$P$26,0,-MIN(-Q17+Q89+Q114,Q99+Q100))</f>
        <v>0</v>
      </c>
      <c r="R101" s="242">
        <f ca="1">IF(R6&lt;Assumptions!$P$26,0,-MIN(-R17+R89+R114,R99+R100))</f>
        <v>0</v>
      </c>
      <c r="S101" s="242">
        <f ca="1">IF(S6&lt;Assumptions!$P$26,0,-MIN(-S17+S89+S114,S99+S100))</f>
        <v>0</v>
      </c>
      <c r="T101" s="242">
        <f ca="1">IF(T6&lt;Assumptions!$P$26,0,-MIN(-T17+T89+T114,T99+T100))</f>
        <v>0</v>
      </c>
      <c r="U101" s="242">
        <f ca="1">IF(U6&lt;Assumptions!$P$26,0,-MIN(-U17+U89+U114,U99+U100))</f>
        <v>0</v>
      </c>
      <c r="V101" s="242">
        <f ca="1">IF(V6&lt;Assumptions!$P$26,0,-MIN(-V17+V89+V114,V99+V100))</f>
        <v>0</v>
      </c>
      <c r="W101" s="242">
        <f ca="1">IF(W6&lt;Assumptions!$P$26,0,-MIN(-W17+W89+W114,W99+W100))</f>
        <v>0</v>
      </c>
      <c r="X101" s="242">
        <f ca="1">IF(X6&lt;Assumptions!$P$26,0,-MIN(-X17+X89+X114,X99+X100))</f>
        <v>0</v>
      </c>
      <c r="Y101" s="242">
        <f ca="1">IF(Y6&lt;Assumptions!$P$26,0,-MIN(-Y17+Y89+Y114,Y99+Y100))</f>
        <v>0</v>
      </c>
      <c r="Z101" s="242">
        <f ca="1">IF(Z6&lt;Assumptions!$P$26,0,-MIN(-Z17+Z89+Z114,Z99+Z100))</f>
        <v>0</v>
      </c>
      <c r="AA101" s="242">
        <f ca="1">IF(AA6&lt;Assumptions!$P$26,0,-MIN(-AA17+AA89+AA114,AA99+AA100))</f>
        <v>0</v>
      </c>
      <c r="AB101" s="242">
        <f ca="1">IF(AB6&lt;Assumptions!$P$26,0,-MIN(-AB17+AB89+AB114,AB99+AB100))</f>
        <v>0</v>
      </c>
      <c r="AC101" s="242">
        <f ca="1">IF(AC6&lt;Assumptions!$P$26,0,-MIN(-AC17+AC89+AC114,AC99+AC100))</f>
        <v>0</v>
      </c>
      <c r="AD101" s="242">
        <f ca="1">IF(AD6&lt;Assumptions!$P$26,0,-MIN(-AD17+AD89+AD114,AD99+AD100))</f>
        <v>0</v>
      </c>
      <c r="AE101" s="242">
        <f ca="1">IF(AE6&lt;Assumptions!$P$26,0,-MIN(-AE17+AE89+AE114,AE99+AE100))</f>
        <v>0</v>
      </c>
      <c r="AF101" s="242">
        <f ca="1">IF(AF6&lt;Assumptions!$P$26,0,-MIN(-AF17+AF89+AF114,AF99+AF100))</f>
        <v>0</v>
      </c>
      <c r="AG101" s="242">
        <f ca="1">IF(AG6&lt;Assumptions!$P$26,0,-MIN(-AG17+AG89+AG114,AG99+AG100))</f>
        <v>0</v>
      </c>
      <c r="AH101" s="242">
        <f ca="1">IF(AH6&lt;Assumptions!$P$26,0,-MIN(-AH17+AH89+AH114,AH99+AH100))</f>
        <v>0</v>
      </c>
      <c r="AI101" s="242">
        <f ca="1">IF(AI6&lt;Assumptions!$P$26,0,-MIN(-AI17+AI89+AI114,AI99+AI100))</f>
        <v>0</v>
      </c>
      <c r="AJ101" s="242">
        <f ca="1">IF(AJ6&lt;Assumptions!$P$26,0,-MIN(-AJ17+AJ89+AJ114,AJ99+AJ100))</f>
        <v>0</v>
      </c>
      <c r="AK101" s="242">
        <f ca="1">IF(AK6&lt;Assumptions!$P$26,0,-MIN(-AK17+AK89+AK114,AK99+AK100))</f>
        <v>0</v>
      </c>
      <c r="AL101" s="242">
        <f ca="1">IF(AL6&lt;Assumptions!$P$26,0,-MIN(-AL17+AL89+AL114,AL99+AL100))</f>
        <v>0</v>
      </c>
      <c r="AM101" s="242">
        <f ca="1">IF(AM6&lt;Assumptions!$P$26,0,-MIN(-AM17+AM89+AM114,AM99+AM100))</f>
        <v>0</v>
      </c>
      <c r="AN101" s="242">
        <f ca="1">IF(AN6&lt;Assumptions!$P$26,0,-MIN(-AN17+AN89+AN114,AN99+AN100))</f>
        <v>0</v>
      </c>
      <c r="AO101" s="242">
        <f ca="1">IF(AO6&lt;Assumptions!$P$26,0,-MIN(-AO17+AO89+AO114,AO99+AO100))</f>
        <v>0</v>
      </c>
      <c r="AP101" s="242">
        <f ca="1">IF(AP6&lt;Assumptions!$P$26,0,-MIN(-AP17+AP89+AP114,AP99+AP100))</f>
        <v>0</v>
      </c>
      <c r="AQ101" s="242">
        <f ca="1">IF(AQ6&lt;Assumptions!$P$26,0,-MIN(-AQ17+AQ89+AQ114,AQ99+AQ100))</f>
        <v>0</v>
      </c>
      <c r="AR101" s="242">
        <f ca="1">IF(AR6&lt;Assumptions!$P$26,0,-MIN(-AR17+AR89+AR114,AR99+AR100))</f>
        <v>0</v>
      </c>
      <c r="AS101" s="242">
        <f ca="1">IF(AS6&lt;Assumptions!$P$26,0,-MIN(-AS17+AS89+AS114,AS99+AS100))</f>
        <v>0</v>
      </c>
      <c r="AT101" s="242">
        <f ca="1">IF(AT6&lt;Assumptions!$P$26,0,-MIN(-AT17+AT89+AT114,AT99+AT100))</f>
        <v>0</v>
      </c>
      <c r="AU101" s="242">
        <f ca="1">IF(AU6&lt;Assumptions!$P$26,0,-MIN(-AU17+AU89+AU114,AU99+AU100))</f>
        <v>0</v>
      </c>
      <c r="AV101" s="242">
        <f ca="1">IF(AV6&lt;Assumptions!$P$26,0,-MIN(-AV17+AV89+AV114,AV99+AV100))</f>
        <v>0</v>
      </c>
      <c r="AW101" s="242">
        <f ca="1">IF(AW6&lt;Assumptions!$P$26,0,-MIN(-AW17+AW89+AW114,AW99+AW100))</f>
        <v>0</v>
      </c>
      <c r="AX101" s="242">
        <f ca="1">IF(AX6&lt;Assumptions!$P$26,0,-MIN(-AX17+AX89+AX114,AX99+AX100))</f>
        <v>0</v>
      </c>
      <c r="AY101" s="242">
        <f ca="1">IF(AY6&lt;Assumptions!$P$26,0,-MIN(-AY17+AY89+AY114,AY99+AY100))</f>
        <v>0</v>
      </c>
      <c r="AZ101" s="242">
        <f ca="1">IF(AZ6&lt;Assumptions!$P$26,0,-MIN(-AZ17+AZ89+AZ114,AZ99+AZ100))</f>
        <v>0</v>
      </c>
      <c r="BA101" s="242">
        <f ca="1">IF(BA6&lt;Assumptions!$P$26,0,-MIN(-BA17+BA89+BA114,BA99+BA100))</f>
        <v>0</v>
      </c>
      <c r="BB101" s="242">
        <f ca="1">IF(BB6&lt;Assumptions!$P$26,0,-MIN(-BB17+BB89+BB114,BB99+BB100))</f>
        <v>0</v>
      </c>
      <c r="BC101" s="242">
        <f ca="1">IF(BC6&lt;Assumptions!$P$26,0,-MIN(-BC17+BC89+BC114,BC99+BC100))</f>
        <v>0</v>
      </c>
      <c r="BD101" s="242">
        <f ca="1">IF(BD6&lt;Assumptions!$P$26,0,-MIN(-BD17+BD89+BD114,BD99+BD100))</f>
        <v>0</v>
      </c>
      <c r="BE101" s="242">
        <f ca="1">IF(BE6&lt;Assumptions!$P$26,0,-MIN(-BE17+BE89+BE114,BE99+BE100))</f>
        <v>0</v>
      </c>
      <c r="BF101" s="242">
        <f ca="1">IF(BF6&lt;Assumptions!$P$26,0,-MIN(-BF17+BF89+BF114,BF99+BF100))</f>
        <v>0</v>
      </c>
      <c r="BG101" s="242">
        <f ca="1">IF(BG6&lt;Assumptions!$P$26,0,-MIN(-BG17+BG89+BG114,BG99+BG100))</f>
        <v>0</v>
      </c>
      <c r="BH101" s="242">
        <f ca="1">IF(BH6&lt;Assumptions!$P$26,0,-MIN(-BH17+BH89+BH114,BH99+BH100))</f>
        <v>0</v>
      </c>
      <c r="BI101" s="242">
        <f ca="1">IF(BI6&lt;Assumptions!$P$26,0,-MIN(-BI17+BI89+BI114,BI99+BI100))</f>
        <v>0</v>
      </c>
      <c r="BJ101" s="242">
        <f ca="1">IF(BJ6&lt;Assumptions!$P$26,0,-MIN(-BJ17+BJ89+BJ114,BJ99+BJ100))</f>
        <v>0</v>
      </c>
      <c r="BK101" s="242">
        <f ca="1">IF(BK6&lt;Assumptions!$P$26,0,-MIN(-BK17+BK89+BK114,BK99+BK100))</f>
        <v>0</v>
      </c>
      <c r="BL101" s="242">
        <f ca="1">IF(BL6&lt;Assumptions!$P$26,0,-MIN(-BL17+BL89+BL114,BL99+BL100))</f>
        <v>0</v>
      </c>
      <c r="BM101" s="242">
        <f ca="1">IF(BM6&lt;Assumptions!$P$26,0,-MIN(-BM17+BM89+BM114,BM99+BM100))</f>
        <v>0</v>
      </c>
      <c r="BN101" s="242">
        <f ca="1">IF(BN6&lt;Assumptions!$P$26,0,-MIN(-BN17+BN89+BN114,BN99+BN100))</f>
        <v>0</v>
      </c>
      <c r="BO101" s="242">
        <f ca="1">IF(BO6&lt;Assumptions!$P$26,0,-MIN(-BO17+BO89+BO114,BO99+BO100))</f>
        <v>0</v>
      </c>
      <c r="BP101" s="242">
        <f ca="1">IF(BP6&lt;Assumptions!$P$26,0,-MIN(-BP17+BP89+BP114,BP99+BP100))</f>
        <v>0</v>
      </c>
      <c r="BQ101" s="242">
        <f ca="1">IF(BQ6&lt;Assumptions!$P$26,0,-MIN(-BQ17+BQ89+BQ114,BQ99+BQ100))</f>
        <v>0</v>
      </c>
      <c r="BR101" s="242">
        <f ca="1">IF(BR6&lt;Assumptions!$P$26,0,-MIN(-BR17+BR89+BR114,BR99+BR100))</f>
        <v>0</v>
      </c>
      <c r="BS101" s="242">
        <f ca="1">IF(BS6&lt;Assumptions!$P$26,0,-MIN(-BS17+BS89+BS114,BS99+BS100))</f>
        <v>0</v>
      </c>
      <c r="BT101" s="242">
        <f ca="1">IF(BT6&lt;Assumptions!$P$26,0,-MIN(-BT17+BT89+BT114,BT99+BT100))</f>
        <v>0</v>
      </c>
      <c r="BU101" s="242">
        <f ca="1">IF(BU6&lt;Assumptions!$P$26,0,-MIN(-BU17+BU89+BU114,BU99+BU100))</f>
        <v>0</v>
      </c>
      <c r="BV101" s="242">
        <f ca="1">IF(BV6&lt;Assumptions!$P$26,0,-MIN(-BV17+BV89+BV114,BV99+BV100))</f>
        <v>0</v>
      </c>
      <c r="BW101" s="242">
        <f ca="1">IF(BW6&lt;Assumptions!$P$26,0,-MIN(-BW17+BW89+BW114,BW99+BW100))</f>
        <v>0</v>
      </c>
      <c r="BX101" s="242">
        <f ca="1">IF(BX6&lt;Assumptions!$P$26,0,-MIN(-BX17+BX89+BX114,BX99+BX100))</f>
        <v>0</v>
      </c>
      <c r="BY101" s="242">
        <f ca="1">IF(BY6&lt;Assumptions!$P$26,0,-MIN(-BY17+BY89+BY114,BY99+BY100))</f>
        <v>0</v>
      </c>
      <c r="BZ101" s="242">
        <f ca="1">IF(BZ6&lt;Assumptions!$P$26,0,-MIN(-BZ17+BZ89+BZ114,BZ99+BZ100))</f>
        <v>0</v>
      </c>
      <c r="CA101" s="242">
        <f ca="1">IF(CA6&lt;Assumptions!$P$26,0,-MIN(-CA17+CA89+CA114,CA99+CA100))</f>
        <v>0</v>
      </c>
      <c r="CB101" s="242">
        <f ca="1">IF(CB6&lt;Assumptions!$P$26,0,-MIN(-CB17+CB89+CB114,CB99+CB100))</f>
        <v>0</v>
      </c>
      <c r="CC101" s="242">
        <f ca="1">IF(CC6&lt;Assumptions!$P$26,0,-MIN(-CC17+CC89+CC114,CC99+CC100))</f>
        <v>0</v>
      </c>
      <c r="CD101" s="242">
        <f ca="1">IF(CD6&lt;Assumptions!$P$26,0,-MIN(-CD17+CD89+CD114,CD99+CD100))</f>
        <v>0</v>
      </c>
      <c r="CE101" s="242">
        <f ca="1">IF(CE6&lt;Assumptions!$P$26,0,-MIN(-CE17+CE89+CE114,CE99+CE100))</f>
        <v>0</v>
      </c>
      <c r="CF101" s="242">
        <f ca="1">IF(CF6&lt;Assumptions!$P$26,0,-MIN(-CF17+CF89+CF114,CF99+CF100))</f>
        <v>0</v>
      </c>
      <c r="CG101" s="242">
        <f ca="1">IF(CG6&lt;Assumptions!$P$26,0,-MIN(-CG17+CG89+CG114,CG99+CG100))</f>
        <v>0</v>
      </c>
      <c r="CH101" s="242">
        <f ca="1">IF(CH6&lt;Assumptions!$P$26,0,-MIN(-CH17+CH89+CH114,CH99+CH100))</f>
        <v>0</v>
      </c>
      <c r="CI101" s="242">
        <f ca="1">IF(CI6&lt;Assumptions!$P$26,0,-MIN(-CI17+CI89+CI114,CI99+CI100))</f>
        <v>0</v>
      </c>
      <c r="CJ101" s="242">
        <f ca="1">IF(CJ6&lt;Assumptions!$P$26,0,-MIN(-CJ17+CJ89+CJ114,CJ99+CJ100))</f>
        <v>0</v>
      </c>
      <c r="CK101" s="242">
        <f ca="1">IF(CK6&lt;Assumptions!$P$26,0,-MIN(-CK17+CK89+CK114,CK99+CK100))</f>
        <v>0</v>
      </c>
      <c r="CL101" s="242">
        <f ca="1">IF(CL6&lt;Assumptions!$P$26,0,-MIN(-CL17+CL89+CL114,CL99+CL100))</f>
        <v>0</v>
      </c>
      <c r="CM101" s="242">
        <f ca="1">IF(CM6&lt;Assumptions!$P$26,0,-MIN(-CM17+CM89+CM114,CM99+CM100))</f>
        <v>0</v>
      </c>
      <c r="CN101" s="242">
        <f ca="1">IF(CN6&lt;Assumptions!$P$26,0,-MIN(-CN17+CN89+CN114,CN99+CN100))</f>
        <v>0</v>
      </c>
      <c r="CO101" s="242">
        <f ca="1">IF(CO6&lt;Assumptions!$P$26,0,-MIN(-CO17+CO89+CO114,CO99+CO100))</f>
        <v>0</v>
      </c>
      <c r="CP101" s="242">
        <f ca="1">IF(CP6&lt;Assumptions!$P$26,0,-MIN(-CP17+CP89+CP114,CP99+CP100))</f>
        <v>0</v>
      </c>
      <c r="CQ101" s="242">
        <f ca="1">IF(CQ6&lt;Assumptions!$P$26,0,-MIN(-CQ17+CQ89+CQ114,CQ99+CQ100))</f>
        <v>0</v>
      </c>
      <c r="CR101" s="242">
        <f ca="1">IF(CR6&lt;Assumptions!$P$26,0,-MIN(-CR17+CR89+CR114,CR99+CR100))</f>
        <v>0</v>
      </c>
      <c r="CS101" s="242">
        <f ca="1">IF(CS6&lt;Assumptions!$P$26,0,-MIN(-CS17+CS89+CS114,CS99+CS100))</f>
        <v>0</v>
      </c>
      <c r="CT101" s="242">
        <f ca="1">IF(CT6&lt;Assumptions!$P$26,0,-MIN(-CT17+CT89+CT114,CT99+CT100))</f>
        <v>0</v>
      </c>
      <c r="CU101" s="242">
        <f ca="1">IF(CU6&lt;Assumptions!$P$26,0,-MIN(-CU17+CU89+CU114,CU99+CU100))</f>
        <v>0</v>
      </c>
      <c r="CV101" s="242">
        <f ca="1">IF(CV6&lt;Assumptions!$P$26,0,-MIN(-CV17+CV89+CV114,CV99+CV100))</f>
        <v>0</v>
      </c>
      <c r="CW101" s="242">
        <f ca="1">IF(CW6&lt;Assumptions!$P$26,0,-MIN(-CW17+CW89+CW114,CW99+CW100))</f>
        <v>0</v>
      </c>
      <c r="CX101" s="242">
        <f ca="1">IF(CX6&lt;Assumptions!$P$26,0,-MIN(-CX17+CX89+CX114,CX99+CX100))</f>
        <v>0</v>
      </c>
      <c r="CY101" s="242">
        <f ca="1">IF(CY6&lt;Assumptions!$P$26,0,-MIN(-CY17+CY89+CY114,CY99+CY100))</f>
        <v>0</v>
      </c>
      <c r="CZ101" s="242">
        <f ca="1">IF(CZ6&lt;Assumptions!$P$26,0,-MIN(-CZ17+CZ89+CZ114,CZ99+CZ100))</f>
        <v>0</v>
      </c>
      <c r="DA101" s="242">
        <f ca="1">IF(DA6&lt;Assumptions!$P$26,0,-MIN(-DA17+DA89+DA114,DA99+DA100))</f>
        <v>0</v>
      </c>
      <c r="DB101" s="242">
        <f ca="1">IF(DB6&lt;Assumptions!$P$26,0,-MIN(-DB17+DB89+DB114,DB99+DB100))</f>
        <v>0</v>
      </c>
      <c r="DC101" s="242">
        <f ca="1">IF(DC6&lt;Assumptions!$P$26,0,-MIN(-DC17+DC89+DC114,DC99+DC100))</f>
        <v>0</v>
      </c>
      <c r="DD101" s="242">
        <f ca="1">IF(DD6&lt;Assumptions!$P$26,0,-MIN(-DD17+DD89+DD114,DD99+DD100))</f>
        <v>0</v>
      </c>
      <c r="DE101" s="242">
        <f ca="1">IF(DE6&lt;Assumptions!$P$26,0,-MIN(-DE17+DE89+DE114,DE99+DE100))</f>
        <v>0</v>
      </c>
      <c r="DF101" s="242">
        <f ca="1">IF(DF6&lt;Assumptions!$P$26,0,-MIN(-DF17+DF89+DF114,DF99+DF100))</f>
        <v>0</v>
      </c>
      <c r="DG101" s="242">
        <f ca="1">IF(DG6&lt;Assumptions!$P$26,0,-MIN(-DG17+DG89+DG114,DG99+DG100))</f>
        <v>0</v>
      </c>
      <c r="DH101" s="242">
        <f ca="1">IF(DH6&lt;Assumptions!$P$26,0,-MIN(-DH17+DH89+DH114,DH99+DH100))</f>
        <v>0</v>
      </c>
      <c r="DI101" s="242">
        <f ca="1">IF(DI6&lt;Assumptions!$P$26,0,-MIN(-DI17+DI89+DI114,DI99+DI100))</f>
        <v>0</v>
      </c>
      <c r="DJ101" s="242">
        <f ca="1">IF(DJ6&lt;Assumptions!$P$26,0,-MIN(-DJ17+DJ89+DJ114,DJ99+DJ100))</f>
        <v>0</v>
      </c>
      <c r="DK101" s="242">
        <f ca="1">IF(DK6&lt;Assumptions!$P$26,0,-MIN(-DK17+DK89+DK114,DK99+DK100))</f>
        <v>0</v>
      </c>
      <c r="DL101" s="242">
        <f ca="1">IF(DL6&lt;Assumptions!$P$26,0,-MIN(-DL17+DL89+DL114,DL99+DL100))</f>
        <v>0</v>
      </c>
      <c r="DM101" s="242">
        <f ca="1">IF(DM6&lt;Assumptions!$P$26,0,-MIN(-DM17+DM89+DM114,DM99+DM100))</f>
        <v>0</v>
      </c>
      <c r="DN101" s="242">
        <f ca="1">IF(DN6&lt;Assumptions!$P$26,0,-MIN(-DN17+DN89+DN114,DN99+DN100))</f>
        <v>0</v>
      </c>
      <c r="DO101" s="242">
        <f ca="1">IF(DO6&lt;Assumptions!$P$26,0,-MIN(-DO17+DO89+DO114,DO99+DO100))</f>
        <v>0</v>
      </c>
      <c r="DP101" s="242">
        <f ca="1">IF(DP6&lt;Assumptions!$P$26,0,-MIN(-DP17+DP89+DP114,DP99+DP100))</f>
        <v>0</v>
      </c>
      <c r="DQ101" s="242">
        <f ca="1">IF(DQ6&lt;Assumptions!$P$26,0,-MIN(-DQ17+DQ89+DQ114,DQ99+DQ100))</f>
        <v>0</v>
      </c>
      <c r="DR101" s="242">
        <f ca="1">IF(DR6&lt;Assumptions!$P$26,0,-MIN(-DR17+DR89+DR114,DR99+DR100))</f>
        <v>0</v>
      </c>
      <c r="DS101" s="242">
        <f ca="1">IF(DS6&lt;Assumptions!$P$26,0,-MIN(-DS17+DS89+DS114,DS99+DS100))</f>
        <v>0</v>
      </c>
      <c r="DT101" s="242">
        <f ca="1">IF(DT6&lt;Assumptions!$P$26,0,-MIN(-DT17+DT89+DT114,DT99+DT100))</f>
        <v>0</v>
      </c>
      <c r="DU101" s="242">
        <f ca="1">IF(DU6&lt;Assumptions!$P$26,0,-MIN(-DU17+DU89+DU114,DU99+DU100))</f>
        <v>0</v>
      </c>
      <c r="DV101" s="242">
        <f ca="1">IF(DV6&lt;Assumptions!$P$26,0,-MIN(-DV17+DV89+DV114,DV99+DV100))</f>
        <v>0</v>
      </c>
      <c r="DW101" s="242">
        <f ca="1">IF(DW6&lt;Assumptions!$P$26,0,-MIN(-DW17+DW89+DW114,DW99+DW100))</f>
        <v>0</v>
      </c>
      <c r="DX101" s="242">
        <f ca="1">IF(DX6&lt;Assumptions!$P$26,0,-MIN(-DX17+DX89+DX114,DX99+DX100))</f>
        <v>0</v>
      </c>
      <c r="DY101" s="242">
        <f ca="1">IF(DY6&lt;Assumptions!$P$26,0,-MIN(-DY17+DY89+DY114,DY99+DY100))</f>
        <v>0</v>
      </c>
      <c r="DZ101" s="242">
        <f ca="1">IF(DZ6&lt;Assumptions!$P$26,0,-MIN(-DZ17+DZ89+DZ114,DZ99+DZ100))</f>
        <v>0</v>
      </c>
      <c r="EA101" s="242">
        <f ca="1">IF(EA6&lt;Assumptions!$P$26,0,-MIN(-EA17+EA89+EA114,EA99+EA100))</f>
        <v>0</v>
      </c>
      <c r="EB101" s="242">
        <f ca="1">IF(EB6&lt;Assumptions!$P$26,0,-MIN(-EB17+EB89+EB114,EB99+EB100))</f>
        <v>0</v>
      </c>
      <c r="EC101" s="242">
        <f ca="1">IF(EC6&lt;Assumptions!$P$26,0,-MIN(-EC17+EC89+EC114,EC99+EC100))</f>
        <v>0</v>
      </c>
      <c r="ED101" s="242">
        <f ca="1">IF(ED6&lt;Assumptions!$P$26,0,-MIN(-ED17+ED89+ED114,ED99+ED100))</f>
        <v>0</v>
      </c>
      <c r="EE101" s="242">
        <f ca="1">IF(EE6&lt;Assumptions!$P$26,0,-MIN(-EE17+EE89+EE114,EE99+EE100))</f>
        <v>0</v>
      </c>
      <c r="EF101" s="242">
        <f ca="1">IF(EF6&lt;Assumptions!$P$26,0,-MIN(-EF17+EF89+EF114,EF99+EF100))</f>
        <v>0</v>
      </c>
      <c r="EG101" s="242">
        <f ca="1">IF(EG6&lt;Assumptions!$P$26,0,-MIN(-EG17+EG89+EG114,EG99+EG100))</f>
        <v>0</v>
      </c>
      <c r="EH101" s="242">
        <f ca="1">IF(EH6&lt;Assumptions!$P$26,0,-MIN(-EH17+EH89+EH114,EH99+EH100))</f>
        <v>0</v>
      </c>
      <c r="EI101" s="242">
        <f ca="1">IF(EI6&lt;Assumptions!$P$26,0,-MIN(-EI17+EI89+EI114,EI99+EI100))</f>
        <v>0</v>
      </c>
      <c r="EJ101" s="242">
        <f ca="1">IF(EJ6&lt;Assumptions!$P$26,0,-MIN(-EJ17+EJ89+EJ114,EJ99+EJ100))</f>
        <v>0</v>
      </c>
      <c r="EK101" s="242">
        <f ca="1">IF(EK6&lt;Assumptions!$P$26,0,-MIN(-EK17+EK89+EK114,EK99+EK100))</f>
        <v>0</v>
      </c>
      <c r="EL101" s="242">
        <f ca="1">IF(EL6&lt;Assumptions!$P$26,0,-MIN(-EL17+EL89+EL114,EL99+EL100))</f>
        <v>0</v>
      </c>
      <c r="EM101" s="242">
        <f ca="1">IF(EM6&lt;Assumptions!$P$26,0,-MIN(-EM17+EM89+EM114,EM99+EM100))</f>
        <v>0</v>
      </c>
      <c r="EN101" s="242">
        <f ca="1">IF(EN6&lt;Assumptions!$P$26,0,-MIN(-EN17+EN89+EN114,EN99+EN100))</f>
        <v>0</v>
      </c>
      <c r="EO101" s="242">
        <f ca="1">IF(EO6&lt;Assumptions!$P$26,0,-MIN(-EO17+EO89+EO114,EO99+EO100))</f>
        <v>0</v>
      </c>
      <c r="EP101" s="242">
        <f ca="1">IF(EP6&lt;Assumptions!$P$26,0,-MIN(-EP17+EP89+EP114,EP99+EP100))</f>
        <v>0</v>
      </c>
      <c r="EQ101" s="242">
        <f ca="1">IF(EQ6&lt;Assumptions!$P$26,0,-MIN(-EQ17+EQ89+EQ114,EQ99+EQ100))</f>
        <v>0</v>
      </c>
      <c r="ER101" s="242">
        <f ca="1">IF(ER6&lt;Assumptions!$P$26,0,-MIN(-ER17+ER89+ER114,ER99+ER100))</f>
        <v>0</v>
      </c>
      <c r="ES101" s="242">
        <f ca="1">IF(ES6&lt;Assumptions!$P$26,0,-MIN(-ES17+ES89+ES114,ES99+ES100))</f>
        <v>0</v>
      </c>
      <c r="ET101" s="242">
        <f ca="1">IF(ET6&lt;Assumptions!$P$26,0,-MIN(-ET17+ET89+ET114,ET99+ET100))</f>
        <v>0</v>
      </c>
    </row>
    <row r="102" spans="2:150" x14ac:dyDescent="0.2">
      <c r="B102" s="98" t="s">
        <v>169</v>
      </c>
      <c r="C102" s="98"/>
      <c r="D102" s="97"/>
      <c r="E102" s="98"/>
      <c r="F102" s="251">
        <f ca="1">SUM(F99:F101)</f>
        <v>0</v>
      </c>
      <c r="G102" s="251">
        <f t="shared" ref="G102:I102" ca="1" si="1059">SUM(G99:G101)</f>
        <v>0</v>
      </c>
      <c r="H102" s="251">
        <f t="shared" ca="1" si="1059"/>
        <v>0</v>
      </c>
      <c r="I102" s="251">
        <f t="shared" ca="1" si="1059"/>
        <v>0</v>
      </c>
      <c r="J102" s="251">
        <f t="shared" ref="J102" ca="1" si="1060">SUM(J99:J101)</f>
        <v>0</v>
      </c>
      <c r="K102" s="251">
        <f t="shared" ref="K102" ca="1" si="1061">SUM(K99:K101)</f>
        <v>0</v>
      </c>
      <c r="L102" s="251">
        <f t="shared" ref="L102" ca="1" si="1062">SUM(L99:L101)</f>
        <v>0</v>
      </c>
      <c r="M102" s="251">
        <f t="shared" ref="M102" ca="1" si="1063">SUM(M99:M101)</f>
        <v>0</v>
      </c>
      <c r="N102" s="251">
        <f t="shared" ref="N102" ca="1" si="1064">SUM(N99:N101)</f>
        <v>0</v>
      </c>
      <c r="O102" s="251">
        <f t="shared" ref="O102" ca="1" si="1065">SUM(O99:O101)</f>
        <v>0</v>
      </c>
      <c r="P102" s="251">
        <f t="shared" ref="P102" ca="1" si="1066">SUM(P99:P101)</f>
        <v>0</v>
      </c>
      <c r="Q102" s="251">
        <f t="shared" ref="Q102" ca="1" si="1067">SUM(Q99:Q101)</f>
        <v>0</v>
      </c>
      <c r="R102" s="251">
        <f t="shared" ref="R102" ca="1" si="1068">SUM(R99:R101)</f>
        <v>0</v>
      </c>
      <c r="S102" s="251">
        <f t="shared" ref="S102" ca="1" si="1069">SUM(S99:S101)</f>
        <v>0</v>
      </c>
      <c r="T102" s="251">
        <f t="shared" ref="T102" ca="1" si="1070">SUM(T99:T101)</f>
        <v>0</v>
      </c>
      <c r="U102" s="251">
        <f t="shared" ref="U102" ca="1" si="1071">SUM(U99:U101)</f>
        <v>0</v>
      </c>
      <c r="V102" s="251">
        <f t="shared" ref="V102" ca="1" si="1072">SUM(V99:V101)</f>
        <v>0</v>
      </c>
      <c r="W102" s="251">
        <f t="shared" ref="W102" ca="1" si="1073">SUM(W99:W101)</f>
        <v>0</v>
      </c>
      <c r="X102" s="251">
        <f t="shared" ref="X102" ca="1" si="1074">SUM(X99:X101)</f>
        <v>0</v>
      </c>
      <c r="Y102" s="251">
        <f t="shared" ref="Y102" ca="1" si="1075">SUM(Y99:Y101)</f>
        <v>0</v>
      </c>
      <c r="Z102" s="251">
        <f t="shared" ref="Z102" ca="1" si="1076">SUM(Z99:Z101)</f>
        <v>0</v>
      </c>
      <c r="AA102" s="251">
        <f t="shared" ref="AA102" ca="1" si="1077">SUM(AA99:AA101)</f>
        <v>0</v>
      </c>
      <c r="AB102" s="251">
        <f t="shared" ref="AB102" ca="1" si="1078">SUM(AB99:AB101)</f>
        <v>0</v>
      </c>
      <c r="AC102" s="251">
        <f t="shared" ref="AC102" ca="1" si="1079">SUM(AC99:AC101)</f>
        <v>0</v>
      </c>
      <c r="AD102" s="251">
        <f t="shared" ref="AD102" ca="1" si="1080">SUM(AD99:AD101)</f>
        <v>0</v>
      </c>
      <c r="AE102" s="251">
        <f t="shared" ref="AE102" ca="1" si="1081">SUM(AE99:AE101)</f>
        <v>0</v>
      </c>
      <c r="AF102" s="251">
        <f t="shared" ref="AF102" ca="1" si="1082">SUM(AF99:AF101)</f>
        <v>0</v>
      </c>
      <c r="AG102" s="251">
        <f t="shared" ref="AG102" ca="1" si="1083">SUM(AG99:AG101)</f>
        <v>0</v>
      </c>
      <c r="AH102" s="251">
        <f t="shared" ref="AH102" ca="1" si="1084">SUM(AH99:AH101)</f>
        <v>0</v>
      </c>
      <c r="AI102" s="251">
        <f t="shared" ref="AI102" ca="1" si="1085">SUM(AI99:AI101)</f>
        <v>0</v>
      </c>
      <c r="AJ102" s="251">
        <f t="shared" ref="AJ102" ca="1" si="1086">SUM(AJ99:AJ101)</f>
        <v>0</v>
      </c>
      <c r="AK102" s="251">
        <f t="shared" ref="AK102" ca="1" si="1087">SUM(AK99:AK101)</f>
        <v>0</v>
      </c>
      <c r="AL102" s="251">
        <f t="shared" ref="AL102" ca="1" si="1088">SUM(AL99:AL101)</f>
        <v>0</v>
      </c>
      <c r="AM102" s="251">
        <f t="shared" ref="AM102" ca="1" si="1089">SUM(AM99:AM101)</f>
        <v>0</v>
      </c>
      <c r="AN102" s="251">
        <f t="shared" ref="AN102" ca="1" si="1090">SUM(AN99:AN101)</f>
        <v>0</v>
      </c>
      <c r="AO102" s="251">
        <f t="shared" ref="AO102" ca="1" si="1091">SUM(AO99:AO101)</f>
        <v>0</v>
      </c>
      <c r="AP102" s="251">
        <f t="shared" ref="AP102" ca="1" si="1092">SUM(AP99:AP101)</f>
        <v>0</v>
      </c>
      <c r="AQ102" s="251">
        <f t="shared" ref="AQ102" ca="1" si="1093">SUM(AQ99:AQ101)</f>
        <v>0</v>
      </c>
      <c r="AR102" s="251">
        <f t="shared" ref="AR102" ca="1" si="1094">SUM(AR99:AR101)</f>
        <v>0</v>
      </c>
      <c r="AS102" s="251">
        <f t="shared" ref="AS102" ca="1" si="1095">SUM(AS99:AS101)</f>
        <v>0</v>
      </c>
      <c r="AT102" s="251">
        <f t="shared" ref="AT102" ca="1" si="1096">SUM(AT99:AT101)</f>
        <v>0</v>
      </c>
      <c r="AU102" s="251">
        <f t="shared" ref="AU102" ca="1" si="1097">SUM(AU99:AU101)</f>
        <v>0</v>
      </c>
      <c r="AV102" s="251">
        <f t="shared" ref="AV102" ca="1" si="1098">SUM(AV99:AV101)</f>
        <v>0</v>
      </c>
      <c r="AW102" s="251">
        <f t="shared" ref="AW102" ca="1" si="1099">SUM(AW99:AW101)</f>
        <v>0</v>
      </c>
      <c r="AX102" s="251">
        <f t="shared" ref="AX102" ca="1" si="1100">SUM(AX99:AX101)</f>
        <v>0</v>
      </c>
      <c r="AY102" s="251">
        <f t="shared" ref="AY102" ca="1" si="1101">SUM(AY99:AY101)</f>
        <v>0</v>
      </c>
      <c r="AZ102" s="251">
        <f t="shared" ref="AZ102" ca="1" si="1102">SUM(AZ99:AZ101)</f>
        <v>0</v>
      </c>
      <c r="BA102" s="251">
        <f t="shared" ref="BA102" ca="1" si="1103">SUM(BA99:BA101)</f>
        <v>0</v>
      </c>
      <c r="BB102" s="251">
        <f t="shared" ref="BB102" ca="1" si="1104">SUM(BB99:BB101)</f>
        <v>0</v>
      </c>
      <c r="BC102" s="251">
        <f t="shared" ref="BC102" ca="1" si="1105">SUM(BC99:BC101)</f>
        <v>0</v>
      </c>
      <c r="BD102" s="251">
        <f t="shared" ref="BD102" ca="1" si="1106">SUM(BD99:BD101)</f>
        <v>0</v>
      </c>
      <c r="BE102" s="251">
        <f t="shared" ref="BE102" ca="1" si="1107">SUM(BE99:BE101)</f>
        <v>0</v>
      </c>
      <c r="BF102" s="251">
        <f t="shared" ref="BF102" ca="1" si="1108">SUM(BF99:BF101)</f>
        <v>0</v>
      </c>
      <c r="BG102" s="251">
        <f t="shared" ref="BG102" ca="1" si="1109">SUM(BG99:BG101)</f>
        <v>0</v>
      </c>
      <c r="BH102" s="251">
        <f t="shared" ref="BH102" ca="1" si="1110">SUM(BH99:BH101)</f>
        <v>0</v>
      </c>
      <c r="BI102" s="251">
        <f t="shared" ref="BI102" ca="1" si="1111">SUM(BI99:BI101)</f>
        <v>0</v>
      </c>
      <c r="BJ102" s="251">
        <f t="shared" ref="BJ102" ca="1" si="1112">SUM(BJ99:BJ101)</f>
        <v>0</v>
      </c>
      <c r="BK102" s="251">
        <f t="shared" ref="BK102" ca="1" si="1113">SUM(BK99:BK101)</f>
        <v>0</v>
      </c>
      <c r="BL102" s="251">
        <f t="shared" ref="BL102" ca="1" si="1114">SUM(BL99:BL101)</f>
        <v>0</v>
      </c>
      <c r="BM102" s="251">
        <f t="shared" ref="BM102" ca="1" si="1115">SUM(BM99:BM101)</f>
        <v>0</v>
      </c>
      <c r="BN102" s="251">
        <f t="shared" ref="BN102" ca="1" si="1116">SUM(BN99:BN101)</f>
        <v>0</v>
      </c>
      <c r="BO102" s="251">
        <f t="shared" ref="BO102" ca="1" si="1117">SUM(BO99:BO101)</f>
        <v>0</v>
      </c>
      <c r="BP102" s="251">
        <f t="shared" ref="BP102" ca="1" si="1118">SUM(BP99:BP101)</f>
        <v>0</v>
      </c>
      <c r="BQ102" s="251">
        <f t="shared" ref="BQ102" ca="1" si="1119">SUM(BQ99:BQ101)</f>
        <v>0</v>
      </c>
      <c r="BR102" s="251">
        <f t="shared" ref="BR102" ca="1" si="1120">SUM(BR99:BR101)</f>
        <v>0</v>
      </c>
      <c r="BS102" s="251">
        <f t="shared" ref="BS102" ca="1" si="1121">SUM(BS99:BS101)</f>
        <v>0</v>
      </c>
      <c r="BT102" s="251">
        <f t="shared" ref="BT102" ca="1" si="1122">SUM(BT99:BT101)</f>
        <v>0</v>
      </c>
      <c r="BU102" s="251">
        <f t="shared" ref="BU102" ca="1" si="1123">SUM(BU99:BU101)</f>
        <v>0</v>
      </c>
      <c r="BV102" s="251">
        <f t="shared" ref="BV102" ca="1" si="1124">SUM(BV99:BV101)</f>
        <v>0</v>
      </c>
      <c r="BW102" s="251">
        <f t="shared" ref="BW102" ca="1" si="1125">SUM(BW99:BW101)</f>
        <v>0</v>
      </c>
      <c r="BX102" s="251">
        <f t="shared" ref="BX102" ca="1" si="1126">SUM(BX99:BX101)</f>
        <v>0</v>
      </c>
      <c r="BY102" s="251">
        <f t="shared" ref="BY102" ca="1" si="1127">SUM(BY99:BY101)</f>
        <v>0</v>
      </c>
      <c r="BZ102" s="251">
        <f t="shared" ref="BZ102:EK102" ca="1" si="1128">SUM(BZ99:BZ101)</f>
        <v>0</v>
      </c>
      <c r="CA102" s="251">
        <f t="shared" ca="1" si="1128"/>
        <v>0</v>
      </c>
      <c r="CB102" s="251">
        <f t="shared" ca="1" si="1128"/>
        <v>0</v>
      </c>
      <c r="CC102" s="251">
        <f t="shared" ca="1" si="1128"/>
        <v>0</v>
      </c>
      <c r="CD102" s="251">
        <f t="shared" ca="1" si="1128"/>
        <v>0</v>
      </c>
      <c r="CE102" s="251">
        <f t="shared" ca="1" si="1128"/>
        <v>0</v>
      </c>
      <c r="CF102" s="251">
        <f t="shared" ca="1" si="1128"/>
        <v>0</v>
      </c>
      <c r="CG102" s="251">
        <f t="shared" ca="1" si="1128"/>
        <v>0</v>
      </c>
      <c r="CH102" s="251">
        <f t="shared" ca="1" si="1128"/>
        <v>0</v>
      </c>
      <c r="CI102" s="251">
        <f t="shared" ca="1" si="1128"/>
        <v>0</v>
      </c>
      <c r="CJ102" s="251">
        <f t="shared" ca="1" si="1128"/>
        <v>0</v>
      </c>
      <c r="CK102" s="251">
        <f t="shared" ca="1" si="1128"/>
        <v>0</v>
      </c>
      <c r="CL102" s="251">
        <f t="shared" ca="1" si="1128"/>
        <v>0</v>
      </c>
      <c r="CM102" s="251">
        <f t="shared" ca="1" si="1128"/>
        <v>0</v>
      </c>
      <c r="CN102" s="251">
        <f t="shared" ca="1" si="1128"/>
        <v>0</v>
      </c>
      <c r="CO102" s="251">
        <f t="shared" ca="1" si="1128"/>
        <v>0</v>
      </c>
      <c r="CP102" s="251">
        <f t="shared" ca="1" si="1128"/>
        <v>0</v>
      </c>
      <c r="CQ102" s="251">
        <f t="shared" ca="1" si="1128"/>
        <v>0</v>
      </c>
      <c r="CR102" s="251">
        <f t="shared" ca="1" si="1128"/>
        <v>0</v>
      </c>
      <c r="CS102" s="251">
        <f t="shared" ca="1" si="1128"/>
        <v>0</v>
      </c>
      <c r="CT102" s="251">
        <f t="shared" ca="1" si="1128"/>
        <v>0</v>
      </c>
      <c r="CU102" s="251">
        <f t="shared" ca="1" si="1128"/>
        <v>0</v>
      </c>
      <c r="CV102" s="251">
        <f t="shared" ca="1" si="1128"/>
        <v>0</v>
      </c>
      <c r="CW102" s="251">
        <f t="shared" ca="1" si="1128"/>
        <v>0</v>
      </c>
      <c r="CX102" s="251">
        <f t="shared" ca="1" si="1128"/>
        <v>0</v>
      </c>
      <c r="CY102" s="251">
        <f t="shared" ca="1" si="1128"/>
        <v>0</v>
      </c>
      <c r="CZ102" s="251">
        <f t="shared" ca="1" si="1128"/>
        <v>0</v>
      </c>
      <c r="DA102" s="251">
        <f t="shared" ca="1" si="1128"/>
        <v>0</v>
      </c>
      <c r="DB102" s="251">
        <f t="shared" ca="1" si="1128"/>
        <v>0</v>
      </c>
      <c r="DC102" s="251">
        <f t="shared" ca="1" si="1128"/>
        <v>0</v>
      </c>
      <c r="DD102" s="251">
        <f t="shared" ca="1" si="1128"/>
        <v>0</v>
      </c>
      <c r="DE102" s="251">
        <f t="shared" ca="1" si="1128"/>
        <v>0</v>
      </c>
      <c r="DF102" s="251">
        <f t="shared" ca="1" si="1128"/>
        <v>0</v>
      </c>
      <c r="DG102" s="251">
        <f t="shared" ca="1" si="1128"/>
        <v>0</v>
      </c>
      <c r="DH102" s="251">
        <f t="shared" ca="1" si="1128"/>
        <v>0</v>
      </c>
      <c r="DI102" s="251">
        <f t="shared" ca="1" si="1128"/>
        <v>0</v>
      </c>
      <c r="DJ102" s="251">
        <f t="shared" ca="1" si="1128"/>
        <v>0</v>
      </c>
      <c r="DK102" s="251">
        <f t="shared" ca="1" si="1128"/>
        <v>0</v>
      </c>
      <c r="DL102" s="251">
        <f t="shared" ca="1" si="1128"/>
        <v>0</v>
      </c>
      <c r="DM102" s="251">
        <f t="shared" ca="1" si="1128"/>
        <v>0</v>
      </c>
      <c r="DN102" s="251">
        <f t="shared" ca="1" si="1128"/>
        <v>0</v>
      </c>
      <c r="DO102" s="251">
        <f t="shared" ca="1" si="1128"/>
        <v>0</v>
      </c>
      <c r="DP102" s="251">
        <f t="shared" ca="1" si="1128"/>
        <v>0</v>
      </c>
      <c r="DQ102" s="251">
        <f t="shared" ca="1" si="1128"/>
        <v>0</v>
      </c>
      <c r="DR102" s="251">
        <f t="shared" ca="1" si="1128"/>
        <v>0</v>
      </c>
      <c r="DS102" s="251">
        <f t="shared" ca="1" si="1128"/>
        <v>0</v>
      </c>
      <c r="DT102" s="251">
        <f t="shared" ca="1" si="1128"/>
        <v>0</v>
      </c>
      <c r="DU102" s="251">
        <f t="shared" ca="1" si="1128"/>
        <v>0</v>
      </c>
      <c r="DV102" s="251">
        <f t="shared" ca="1" si="1128"/>
        <v>0</v>
      </c>
      <c r="DW102" s="251">
        <f t="shared" ca="1" si="1128"/>
        <v>0</v>
      </c>
      <c r="DX102" s="251">
        <f t="shared" ca="1" si="1128"/>
        <v>0</v>
      </c>
      <c r="DY102" s="251">
        <f t="shared" ca="1" si="1128"/>
        <v>0</v>
      </c>
      <c r="DZ102" s="251">
        <f t="shared" ca="1" si="1128"/>
        <v>0</v>
      </c>
      <c r="EA102" s="251">
        <f t="shared" ca="1" si="1128"/>
        <v>0</v>
      </c>
      <c r="EB102" s="251">
        <f t="shared" ca="1" si="1128"/>
        <v>0</v>
      </c>
      <c r="EC102" s="251">
        <f t="shared" ca="1" si="1128"/>
        <v>0</v>
      </c>
      <c r="ED102" s="251">
        <f t="shared" ca="1" si="1128"/>
        <v>0</v>
      </c>
      <c r="EE102" s="251">
        <f t="shared" ca="1" si="1128"/>
        <v>0</v>
      </c>
      <c r="EF102" s="251">
        <f t="shared" ca="1" si="1128"/>
        <v>0</v>
      </c>
      <c r="EG102" s="251">
        <f t="shared" ca="1" si="1128"/>
        <v>0</v>
      </c>
      <c r="EH102" s="251">
        <f t="shared" ca="1" si="1128"/>
        <v>0</v>
      </c>
      <c r="EI102" s="251">
        <f t="shared" ca="1" si="1128"/>
        <v>0</v>
      </c>
      <c r="EJ102" s="251">
        <f t="shared" ca="1" si="1128"/>
        <v>0</v>
      </c>
      <c r="EK102" s="251">
        <f t="shared" ca="1" si="1128"/>
        <v>0</v>
      </c>
      <c r="EL102" s="251">
        <f t="shared" ref="EL102:ET102" ca="1" si="1129">SUM(EL99:EL101)</f>
        <v>0</v>
      </c>
      <c r="EM102" s="251">
        <f t="shared" ca="1" si="1129"/>
        <v>0</v>
      </c>
      <c r="EN102" s="251">
        <f t="shared" ca="1" si="1129"/>
        <v>0</v>
      </c>
      <c r="EO102" s="251">
        <f t="shared" ca="1" si="1129"/>
        <v>0</v>
      </c>
      <c r="EP102" s="251">
        <f t="shared" ca="1" si="1129"/>
        <v>0</v>
      </c>
      <c r="EQ102" s="251">
        <f t="shared" ca="1" si="1129"/>
        <v>0</v>
      </c>
      <c r="ER102" s="251">
        <f t="shared" ca="1" si="1129"/>
        <v>0</v>
      </c>
      <c r="ES102" s="251">
        <f t="shared" ca="1" si="1129"/>
        <v>0</v>
      </c>
      <c r="ET102" s="251">
        <f t="shared" ca="1" si="1129"/>
        <v>0</v>
      </c>
    </row>
    <row r="103" spans="2:150" x14ac:dyDescent="0.2"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</row>
    <row r="104" spans="2:150" x14ac:dyDescent="0.2">
      <c r="B104" s="83" t="s">
        <v>185</v>
      </c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</row>
    <row r="105" spans="2:150" x14ac:dyDescent="0.2">
      <c r="B105" t="s">
        <v>167</v>
      </c>
      <c r="F105" s="242">
        <f>E109</f>
        <v>0</v>
      </c>
      <c r="G105" s="242">
        <f t="shared" ref="G105:AB105" ca="1" si="1130">F109</f>
        <v>0</v>
      </c>
      <c r="H105" s="242">
        <f t="shared" ca="1" si="1130"/>
        <v>0</v>
      </c>
      <c r="I105" s="242">
        <f t="shared" ca="1" si="1130"/>
        <v>0</v>
      </c>
      <c r="J105" s="242">
        <f t="shared" ca="1" si="1130"/>
        <v>0</v>
      </c>
      <c r="K105" s="242">
        <f t="shared" ca="1" si="1130"/>
        <v>0</v>
      </c>
      <c r="L105" s="242">
        <f t="shared" ca="1" si="1130"/>
        <v>0</v>
      </c>
      <c r="M105" s="242">
        <f t="shared" ca="1" si="1130"/>
        <v>0</v>
      </c>
      <c r="N105" s="242">
        <f t="shared" ca="1" si="1130"/>
        <v>0</v>
      </c>
      <c r="O105" s="242">
        <f t="shared" ca="1" si="1130"/>
        <v>0</v>
      </c>
      <c r="P105" s="242">
        <f t="shared" ca="1" si="1130"/>
        <v>0</v>
      </c>
      <c r="Q105" s="242">
        <f t="shared" ca="1" si="1130"/>
        <v>0</v>
      </c>
      <c r="R105" s="242">
        <f t="shared" ca="1" si="1130"/>
        <v>0</v>
      </c>
      <c r="S105" s="242">
        <f t="shared" ca="1" si="1130"/>
        <v>0</v>
      </c>
      <c r="T105" s="242">
        <f t="shared" ca="1" si="1130"/>
        <v>0</v>
      </c>
      <c r="U105" s="242">
        <f t="shared" ca="1" si="1130"/>
        <v>0</v>
      </c>
      <c r="V105" s="242">
        <f t="shared" ca="1" si="1130"/>
        <v>0</v>
      </c>
      <c r="W105" s="242">
        <f t="shared" ca="1" si="1130"/>
        <v>0</v>
      </c>
      <c r="X105" s="242">
        <f t="shared" ca="1" si="1130"/>
        <v>0</v>
      </c>
      <c r="Y105" s="242">
        <f t="shared" ca="1" si="1130"/>
        <v>21328754.591669824</v>
      </c>
      <c r="Z105" s="242">
        <f t="shared" ca="1" si="1130"/>
        <v>20211520.319287766</v>
      </c>
      <c r="AA105" s="242">
        <f t="shared" ca="1" si="1130"/>
        <v>17337303.332703102</v>
      </c>
      <c r="AB105" s="242">
        <f t="shared" ca="1" si="1130"/>
        <v>16203872.489952086</v>
      </c>
      <c r="AC105" s="242">
        <f t="shared" ref="AC105:BZ105" ca="1" si="1131">AB109</f>
        <v>15063357.704433654</v>
      </c>
      <c r="AD105" s="242">
        <f t="shared" ca="1" si="1131"/>
        <v>13915714.701505506</v>
      </c>
      <c r="AE105" s="242">
        <f t="shared" ca="1" si="1131"/>
        <v>12760898.929808822</v>
      </c>
      <c r="AF105" s="242">
        <f t="shared" ca="1" si="1131"/>
        <v>11598865.559538789</v>
      </c>
      <c r="AG105" s="242">
        <f t="shared" ca="1" si="1131"/>
        <v>10429569.480704315</v>
      </c>
      <c r="AH105" s="242">
        <f t="shared" ca="1" si="1131"/>
        <v>9252965.3013768755</v>
      </c>
      <c r="AI105" s="242">
        <f t="shared" ca="1" si="1131"/>
        <v>8069007.34592837</v>
      </c>
      <c r="AJ105" s="242">
        <f t="shared" ca="1" si="1131"/>
        <v>6877649.6532580517</v>
      </c>
      <c r="AK105" s="242">
        <f t="shared" ca="1" si="1131"/>
        <v>5678845.9750082577</v>
      </c>
      <c r="AL105" s="242">
        <f t="shared" ca="1" si="1131"/>
        <v>4472549.7737691309</v>
      </c>
      <c r="AM105" s="242">
        <f t="shared" ca="1" si="1131"/>
        <v>3258714.2212719703</v>
      </c>
      <c r="AN105" s="242">
        <f ca="1">AM109</f>
        <v>2037292.1965714481</v>
      </c>
      <c r="AO105" s="242">
        <f ca="1">AN109</f>
        <v>808236.28421624051</v>
      </c>
      <c r="AP105" s="242">
        <f t="shared" ca="1" si="1131"/>
        <v>672849.29612053325</v>
      </c>
      <c r="AQ105" s="242">
        <f t="shared" ca="1" si="1131"/>
        <v>554551.38367722079</v>
      </c>
      <c r="AR105" s="242">
        <f t="shared" ca="1" si="1131"/>
        <v>461066.57671205164</v>
      </c>
      <c r="AS105" s="242">
        <f t="shared" ca="1" si="1131"/>
        <v>385101.19713424396</v>
      </c>
      <c r="AT105" s="242">
        <f t="shared" ca="1" si="1131"/>
        <v>325601.09536499518</v>
      </c>
      <c r="AU105" s="242">
        <f t="shared" ca="1" si="1131"/>
        <v>282087.35639060917</v>
      </c>
      <c r="AV105" s="242">
        <f t="shared" ca="1" si="1131"/>
        <v>254659.89497859412</v>
      </c>
      <c r="AW105" s="242">
        <f t="shared" ca="1" si="1131"/>
        <v>241188.58148671559</v>
      </c>
      <c r="AX105" s="242">
        <f t="shared" ca="1" si="1131"/>
        <v>227633.0722853409</v>
      </c>
      <c r="AY105" s="242">
        <f t="shared" ca="1" si="1131"/>
        <v>213992.84115128717</v>
      </c>
      <c r="AZ105" s="242">
        <f t="shared" ca="1" si="1131"/>
        <v>200267.35857250419</v>
      </c>
      <c r="BA105" s="242">
        <f t="shared" ca="1" si="1131"/>
        <v>186456.09172750358</v>
      </c>
      <c r="BB105" s="242">
        <f t="shared" ca="1" si="1131"/>
        <v>172619.87868964073</v>
      </c>
      <c r="BC105" s="242">
        <f t="shared" ca="1" si="1131"/>
        <v>163509.56993475903</v>
      </c>
      <c r="BD105" s="242">
        <f t="shared" ca="1" si="1131"/>
        <v>154342.32175016485</v>
      </c>
      <c r="BE105" s="242">
        <f t="shared" ca="1" si="1131"/>
        <v>145117.77826445611</v>
      </c>
      <c r="BF105" s="242">
        <f t="shared" ca="1" si="1131"/>
        <v>135835.58138206019</v>
      </c>
      <c r="BG105" s="242">
        <f t="shared" ca="1" si="1131"/>
        <v>126495.37076930082</v>
      </c>
      <c r="BH105" s="242">
        <f t="shared" ca="1" si="1131"/>
        <v>117096.78384041099</v>
      </c>
      <c r="BI105" s="242">
        <f t="shared" ca="1" si="1131"/>
        <v>107639.45574350358</v>
      </c>
      <c r="BJ105" s="242">
        <f t="shared" ca="1" si="1131"/>
        <v>98123.019346310466</v>
      </c>
      <c r="BK105" s="242">
        <f t="shared" ca="1" si="1131"/>
        <v>88547.105222048209</v>
      </c>
      <c r="BL105" s="242">
        <f t="shared" ca="1" si="1131"/>
        <v>78911.341635001067</v>
      </c>
      <c r="BM105" s="242">
        <f t="shared" ca="1" si="1131"/>
        <v>69215.354526111827</v>
      </c>
      <c r="BN105" s="242">
        <f t="shared" ca="1" si="1131"/>
        <v>59521.982950203004</v>
      </c>
      <c r="BO105" s="242">
        <f t="shared" ca="1" si="1131"/>
        <v>54724.779835657915</v>
      </c>
      <c r="BP105" s="242">
        <f t="shared" ca="1" si="1131"/>
        <v>49897.594202502514</v>
      </c>
      <c r="BQ105" s="242">
        <f t="shared" ca="1" si="1131"/>
        <v>45040.238660105795</v>
      </c>
      <c r="BR105" s="242">
        <f t="shared" ca="1" si="1131"/>
        <v>40152.524646650301</v>
      </c>
      <c r="BS105" s="242">
        <f t="shared" ca="1" si="1131"/>
        <v>35234.262421824911</v>
      </c>
      <c r="BT105" s="242">
        <f t="shared" ca="1" si="1131"/>
        <v>30285.261059408513</v>
      </c>
      <c r="BU105" s="242">
        <f t="shared" ca="1" si="1131"/>
        <v>25305.32843994585</v>
      </c>
      <c r="BV105" s="242">
        <f t="shared" ca="1" si="1131"/>
        <v>20294.271243203315</v>
      </c>
      <c r="BW105" s="242">
        <f t="shared" ca="1" si="1131"/>
        <v>15251.894940730213</v>
      </c>
      <c r="BX105" s="242">
        <f t="shared" ca="1" si="1131"/>
        <v>10178.003788251925</v>
      </c>
      <c r="BY105" s="242">
        <f t="shared" ca="1" si="1131"/>
        <v>5072.400818116701</v>
      </c>
      <c r="BZ105" s="242">
        <f t="shared" ca="1" si="1131"/>
        <v>0</v>
      </c>
      <c r="CA105" s="242">
        <f t="shared" ref="CA105" ca="1" si="1132">BZ109</f>
        <v>0</v>
      </c>
      <c r="CB105" s="242">
        <f t="shared" ref="CB105" ca="1" si="1133">CA109</f>
        <v>0</v>
      </c>
      <c r="CC105" s="242">
        <f t="shared" ref="CC105" ca="1" si="1134">CB109</f>
        <v>0</v>
      </c>
      <c r="CD105" s="242">
        <f t="shared" ref="CD105" ca="1" si="1135">CC109</f>
        <v>0</v>
      </c>
      <c r="CE105" s="242">
        <f t="shared" ref="CE105" ca="1" si="1136">CD109</f>
        <v>0</v>
      </c>
      <c r="CF105" s="242">
        <f t="shared" ref="CF105" ca="1" si="1137">CE109</f>
        <v>0</v>
      </c>
      <c r="CG105" s="242">
        <f t="shared" ref="CG105" ca="1" si="1138">CF109</f>
        <v>0</v>
      </c>
      <c r="CH105" s="242">
        <f t="shared" ref="CH105" ca="1" si="1139">CG109</f>
        <v>0</v>
      </c>
      <c r="CI105" s="242">
        <f t="shared" ref="CI105" ca="1" si="1140">CH109</f>
        <v>0</v>
      </c>
      <c r="CJ105" s="242">
        <f t="shared" ref="CJ105" ca="1" si="1141">CI109</f>
        <v>0</v>
      </c>
      <c r="CK105" s="242">
        <f t="shared" ref="CK105" ca="1" si="1142">CJ109</f>
        <v>4.2510684579610825E-5</v>
      </c>
      <c r="CL105" s="242">
        <f t="shared" ref="CL105" ca="1" si="1143">CK109</f>
        <v>9.0127112343907356E-5</v>
      </c>
      <c r="CM105" s="242">
        <f t="shared" ref="CM105" ca="1" si="1144">CL109</f>
        <v>1.4187730266712606E-4</v>
      </c>
      <c r="CN105" s="242">
        <f t="shared" ref="CN105" ca="1" si="1145">CM109</f>
        <v>1.9789999350905418E-4</v>
      </c>
      <c r="CO105" s="242">
        <f t="shared" ref="CO105" ca="1" si="1146">CN109</f>
        <v>2.5832242681644857E-4</v>
      </c>
      <c r="CP105" s="242">
        <f t="shared" ref="CP105" ca="1" si="1147">CO109</f>
        <v>3.2325321808457375E-4</v>
      </c>
      <c r="CQ105" s="242">
        <f t="shared" ref="CQ105" ca="1" si="1148">CP109</f>
        <v>3.9280331111513078E-4</v>
      </c>
      <c r="CR105" s="242">
        <f t="shared" ref="CR105" ca="1" si="1149">CQ109</f>
        <v>4.6707966248504817E-4</v>
      </c>
      <c r="CS105" s="242">
        <f t="shared" ref="CS105" ca="1" si="1150">CR109</f>
        <v>5.4614481632597744E-4</v>
      </c>
      <c r="CT105" s="242">
        <f t="shared" ref="CT105" ca="1" si="1151">CS109</f>
        <v>6.3008820870891213E-4</v>
      </c>
      <c r="CU105" s="242">
        <f t="shared" ref="CU105" ca="1" si="1152">CT109</f>
        <v>7.1894595748744905E-4</v>
      </c>
      <c r="CV105" s="242">
        <f t="shared" ref="CV105" ca="1" si="1153">CU109</f>
        <v>8.1278328434564173E-4</v>
      </c>
      <c r="CW105" s="242">
        <f t="shared" ref="CW105" ca="1" si="1154">CV109</f>
        <v>9.1161977616138756E-4</v>
      </c>
      <c r="CX105" s="242">
        <f t="shared" ref="CX105" ca="1" si="1155">CW109</f>
        <v>1.0154619230888784E-3</v>
      </c>
      <c r="CY105" s="242">
        <f t="shared" ref="CY105" ca="1" si="1156">CX109</f>
        <v>1.1243033804930747E-3</v>
      </c>
      <c r="CZ105" s="242">
        <f t="shared" ref="CZ105" ca="1" si="1157">CY109</f>
        <v>1.2381103006191552E-3</v>
      </c>
      <c r="DA105" s="242">
        <f t="shared" ref="DA105" ca="1" si="1158">CZ109</f>
        <v>1.356814376777038E-3</v>
      </c>
      <c r="DB105" s="242">
        <f t="shared" ref="DB105" ca="1" si="1159">DA109</f>
        <v>1.4803315862081945E-3</v>
      </c>
      <c r="DC105" s="242">
        <f t="shared" ref="DC105" ca="1" si="1160">DB109</f>
        <v>1.6085308452602476E-3</v>
      </c>
      <c r="DD105" s="242">
        <f t="shared" ref="DD105" ca="1" si="1161">DC109</f>
        <v>1.7412336310371757E-3</v>
      </c>
      <c r="DE105" s="242">
        <f t="shared" ref="DE105" ca="1" si="1162">DD109</f>
        <v>1.8782385159283876E-3</v>
      </c>
      <c r="DF105" s="242">
        <f t="shared" ref="DF105" ca="1" si="1163">DE109</f>
        <v>2.01926298905164E-3</v>
      </c>
      <c r="DG105" s="242">
        <f t="shared" ref="DG105" ca="1" si="1164">DF109</f>
        <v>2.1639936312567443E-3</v>
      </c>
      <c r="DH105" s="242">
        <f t="shared" ref="DH105" ca="1" si="1165">DG109</f>
        <v>2.3120634723454714E-3</v>
      </c>
      <c r="DI105" s="242">
        <f t="shared" ref="DI105" ca="1" si="1166">DH109</f>
        <v>2.4630415719002485E-3</v>
      </c>
      <c r="DJ105" s="242">
        <f t="shared" ref="DJ105" ca="1" si="1167">DI109</f>
        <v>2.6164640148635954E-3</v>
      </c>
      <c r="DK105" s="242">
        <f t="shared" ref="DK105" ca="1" si="1168">DJ109</f>
        <v>2.7717743651010096E-3</v>
      </c>
      <c r="DL105" s="242">
        <f t="shared" ref="DL105" ca="1" si="1169">DK109</f>
        <v>2.9284067859407514E-3</v>
      </c>
      <c r="DM105" s="242">
        <f t="shared" ref="DM105" ca="1" si="1170">DL109</f>
        <v>3.0857126985210925E-3</v>
      </c>
      <c r="DN105" s="242">
        <f t="shared" ref="DN105" ca="1" si="1171">DM109</f>
        <v>3.2429799030069262E-3</v>
      </c>
      <c r="DO105" s="242">
        <f t="shared" ref="DO105" ca="1" si="1172">DN109</f>
        <v>3.3994351979345083E-3</v>
      </c>
      <c r="DP105" s="242">
        <f t="shared" ref="DP105" ca="1" si="1173">DO109</f>
        <v>3.5542785772122443E-3</v>
      </c>
      <c r="DQ105" s="242">
        <f t="shared" ref="DQ105" ca="1" si="1174">DP109</f>
        <v>3.7065997603349388E-3</v>
      </c>
      <c r="DR105" s="242">
        <f t="shared" ref="DR105" ca="1" si="1175">DQ109</f>
        <v>3.8554495258722454E-3</v>
      </c>
      <c r="DS105" s="242">
        <f t="shared" ref="DS105" ca="1" si="1176">DR109</f>
        <v>3.9997982385102659E-3</v>
      </c>
      <c r="DT105" s="242">
        <f t="shared" ref="DT105" ca="1" si="1177">DS109</f>
        <v>4.138532851357013E-3</v>
      </c>
      <c r="DU105" s="242">
        <f t="shared" ref="DU105" ca="1" si="1178">DT109</f>
        <v>4.2704798979684711E-3</v>
      </c>
      <c r="DV105" s="242">
        <f t="shared" ref="DV105" ca="1" si="1179">DU109</f>
        <v>4.3943933269474655E-3</v>
      </c>
      <c r="DW105" s="242">
        <f t="shared" ref="DW105" ca="1" si="1180">DV109</f>
        <v>4.5088804909028113E-3</v>
      </c>
      <c r="DX105" s="242">
        <f t="shared" ref="DX105" ca="1" si="1181">DW109</f>
        <v>4.6125547087285668E-3</v>
      </c>
      <c r="DY105" s="242">
        <f t="shared" ref="DY105" ca="1" si="1182">DX109</f>
        <v>4.7038670163601637E-3</v>
      </c>
      <c r="DZ105" s="242">
        <f t="shared" ref="DZ105" ca="1" si="1183">DY109</f>
        <v>4.7812099219299853E-3</v>
      </c>
      <c r="EA105" s="242">
        <f t="shared" ref="EA105" ca="1" si="1184">DZ109</f>
        <v>4.8428861482534558E-3</v>
      </c>
      <c r="EB105" s="242">
        <f t="shared" ref="EB105" ca="1" si="1185">EA109</f>
        <v>4.8871178005356342E-3</v>
      </c>
      <c r="EC105" s="242">
        <f t="shared" ref="EC105" ca="1" si="1186">EB109</f>
        <v>4.9120019539259374E-3</v>
      </c>
      <c r="ED105" s="242">
        <f t="shared" ref="ED105" ca="1" si="1187">EC109</f>
        <v>4.9155962478835136E-3</v>
      </c>
      <c r="EE105" s="242">
        <f t="shared" ref="EE105" ca="1" si="1188">ED109</f>
        <v>4.8958408879116178E-3</v>
      </c>
      <c r="EF105" s="242">
        <f t="shared" ref="EF105" ca="1" si="1189">EE109</f>
        <v>4.8505987215321511E-3</v>
      </c>
      <c r="EG105" s="242">
        <f t="shared" ref="EG105" ca="1" si="1190">EF109</f>
        <v>4.7776589635759592E-3</v>
      </c>
      <c r="EH105" s="242">
        <f t="shared" ref="EH105" ca="1" si="1191">EG109</f>
        <v>4.6746996522415429E-3</v>
      </c>
      <c r="EI105" s="242">
        <f t="shared" ref="EI105" ca="1" si="1192">EH109</f>
        <v>4.5393336331471801E-3</v>
      </c>
      <c r="EJ105" s="242">
        <f t="shared" ref="EJ105" ca="1" si="1193">EI109</f>
        <v>4.3690954917110503E-3</v>
      </c>
      <c r="EK105" s="242">
        <f t="shared" ref="EK105" ca="1" si="1194">EJ109</f>
        <v>4.1614164656493813E-3</v>
      </c>
      <c r="EL105" s="242">
        <f t="shared" ref="EL105" ca="1" si="1195">EK109</f>
        <v>3.9136862615123391E-3</v>
      </c>
      <c r="EM105" s="242">
        <f t="shared" ref="EM105" ca="1" si="1196">EL109</f>
        <v>3.62323087756522E-3</v>
      </c>
      <c r="EN105" s="242">
        <f t="shared" ref="EN105" ca="1" si="1197">EM109</f>
        <v>3.2872999436222017E-3</v>
      </c>
      <c r="EO105" s="242">
        <f t="shared" ref="EO105" ca="1" si="1198">EN109</f>
        <v>2.9031437006779015E-3</v>
      </c>
      <c r="EP105" s="242">
        <f t="shared" ref="EP105" ca="1" si="1199">EO109</f>
        <v>2.4679199559614062E-3</v>
      </c>
      <c r="EQ105" s="242">
        <f t="shared" ref="EQ105" ca="1" si="1200">EP109</f>
        <v>1.9788247009273618E-3</v>
      </c>
      <c r="ER105" s="242">
        <f t="shared" ref="ER105" ca="1" si="1201">EQ109</f>
        <v>1.4330001140478998E-3</v>
      </c>
      <c r="ES105" s="242">
        <f t="shared" ref="ES105" ca="1" si="1202">ER109</f>
        <v>8.2760883378796279E-4</v>
      </c>
      <c r="ET105" s="242">
        <f t="shared" ref="ET105" ca="1" si="1203">ES109</f>
        <v>1.5985392383299768E-4</v>
      </c>
    </row>
    <row r="106" spans="2:150" x14ac:dyDescent="0.2">
      <c r="B106" t="s">
        <v>170</v>
      </c>
      <c r="F106" s="242">
        <f>IF(F6=Assumptions!$P$12,Assumptions!$Q$4+Assumptions!$Q$11,0)</f>
        <v>0</v>
      </c>
      <c r="G106" s="242">
        <f>IF(G6=Assumptions!$P$12,Assumptions!$Q$4+Assumptions!$Q$11,0)</f>
        <v>0</v>
      </c>
      <c r="H106" s="242">
        <f>IF(H6=Assumptions!$P$12,Assumptions!$Q$4+Assumptions!$Q$11,0)</f>
        <v>0</v>
      </c>
      <c r="I106" s="242">
        <f>IF(I6=Assumptions!$P$12,Assumptions!$Q$4+Assumptions!$Q$11,0)</f>
        <v>0</v>
      </c>
      <c r="J106" s="242">
        <f>IF(J6=Assumptions!$P$12,Assumptions!$Q$4+Assumptions!$Q$11,0)</f>
        <v>0</v>
      </c>
      <c r="K106" s="242">
        <f>IF(K6=Assumptions!$P$12,Assumptions!$Q$4+Assumptions!$Q$11,0)</f>
        <v>0</v>
      </c>
      <c r="L106" s="242">
        <f>IF(L6=Assumptions!$P$12,Assumptions!$Q$4+Assumptions!$Q$11,0)</f>
        <v>0</v>
      </c>
      <c r="M106" s="242">
        <f>IF(M6=Assumptions!$P$12,Assumptions!$Q$4+Assumptions!$Q$11,0)</f>
        <v>0</v>
      </c>
      <c r="N106" s="242">
        <f>IF(N6=Assumptions!$P$12,Assumptions!$Q$4+Assumptions!$Q$11,0)</f>
        <v>0</v>
      </c>
      <c r="O106" s="242">
        <f>IF(O6=Assumptions!$P$12,Assumptions!$Q$4+Assumptions!$Q$11,0)</f>
        <v>0</v>
      </c>
      <c r="P106" s="242">
        <f>IF(P6=Assumptions!$P$12,Assumptions!$Q$4+Assumptions!$Q$11,0)</f>
        <v>0</v>
      </c>
      <c r="Q106" s="242">
        <f>IF(Q6=Assumptions!$P$12,Assumptions!$Q$4+Assumptions!$Q$11,0)</f>
        <v>0</v>
      </c>
      <c r="R106" s="242">
        <f>IF(R6=Assumptions!$P$12,Assumptions!$Q$4+Assumptions!$Q$11,0)</f>
        <v>0</v>
      </c>
      <c r="S106" s="242">
        <f>IF(S6=Assumptions!$P$12,Assumptions!$Q$4+Assumptions!$Q$11,0)</f>
        <v>0</v>
      </c>
      <c r="T106" s="242">
        <f>IF(T6=Assumptions!$P$12,Assumptions!$Q$4+Assumptions!$Q$11,0)</f>
        <v>0</v>
      </c>
      <c r="U106" s="242">
        <f>IF(U6=Assumptions!$P$12,Assumptions!$Q$4+Assumptions!$Q$11,0)</f>
        <v>0</v>
      </c>
      <c r="V106" s="242">
        <f>IF(V6=Assumptions!$P$12,Assumptions!$Q$4+Assumptions!$Q$11,0)</f>
        <v>0</v>
      </c>
      <c r="W106" s="242">
        <f>IF(W6=Assumptions!$P$12,Assumptions!$Q$4+Assumptions!$Q$11,0)</f>
        <v>0</v>
      </c>
      <c r="X106" s="242">
        <f ca="1">IF(X6=Assumptions!$P$12,Assumptions!$Q$4+Assumptions!$Q$11,0)</f>
        <v>22638100.60579256</v>
      </c>
      <c r="Y106" s="242">
        <f>IF(Y6=Assumptions!$P$12,Assumptions!$Q$4+Assumptions!$Q$11,0)</f>
        <v>0</v>
      </c>
      <c r="Z106" s="242">
        <f>IF(Z6=Assumptions!$P$12,Assumptions!$Q$4+Assumptions!$Q$11,0)</f>
        <v>0</v>
      </c>
      <c r="AA106" s="242">
        <f>IF(AA6=Assumptions!$P$12,Assumptions!$Q$4+Assumptions!$Q$11,0)</f>
        <v>0</v>
      </c>
      <c r="AB106" s="242">
        <f>IF(AB6=Assumptions!$P$12,Assumptions!$Q$4+Assumptions!$Q$11,0)</f>
        <v>0</v>
      </c>
      <c r="AC106" s="242">
        <f>IF(AC6=Assumptions!$P$12,Assumptions!$Q$4+Assumptions!$Q$11,0)</f>
        <v>0</v>
      </c>
      <c r="AD106" s="242">
        <f>IF(AD6=Assumptions!$P$12,Assumptions!$Q$4+Assumptions!$Q$11,0)</f>
        <v>0</v>
      </c>
      <c r="AE106" s="242">
        <f>IF(AE6=Assumptions!$P$12,Assumptions!$Q$4+Assumptions!$Q$11,0)</f>
        <v>0</v>
      </c>
      <c r="AF106" s="242">
        <f>IF(AF6=Assumptions!$P$12,Assumptions!$Q$4+Assumptions!$Q$11,0)</f>
        <v>0</v>
      </c>
      <c r="AG106" s="242">
        <f>IF(AG6=Assumptions!$P$12,Assumptions!$Q$4+Assumptions!$Q$11,0)</f>
        <v>0</v>
      </c>
      <c r="AH106" s="242">
        <f>IF(AH6=Assumptions!$P$12,Assumptions!$Q$4+Assumptions!$Q$11,0)</f>
        <v>0</v>
      </c>
      <c r="AI106" s="242">
        <f>IF(AI6=Assumptions!$P$12,Assumptions!$Q$4+Assumptions!$Q$11,0)</f>
        <v>0</v>
      </c>
      <c r="AJ106" s="242">
        <f>IF(AJ6=Assumptions!$P$12,Assumptions!$Q$4+Assumptions!$Q$11,0)</f>
        <v>0</v>
      </c>
      <c r="AK106" s="242">
        <f>IF(AK6=Assumptions!$P$12,Assumptions!$Q$4+Assumptions!$Q$11,0)</f>
        <v>0</v>
      </c>
      <c r="AL106" s="242">
        <f>IF(AL6=Assumptions!$P$12,Assumptions!$Q$4+Assumptions!$Q$11,0)</f>
        <v>0</v>
      </c>
      <c r="AM106" s="242">
        <f>IF(AM6=Assumptions!$P$12,Assumptions!$Q$4+Assumptions!$Q$11,0)</f>
        <v>0</v>
      </c>
      <c r="AN106" s="242">
        <f>IF(AN6=Assumptions!$P$12,Assumptions!$Q$4+Assumptions!$Q$11,0)</f>
        <v>0</v>
      </c>
      <c r="AO106" s="242">
        <f>IF(AO6=Assumptions!$P$12,Assumptions!$Q$4+Assumptions!$Q$11,0)</f>
        <v>0</v>
      </c>
      <c r="AP106" s="242">
        <f>IF(AP6=Assumptions!$P$12,Assumptions!$Q$4+Assumptions!$Q$11,0)</f>
        <v>0</v>
      </c>
      <c r="AQ106" s="242">
        <f>IF(AQ6=Assumptions!$P$12,Assumptions!$Q$4+Assumptions!$Q$11,0)</f>
        <v>0</v>
      </c>
      <c r="AR106" s="242">
        <f>IF(AR6=Assumptions!$P$12,Assumptions!$Q$4+Assumptions!$Q$11,0)</f>
        <v>0</v>
      </c>
      <c r="AS106" s="242">
        <f>IF(AS6=Assumptions!$P$12,Assumptions!$Q$4+Assumptions!$Q$11,0)</f>
        <v>0</v>
      </c>
      <c r="AT106" s="242">
        <f>IF(AT6=Assumptions!$P$12,Assumptions!$Q$4+Assumptions!$Q$11,0)</f>
        <v>0</v>
      </c>
      <c r="AU106" s="242">
        <f>IF(AU6=Assumptions!$P$12,Assumptions!$Q$4+Assumptions!$Q$11,0)</f>
        <v>0</v>
      </c>
      <c r="AV106" s="242">
        <f>IF(AV6=Assumptions!$P$12,Assumptions!$Q$4+Assumptions!$Q$11,0)</f>
        <v>0</v>
      </c>
      <c r="AW106" s="242">
        <f>IF(AW6=Assumptions!$P$12,Assumptions!$Q$4+Assumptions!$Q$11,0)</f>
        <v>0</v>
      </c>
      <c r="AX106" s="242">
        <f>IF(AX6=Assumptions!$P$12,Assumptions!$Q$4+Assumptions!$Q$11,0)</f>
        <v>0</v>
      </c>
      <c r="AY106" s="242">
        <f>IF(AY6=Assumptions!$P$12,Assumptions!$Q$4+Assumptions!$Q$11,0)</f>
        <v>0</v>
      </c>
      <c r="AZ106" s="242">
        <f>IF(AZ6=Assumptions!$P$12,Assumptions!$Q$4+Assumptions!$Q$11,0)</f>
        <v>0</v>
      </c>
      <c r="BA106" s="242">
        <f>IF(BA6=Assumptions!$P$12,Assumptions!$Q$4+Assumptions!$Q$11,0)</f>
        <v>0</v>
      </c>
      <c r="BB106" s="242">
        <f>IF(BB6=Assumptions!$P$12,Assumptions!$Q$4+Assumptions!$Q$11,0)</f>
        <v>0</v>
      </c>
      <c r="BC106" s="242">
        <f>IF(BC6=Assumptions!$P$12,Assumptions!$Q$4+Assumptions!$Q$11,0)</f>
        <v>0</v>
      </c>
      <c r="BD106" s="242">
        <f>IF(BD6=Assumptions!$P$12,Assumptions!$Q$4+Assumptions!$Q$11,0)</f>
        <v>0</v>
      </c>
      <c r="BE106" s="242">
        <f>IF(BE6=Assumptions!$P$12,Assumptions!$Q$4+Assumptions!$Q$11,0)</f>
        <v>0</v>
      </c>
      <c r="BF106" s="242">
        <f>IF(BF6=Assumptions!$P$12,Assumptions!$Q$4+Assumptions!$Q$11,0)</f>
        <v>0</v>
      </c>
      <c r="BG106" s="242">
        <f>IF(BG6=Assumptions!$P$12,Assumptions!$Q$4+Assumptions!$Q$11,0)</f>
        <v>0</v>
      </c>
      <c r="BH106" s="242">
        <f>IF(BH6=Assumptions!$P$12,Assumptions!$Q$4+Assumptions!$Q$11,0)</f>
        <v>0</v>
      </c>
      <c r="BI106" s="242">
        <f>IF(BI6=Assumptions!$P$12,Assumptions!$Q$4+Assumptions!$Q$11,0)</f>
        <v>0</v>
      </c>
      <c r="BJ106" s="242">
        <f>IF(BJ6=Assumptions!$P$12,Assumptions!$Q$4+Assumptions!$Q$11,0)</f>
        <v>0</v>
      </c>
      <c r="BK106" s="242">
        <f>IF(BK6=Assumptions!$P$12,Assumptions!$Q$4+Assumptions!$Q$11,0)</f>
        <v>0</v>
      </c>
      <c r="BL106" s="242">
        <f>IF(BL6=Assumptions!$P$12,Assumptions!$Q$4+Assumptions!$Q$11,0)</f>
        <v>0</v>
      </c>
      <c r="BM106" s="242">
        <f>IF(BM6=Assumptions!$P$12,Assumptions!$Q$4+Assumptions!$Q$11,0)</f>
        <v>0</v>
      </c>
      <c r="BN106" s="242">
        <f>IF(BN6=Assumptions!$P$12,Assumptions!$Q$4+Assumptions!$Q$11,0)</f>
        <v>0</v>
      </c>
      <c r="BO106" s="242">
        <f>IF(BO6=Assumptions!$P$12,Assumptions!$Q$4+Assumptions!$Q$11,0)</f>
        <v>0</v>
      </c>
      <c r="BP106" s="242">
        <f>IF(BP6=Assumptions!$P$12,Assumptions!$Q$4+Assumptions!$Q$11,0)</f>
        <v>0</v>
      </c>
      <c r="BQ106" s="242">
        <f>IF(BQ6=Assumptions!$P$12,Assumptions!$Q$4+Assumptions!$Q$11,0)</f>
        <v>0</v>
      </c>
      <c r="BR106" s="242">
        <f>IF(BR6=Assumptions!$P$12,Assumptions!$Q$4+Assumptions!$Q$11,0)</f>
        <v>0</v>
      </c>
      <c r="BS106" s="242">
        <f>IF(BS6=Assumptions!$P$12,Assumptions!$Q$4+Assumptions!$Q$11,0)</f>
        <v>0</v>
      </c>
      <c r="BT106" s="242">
        <f>IF(BT6=Assumptions!$P$12,Assumptions!$Q$4+Assumptions!$Q$11,0)</f>
        <v>0</v>
      </c>
      <c r="BU106" s="242">
        <f>IF(BU6=Assumptions!$P$12,Assumptions!$Q$4+Assumptions!$Q$11,0)</f>
        <v>0</v>
      </c>
      <c r="BV106" s="242">
        <f>IF(BV6=Assumptions!$P$12,Assumptions!$Q$4+Assumptions!$Q$11,0)</f>
        <v>0</v>
      </c>
      <c r="BW106" s="242">
        <f>IF(BW6=Assumptions!$P$12,Assumptions!$Q$4+Assumptions!$Q$11,0)</f>
        <v>0</v>
      </c>
      <c r="BX106" s="242">
        <f>IF(BX6=Assumptions!$P$12,Assumptions!$Q$4+Assumptions!$Q$11,0)</f>
        <v>0</v>
      </c>
      <c r="BY106" s="242">
        <f>IF(BY6=Assumptions!$P$12,Assumptions!$Q$4+Assumptions!$Q$11,0)</f>
        <v>0</v>
      </c>
      <c r="BZ106" s="242">
        <f>IF(BZ6=Assumptions!$P$12,Assumptions!$Q$4+Assumptions!$Q$11,0)</f>
        <v>0</v>
      </c>
      <c r="CA106" s="242">
        <f>IF(CA6=Assumptions!$P$12,Assumptions!$Q$4+Assumptions!$Q$11,0)</f>
        <v>0</v>
      </c>
      <c r="CB106" s="242">
        <f>IF(CB6=Assumptions!$P$12,Assumptions!$Q$4+Assumptions!$Q$11,0)</f>
        <v>0</v>
      </c>
      <c r="CC106" s="242">
        <f>IF(CC6=Assumptions!$P$12,Assumptions!$Q$4+Assumptions!$Q$11,0)</f>
        <v>0</v>
      </c>
      <c r="CD106" s="242">
        <f>IF(CD6=Assumptions!$P$12,Assumptions!$Q$4+Assumptions!$Q$11,0)</f>
        <v>0</v>
      </c>
      <c r="CE106" s="242">
        <f>IF(CE6=Assumptions!$P$12,Assumptions!$Q$4+Assumptions!$Q$11,0)</f>
        <v>0</v>
      </c>
      <c r="CF106" s="242">
        <f>IF(CF6=Assumptions!$P$12,Assumptions!$Q$4+Assumptions!$Q$11,0)</f>
        <v>0</v>
      </c>
      <c r="CG106" s="242">
        <f>IF(CG6=Assumptions!$P$12,Assumptions!$Q$4+Assumptions!$Q$11,0)</f>
        <v>0</v>
      </c>
      <c r="CH106" s="242">
        <f>IF(CH6=Assumptions!$P$12,Assumptions!$Q$4+Assumptions!$Q$11,0)</f>
        <v>0</v>
      </c>
      <c r="CI106" s="242">
        <f>IF(CI6=Assumptions!$P$12,Assumptions!$Q$4+Assumptions!$Q$11,0)</f>
        <v>0</v>
      </c>
      <c r="CJ106" s="242">
        <f>IF(CJ6=Assumptions!$P$12,Assumptions!$Q$4+Assumptions!$Q$11,0)</f>
        <v>0</v>
      </c>
      <c r="CK106" s="242">
        <f>IF(CK6=Assumptions!$P$12,Assumptions!$Q$4+Assumptions!$Q$11,0)</f>
        <v>0</v>
      </c>
      <c r="CL106" s="242">
        <f>IF(CL6=Assumptions!$P$12,Assumptions!$Q$4+Assumptions!$Q$11,0)</f>
        <v>0</v>
      </c>
      <c r="CM106" s="242">
        <f>IF(CM6=Assumptions!$P$12,Assumptions!$Q$4+Assumptions!$Q$11,0)</f>
        <v>0</v>
      </c>
      <c r="CN106" s="242">
        <f>IF(CN6=Assumptions!$P$12,Assumptions!$Q$4+Assumptions!$Q$11,0)</f>
        <v>0</v>
      </c>
      <c r="CO106" s="242">
        <f>IF(CO6=Assumptions!$P$12,Assumptions!$Q$4+Assumptions!$Q$11,0)</f>
        <v>0</v>
      </c>
      <c r="CP106" s="242">
        <f>IF(CP6=Assumptions!$P$12,Assumptions!$Q$4+Assumptions!$Q$11,0)</f>
        <v>0</v>
      </c>
      <c r="CQ106" s="242">
        <f>IF(CQ6=Assumptions!$P$12,Assumptions!$Q$4+Assumptions!$Q$11,0)</f>
        <v>0</v>
      </c>
      <c r="CR106" s="242">
        <f>IF(CR6=Assumptions!$P$12,Assumptions!$Q$4+Assumptions!$Q$11,0)</f>
        <v>0</v>
      </c>
      <c r="CS106" s="242">
        <f>IF(CS6=Assumptions!$P$12,Assumptions!$Q$4+Assumptions!$Q$11,0)</f>
        <v>0</v>
      </c>
      <c r="CT106" s="242">
        <f>IF(CT6=Assumptions!$P$12,Assumptions!$Q$4+Assumptions!$Q$11,0)</f>
        <v>0</v>
      </c>
      <c r="CU106" s="242">
        <f>IF(CU6=Assumptions!$P$12,Assumptions!$Q$4+Assumptions!$Q$11,0)</f>
        <v>0</v>
      </c>
      <c r="CV106" s="242">
        <f>IF(CV6=Assumptions!$P$12,Assumptions!$Q$4+Assumptions!$Q$11,0)</f>
        <v>0</v>
      </c>
      <c r="CW106" s="242">
        <f>IF(CW6=Assumptions!$P$12,Assumptions!$Q$4+Assumptions!$Q$11,0)</f>
        <v>0</v>
      </c>
      <c r="CX106" s="242">
        <f>IF(CX6=Assumptions!$P$12,Assumptions!$Q$4+Assumptions!$Q$11,0)</f>
        <v>0</v>
      </c>
      <c r="CY106" s="242">
        <f>IF(CY6=Assumptions!$P$12,Assumptions!$Q$4+Assumptions!$Q$11,0)</f>
        <v>0</v>
      </c>
      <c r="CZ106" s="242">
        <f>IF(CZ6=Assumptions!$P$12,Assumptions!$Q$4+Assumptions!$Q$11,0)</f>
        <v>0</v>
      </c>
      <c r="DA106" s="242">
        <f>IF(DA6=Assumptions!$P$12,Assumptions!$Q$4+Assumptions!$Q$11,0)</f>
        <v>0</v>
      </c>
      <c r="DB106" s="242">
        <f>IF(DB6=Assumptions!$P$12,Assumptions!$Q$4+Assumptions!$Q$11,0)</f>
        <v>0</v>
      </c>
      <c r="DC106" s="242">
        <f>IF(DC6=Assumptions!$P$12,Assumptions!$Q$4+Assumptions!$Q$11,0)</f>
        <v>0</v>
      </c>
      <c r="DD106" s="242">
        <f>IF(DD6=Assumptions!$P$12,Assumptions!$Q$4+Assumptions!$Q$11,0)</f>
        <v>0</v>
      </c>
      <c r="DE106" s="242">
        <f>IF(DE6=Assumptions!$P$12,Assumptions!$Q$4+Assumptions!$Q$11,0)</f>
        <v>0</v>
      </c>
      <c r="DF106" s="242">
        <f>IF(DF6=Assumptions!$P$12,Assumptions!$Q$4+Assumptions!$Q$11,0)</f>
        <v>0</v>
      </c>
      <c r="DG106" s="242">
        <f>IF(DG6=Assumptions!$P$12,Assumptions!$Q$4+Assumptions!$Q$11,0)</f>
        <v>0</v>
      </c>
      <c r="DH106" s="242">
        <f>IF(DH6=Assumptions!$P$12,Assumptions!$Q$4+Assumptions!$Q$11,0)</f>
        <v>0</v>
      </c>
      <c r="DI106" s="242">
        <f>IF(DI6=Assumptions!$P$12,Assumptions!$Q$4+Assumptions!$Q$11,0)</f>
        <v>0</v>
      </c>
      <c r="DJ106" s="242">
        <f>IF(DJ6=Assumptions!$P$12,Assumptions!$Q$4+Assumptions!$Q$11,0)</f>
        <v>0</v>
      </c>
      <c r="DK106" s="242">
        <f>IF(DK6=Assumptions!$P$12,Assumptions!$Q$4+Assumptions!$Q$11,0)</f>
        <v>0</v>
      </c>
      <c r="DL106" s="242">
        <f>IF(DL6=Assumptions!$P$12,Assumptions!$Q$4+Assumptions!$Q$11,0)</f>
        <v>0</v>
      </c>
      <c r="DM106" s="242">
        <f>IF(DM6=Assumptions!$P$12,Assumptions!$Q$4+Assumptions!$Q$11,0)</f>
        <v>0</v>
      </c>
      <c r="DN106" s="242">
        <f>IF(DN6=Assumptions!$P$12,Assumptions!$Q$4+Assumptions!$Q$11,0)</f>
        <v>0</v>
      </c>
      <c r="DO106" s="242">
        <f>IF(DO6=Assumptions!$P$12,Assumptions!$Q$4+Assumptions!$Q$11,0)</f>
        <v>0</v>
      </c>
      <c r="DP106" s="242">
        <f>IF(DP6=Assumptions!$P$12,Assumptions!$Q$4+Assumptions!$Q$11,0)</f>
        <v>0</v>
      </c>
      <c r="DQ106" s="242">
        <f>IF(DQ6=Assumptions!$P$12,Assumptions!$Q$4+Assumptions!$Q$11,0)</f>
        <v>0</v>
      </c>
      <c r="DR106" s="242">
        <f>IF(DR6=Assumptions!$P$12,Assumptions!$Q$4+Assumptions!$Q$11,0)</f>
        <v>0</v>
      </c>
      <c r="DS106" s="242">
        <f>IF(DS6=Assumptions!$P$12,Assumptions!$Q$4+Assumptions!$Q$11,0)</f>
        <v>0</v>
      </c>
      <c r="DT106" s="242">
        <f>IF(DT6=Assumptions!$P$12,Assumptions!$Q$4+Assumptions!$Q$11,0)</f>
        <v>0</v>
      </c>
      <c r="DU106" s="242">
        <f>IF(DU6=Assumptions!$P$12,Assumptions!$Q$4+Assumptions!$Q$11,0)</f>
        <v>0</v>
      </c>
      <c r="DV106" s="242">
        <f>IF(DV6=Assumptions!$P$12,Assumptions!$Q$4+Assumptions!$Q$11,0)</f>
        <v>0</v>
      </c>
      <c r="DW106" s="242">
        <f>IF(DW6=Assumptions!$P$12,Assumptions!$Q$4+Assumptions!$Q$11,0)</f>
        <v>0</v>
      </c>
      <c r="DX106" s="242">
        <f>IF(DX6=Assumptions!$P$12,Assumptions!$Q$4+Assumptions!$Q$11,0)</f>
        <v>0</v>
      </c>
      <c r="DY106" s="242">
        <f>IF(DY6=Assumptions!$P$12,Assumptions!$Q$4+Assumptions!$Q$11,0)</f>
        <v>0</v>
      </c>
      <c r="DZ106" s="242">
        <f>IF(DZ6=Assumptions!$P$12,Assumptions!$Q$4+Assumptions!$Q$11,0)</f>
        <v>0</v>
      </c>
      <c r="EA106" s="242">
        <f>IF(EA6=Assumptions!$P$12,Assumptions!$Q$4+Assumptions!$Q$11,0)</f>
        <v>0</v>
      </c>
      <c r="EB106" s="242">
        <f>IF(EB6=Assumptions!$P$12,Assumptions!$Q$4+Assumptions!$Q$11,0)</f>
        <v>0</v>
      </c>
      <c r="EC106" s="242">
        <f>IF(EC6=Assumptions!$P$12,Assumptions!$Q$4+Assumptions!$Q$11,0)</f>
        <v>0</v>
      </c>
      <c r="ED106" s="242">
        <f>IF(ED6=Assumptions!$P$12,Assumptions!$Q$4+Assumptions!$Q$11,0)</f>
        <v>0</v>
      </c>
      <c r="EE106" s="242">
        <f>IF(EE6=Assumptions!$P$12,Assumptions!$Q$4+Assumptions!$Q$11,0)</f>
        <v>0</v>
      </c>
      <c r="EF106" s="242">
        <f>IF(EF6=Assumptions!$P$12,Assumptions!$Q$4+Assumptions!$Q$11,0)</f>
        <v>0</v>
      </c>
      <c r="EG106" s="242">
        <f>IF(EG6=Assumptions!$P$12,Assumptions!$Q$4+Assumptions!$Q$11,0)</f>
        <v>0</v>
      </c>
      <c r="EH106" s="242">
        <f>IF(EH6=Assumptions!$P$12,Assumptions!$Q$4+Assumptions!$Q$11,0)</f>
        <v>0</v>
      </c>
      <c r="EI106" s="242">
        <f>IF(EI6=Assumptions!$P$12,Assumptions!$Q$4+Assumptions!$Q$11,0)</f>
        <v>0</v>
      </c>
      <c r="EJ106" s="242">
        <f>IF(EJ6=Assumptions!$P$12,Assumptions!$Q$4+Assumptions!$Q$11,0)</f>
        <v>0</v>
      </c>
      <c r="EK106" s="242">
        <f>IF(EK6=Assumptions!$P$12,Assumptions!$Q$4+Assumptions!$Q$11,0)</f>
        <v>0</v>
      </c>
      <c r="EL106" s="242">
        <f>IF(EL6=Assumptions!$P$12,Assumptions!$Q$4+Assumptions!$Q$11,0)</f>
        <v>0</v>
      </c>
      <c r="EM106" s="242">
        <f>IF(EM6=Assumptions!$P$12,Assumptions!$Q$4+Assumptions!$Q$11,0)</f>
        <v>0</v>
      </c>
      <c r="EN106" s="242">
        <f>IF(EN6=Assumptions!$P$12,Assumptions!$Q$4+Assumptions!$Q$11,0)</f>
        <v>0</v>
      </c>
      <c r="EO106" s="242">
        <f>IF(EO6=Assumptions!$P$12,Assumptions!$Q$4+Assumptions!$Q$11,0)</f>
        <v>0</v>
      </c>
      <c r="EP106" s="242">
        <f>IF(EP6=Assumptions!$P$12,Assumptions!$Q$4+Assumptions!$Q$11,0)</f>
        <v>0</v>
      </c>
      <c r="EQ106" s="242">
        <f>IF(EQ6=Assumptions!$P$12,Assumptions!$Q$4+Assumptions!$Q$11,0)</f>
        <v>0</v>
      </c>
      <c r="ER106" s="242">
        <f>IF(ER6=Assumptions!$P$12,Assumptions!$Q$4+Assumptions!$Q$11,0)</f>
        <v>0</v>
      </c>
      <c r="ES106" s="242">
        <f>IF(ES6=Assumptions!$P$12,Assumptions!$Q$4+Assumptions!$Q$11,0)</f>
        <v>0</v>
      </c>
      <c r="ET106" s="242">
        <f>IF(ET6=Assumptions!$P$12,Assumptions!$Q$4+Assumptions!$Q$11,0)</f>
        <v>0</v>
      </c>
    </row>
    <row r="107" spans="2:150" x14ac:dyDescent="0.2">
      <c r="B107" t="s">
        <v>171</v>
      </c>
      <c r="F107" s="242">
        <f>F116</f>
        <v>0</v>
      </c>
      <c r="G107" s="242">
        <f t="shared" ref="G107:AB107" si="1204">G116</f>
        <v>0</v>
      </c>
      <c r="H107" s="242">
        <f t="shared" si="1204"/>
        <v>0</v>
      </c>
      <c r="I107" s="242">
        <f t="shared" si="1204"/>
        <v>0</v>
      </c>
      <c r="J107" s="242">
        <f t="shared" si="1204"/>
        <v>0</v>
      </c>
      <c r="K107" s="242">
        <f t="shared" si="1204"/>
        <v>0</v>
      </c>
      <c r="L107" s="242">
        <f t="shared" si="1204"/>
        <v>0</v>
      </c>
      <c r="M107" s="242">
        <f t="shared" si="1204"/>
        <v>0</v>
      </c>
      <c r="N107" s="242">
        <f t="shared" si="1204"/>
        <v>0</v>
      </c>
      <c r="O107" s="242">
        <f t="shared" si="1204"/>
        <v>0</v>
      </c>
      <c r="P107" s="242">
        <f t="shared" si="1204"/>
        <v>0</v>
      </c>
      <c r="Q107" s="242">
        <f t="shared" si="1204"/>
        <v>0</v>
      </c>
      <c r="R107" s="242">
        <f t="shared" si="1204"/>
        <v>0</v>
      </c>
      <c r="S107" s="242">
        <f t="shared" si="1204"/>
        <v>0</v>
      </c>
      <c r="T107" s="242">
        <f t="shared" si="1204"/>
        <v>0</v>
      </c>
      <c r="U107" s="242">
        <f t="shared" si="1204"/>
        <v>0</v>
      </c>
      <c r="V107" s="242">
        <f t="shared" si="1204"/>
        <v>0</v>
      </c>
      <c r="W107" s="242">
        <f t="shared" si="1204"/>
        <v>0</v>
      </c>
      <c r="X107" s="242">
        <f t="shared" si="1204"/>
        <v>0</v>
      </c>
      <c r="Y107" s="242">
        <f t="shared" si="1204"/>
        <v>0</v>
      </c>
      <c r="Z107" s="242">
        <f t="shared" si="1204"/>
        <v>-1750000</v>
      </c>
      <c r="AA107" s="242">
        <f t="shared" si="1204"/>
        <v>0</v>
      </c>
      <c r="AB107" s="242">
        <f t="shared" si="1204"/>
        <v>0</v>
      </c>
      <c r="AC107" s="242">
        <f t="shared" ref="AC107:BZ107" si="1205">AC116</f>
        <v>0</v>
      </c>
      <c r="AD107" s="242">
        <f t="shared" si="1205"/>
        <v>0</v>
      </c>
      <c r="AE107" s="242">
        <f t="shared" si="1205"/>
        <v>0</v>
      </c>
      <c r="AF107" s="242">
        <f t="shared" si="1205"/>
        <v>0</v>
      </c>
      <c r="AG107" s="242">
        <f t="shared" si="1205"/>
        <v>0</v>
      </c>
      <c r="AH107" s="242">
        <f t="shared" si="1205"/>
        <v>0</v>
      </c>
      <c r="AI107" s="242">
        <f t="shared" si="1205"/>
        <v>0</v>
      </c>
      <c r="AJ107" s="242">
        <f t="shared" si="1205"/>
        <v>0</v>
      </c>
      <c r="AK107" s="242">
        <f t="shared" si="1205"/>
        <v>0</v>
      </c>
      <c r="AL107" s="242">
        <f t="shared" si="1205"/>
        <v>0</v>
      </c>
      <c r="AM107" s="242">
        <f t="shared" si="1205"/>
        <v>0</v>
      </c>
      <c r="AN107" s="242">
        <f t="shared" si="1205"/>
        <v>0</v>
      </c>
      <c r="AO107" s="242">
        <f t="shared" si="1205"/>
        <v>0</v>
      </c>
      <c r="AP107" s="242">
        <f t="shared" si="1205"/>
        <v>0</v>
      </c>
      <c r="AQ107" s="242">
        <f t="shared" si="1205"/>
        <v>0</v>
      </c>
      <c r="AR107" s="242">
        <f t="shared" si="1205"/>
        <v>0</v>
      </c>
      <c r="AS107" s="242">
        <f t="shared" si="1205"/>
        <v>0</v>
      </c>
      <c r="AT107" s="242">
        <f t="shared" si="1205"/>
        <v>0</v>
      </c>
      <c r="AU107" s="242">
        <f t="shared" si="1205"/>
        <v>0</v>
      </c>
      <c r="AV107" s="242">
        <f t="shared" si="1205"/>
        <v>0</v>
      </c>
      <c r="AW107" s="242">
        <f t="shared" si="1205"/>
        <v>0</v>
      </c>
      <c r="AX107" s="242">
        <f t="shared" si="1205"/>
        <v>0</v>
      </c>
      <c r="AY107" s="242">
        <f t="shared" si="1205"/>
        <v>0</v>
      </c>
      <c r="AZ107" s="242">
        <f t="shared" si="1205"/>
        <v>0</v>
      </c>
      <c r="BA107" s="242">
        <f t="shared" si="1205"/>
        <v>0</v>
      </c>
      <c r="BB107" s="242">
        <f t="shared" si="1205"/>
        <v>0</v>
      </c>
      <c r="BC107" s="242">
        <f t="shared" si="1205"/>
        <v>0</v>
      </c>
      <c r="BD107" s="242">
        <f t="shared" si="1205"/>
        <v>0</v>
      </c>
      <c r="BE107" s="242">
        <f t="shared" si="1205"/>
        <v>0</v>
      </c>
      <c r="BF107" s="242">
        <f t="shared" si="1205"/>
        <v>0</v>
      </c>
      <c r="BG107" s="242">
        <f t="shared" si="1205"/>
        <v>0</v>
      </c>
      <c r="BH107" s="242">
        <f t="shared" si="1205"/>
        <v>0</v>
      </c>
      <c r="BI107" s="242">
        <f t="shared" si="1205"/>
        <v>0</v>
      </c>
      <c r="BJ107" s="242">
        <f t="shared" si="1205"/>
        <v>0</v>
      </c>
      <c r="BK107" s="242">
        <f t="shared" si="1205"/>
        <v>0</v>
      </c>
      <c r="BL107" s="242">
        <f t="shared" si="1205"/>
        <v>0</v>
      </c>
      <c r="BM107" s="242">
        <f t="shared" si="1205"/>
        <v>0</v>
      </c>
      <c r="BN107" s="242">
        <f t="shared" si="1205"/>
        <v>0</v>
      </c>
      <c r="BO107" s="242">
        <f t="shared" si="1205"/>
        <v>0</v>
      </c>
      <c r="BP107" s="242">
        <f t="shared" si="1205"/>
        <v>0</v>
      </c>
      <c r="BQ107" s="242">
        <f t="shared" si="1205"/>
        <v>0</v>
      </c>
      <c r="BR107" s="242">
        <f t="shared" si="1205"/>
        <v>0</v>
      </c>
      <c r="BS107" s="242">
        <f t="shared" si="1205"/>
        <v>0</v>
      </c>
      <c r="BT107" s="242">
        <f t="shared" si="1205"/>
        <v>0</v>
      </c>
      <c r="BU107" s="242">
        <f t="shared" si="1205"/>
        <v>0</v>
      </c>
      <c r="BV107" s="242">
        <f t="shared" si="1205"/>
        <v>0</v>
      </c>
      <c r="BW107" s="242">
        <f t="shared" si="1205"/>
        <v>0</v>
      </c>
      <c r="BX107" s="242">
        <f t="shared" si="1205"/>
        <v>0</v>
      </c>
      <c r="BY107" s="242">
        <f t="shared" si="1205"/>
        <v>0</v>
      </c>
      <c r="BZ107" s="242">
        <f t="shared" si="1205"/>
        <v>0</v>
      </c>
      <c r="CA107" s="242">
        <f t="shared" ref="CA107:EL107" si="1206">CA116</f>
        <v>0</v>
      </c>
      <c r="CB107" s="242">
        <f t="shared" si="1206"/>
        <v>0</v>
      </c>
      <c r="CC107" s="242">
        <f t="shared" si="1206"/>
        <v>0</v>
      </c>
      <c r="CD107" s="242">
        <f t="shared" si="1206"/>
        <v>0</v>
      </c>
      <c r="CE107" s="242">
        <f t="shared" si="1206"/>
        <v>0</v>
      </c>
      <c r="CF107" s="242">
        <f t="shared" si="1206"/>
        <v>0</v>
      </c>
      <c r="CG107" s="242">
        <f t="shared" si="1206"/>
        <v>0</v>
      </c>
      <c r="CH107" s="242">
        <f t="shared" si="1206"/>
        <v>0</v>
      </c>
      <c r="CI107" s="242">
        <f t="shared" si="1206"/>
        <v>0</v>
      </c>
      <c r="CJ107" s="242">
        <f t="shared" si="1206"/>
        <v>0</v>
      </c>
      <c r="CK107" s="242">
        <f t="shared" si="1206"/>
        <v>0</v>
      </c>
      <c r="CL107" s="242">
        <f t="shared" si="1206"/>
        <v>0</v>
      </c>
      <c r="CM107" s="242">
        <f t="shared" si="1206"/>
        <v>0</v>
      </c>
      <c r="CN107" s="242">
        <f t="shared" si="1206"/>
        <v>0</v>
      </c>
      <c r="CO107" s="242">
        <f t="shared" si="1206"/>
        <v>0</v>
      </c>
      <c r="CP107" s="242">
        <f t="shared" si="1206"/>
        <v>0</v>
      </c>
      <c r="CQ107" s="242">
        <f t="shared" si="1206"/>
        <v>0</v>
      </c>
      <c r="CR107" s="242">
        <f t="shared" si="1206"/>
        <v>0</v>
      </c>
      <c r="CS107" s="242">
        <f t="shared" si="1206"/>
        <v>0</v>
      </c>
      <c r="CT107" s="242">
        <f t="shared" si="1206"/>
        <v>0</v>
      </c>
      <c r="CU107" s="242">
        <f t="shared" si="1206"/>
        <v>0</v>
      </c>
      <c r="CV107" s="242">
        <f t="shared" si="1206"/>
        <v>0</v>
      </c>
      <c r="CW107" s="242">
        <f t="shared" si="1206"/>
        <v>0</v>
      </c>
      <c r="CX107" s="242">
        <f t="shared" si="1206"/>
        <v>0</v>
      </c>
      <c r="CY107" s="242">
        <f t="shared" si="1206"/>
        <v>0</v>
      </c>
      <c r="CZ107" s="242">
        <f t="shared" si="1206"/>
        <v>0</v>
      </c>
      <c r="DA107" s="242">
        <f t="shared" si="1206"/>
        <v>0</v>
      </c>
      <c r="DB107" s="242">
        <f t="shared" si="1206"/>
        <v>0</v>
      </c>
      <c r="DC107" s="242">
        <f t="shared" si="1206"/>
        <v>0</v>
      </c>
      <c r="DD107" s="242">
        <f t="shared" si="1206"/>
        <v>0</v>
      </c>
      <c r="DE107" s="242">
        <f t="shared" si="1206"/>
        <v>0</v>
      </c>
      <c r="DF107" s="242">
        <f t="shared" si="1206"/>
        <v>0</v>
      </c>
      <c r="DG107" s="242">
        <f t="shared" si="1206"/>
        <v>0</v>
      </c>
      <c r="DH107" s="242">
        <f t="shared" si="1206"/>
        <v>0</v>
      </c>
      <c r="DI107" s="242">
        <f t="shared" si="1206"/>
        <v>0</v>
      </c>
      <c r="DJ107" s="242">
        <f t="shared" si="1206"/>
        <v>0</v>
      </c>
      <c r="DK107" s="242">
        <f t="shared" si="1206"/>
        <v>0</v>
      </c>
      <c r="DL107" s="242">
        <f t="shared" si="1206"/>
        <v>0</v>
      </c>
      <c r="DM107" s="242">
        <f t="shared" si="1206"/>
        <v>0</v>
      </c>
      <c r="DN107" s="242">
        <f t="shared" si="1206"/>
        <v>0</v>
      </c>
      <c r="DO107" s="242">
        <f t="shared" si="1206"/>
        <v>0</v>
      </c>
      <c r="DP107" s="242">
        <f t="shared" si="1206"/>
        <v>0</v>
      </c>
      <c r="DQ107" s="242">
        <f t="shared" si="1206"/>
        <v>0</v>
      </c>
      <c r="DR107" s="242">
        <f t="shared" si="1206"/>
        <v>0</v>
      </c>
      <c r="DS107" s="242">
        <f t="shared" si="1206"/>
        <v>0</v>
      </c>
      <c r="DT107" s="242">
        <f t="shared" si="1206"/>
        <v>0</v>
      </c>
      <c r="DU107" s="242">
        <f t="shared" si="1206"/>
        <v>0</v>
      </c>
      <c r="DV107" s="242">
        <f t="shared" si="1206"/>
        <v>0</v>
      </c>
      <c r="DW107" s="242">
        <f t="shared" si="1206"/>
        <v>0</v>
      </c>
      <c r="DX107" s="242">
        <f t="shared" si="1206"/>
        <v>0</v>
      </c>
      <c r="DY107" s="242">
        <f t="shared" si="1206"/>
        <v>0</v>
      </c>
      <c r="DZ107" s="242">
        <f t="shared" si="1206"/>
        <v>0</v>
      </c>
      <c r="EA107" s="242">
        <f t="shared" si="1206"/>
        <v>0</v>
      </c>
      <c r="EB107" s="242">
        <f t="shared" si="1206"/>
        <v>0</v>
      </c>
      <c r="EC107" s="242">
        <f t="shared" si="1206"/>
        <v>0</v>
      </c>
      <c r="ED107" s="242">
        <f t="shared" si="1206"/>
        <v>0</v>
      </c>
      <c r="EE107" s="242">
        <f t="shared" si="1206"/>
        <v>0</v>
      </c>
      <c r="EF107" s="242">
        <f t="shared" si="1206"/>
        <v>0</v>
      </c>
      <c r="EG107" s="242">
        <f t="shared" si="1206"/>
        <v>0</v>
      </c>
      <c r="EH107" s="242">
        <f t="shared" si="1206"/>
        <v>0</v>
      </c>
      <c r="EI107" s="242">
        <f t="shared" si="1206"/>
        <v>0</v>
      </c>
      <c r="EJ107" s="242">
        <f t="shared" si="1206"/>
        <v>0</v>
      </c>
      <c r="EK107" s="242">
        <f t="shared" si="1206"/>
        <v>0</v>
      </c>
      <c r="EL107" s="242">
        <f t="shared" si="1206"/>
        <v>0</v>
      </c>
      <c r="EM107" s="242">
        <f t="shared" ref="EM107:ET107" si="1207">EM116</f>
        <v>0</v>
      </c>
      <c r="EN107" s="242">
        <f t="shared" si="1207"/>
        <v>0</v>
      </c>
      <c r="EO107" s="242">
        <f t="shared" si="1207"/>
        <v>0</v>
      </c>
      <c r="EP107" s="242">
        <f t="shared" si="1207"/>
        <v>0</v>
      </c>
      <c r="EQ107" s="242">
        <f t="shared" si="1207"/>
        <v>0</v>
      </c>
      <c r="ER107" s="242">
        <f t="shared" si="1207"/>
        <v>0</v>
      </c>
      <c r="ES107" s="242">
        <f t="shared" si="1207"/>
        <v>0</v>
      </c>
      <c r="ET107" s="242">
        <f t="shared" si="1207"/>
        <v>0</v>
      </c>
    </row>
    <row r="108" spans="2:150" x14ac:dyDescent="0.2">
      <c r="B108" t="s">
        <v>168</v>
      </c>
      <c r="F108" s="242">
        <f t="shared" ref="F108:AK108" ca="1" si="1208">-MIN(SUM(F105:F106),-F17+F89+F95+F101-F114)</f>
        <v>0</v>
      </c>
      <c r="G108" s="242">
        <f t="shared" ca="1" si="1208"/>
        <v>0</v>
      </c>
      <c r="H108" s="242">
        <f t="shared" ca="1" si="1208"/>
        <v>0</v>
      </c>
      <c r="I108" s="242">
        <f t="shared" ca="1" si="1208"/>
        <v>0</v>
      </c>
      <c r="J108" s="242">
        <f t="shared" ca="1" si="1208"/>
        <v>0</v>
      </c>
      <c r="K108" s="242">
        <f t="shared" ca="1" si="1208"/>
        <v>0</v>
      </c>
      <c r="L108" s="242">
        <f t="shared" ca="1" si="1208"/>
        <v>0</v>
      </c>
      <c r="M108" s="242">
        <f t="shared" ca="1" si="1208"/>
        <v>0</v>
      </c>
      <c r="N108" s="242">
        <f t="shared" ca="1" si="1208"/>
        <v>0</v>
      </c>
      <c r="O108" s="242">
        <f t="shared" ca="1" si="1208"/>
        <v>0</v>
      </c>
      <c r="P108" s="242">
        <f t="shared" ca="1" si="1208"/>
        <v>0</v>
      </c>
      <c r="Q108" s="242">
        <f t="shared" ca="1" si="1208"/>
        <v>0</v>
      </c>
      <c r="R108" s="242">
        <f t="shared" ca="1" si="1208"/>
        <v>0</v>
      </c>
      <c r="S108" s="242">
        <f t="shared" ca="1" si="1208"/>
        <v>0</v>
      </c>
      <c r="T108" s="242">
        <f t="shared" ca="1" si="1208"/>
        <v>0</v>
      </c>
      <c r="U108" s="242">
        <f t="shared" ca="1" si="1208"/>
        <v>0</v>
      </c>
      <c r="V108" s="242">
        <f t="shared" ca="1" si="1208"/>
        <v>0</v>
      </c>
      <c r="W108" s="242">
        <f t="shared" ca="1" si="1208"/>
        <v>0</v>
      </c>
      <c r="X108" s="242">
        <f t="shared" ca="1" si="1208"/>
        <v>-1309346.0141211129</v>
      </c>
      <c r="Y108" s="242">
        <f t="shared" ca="1" si="1208"/>
        <v>-1117234.2723802493</v>
      </c>
      <c r="Z108" s="242">
        <f t="shared" ca="1" si="1208"/>
        <v>-1124216.9865826343</v>
      </c>
      <c r="AA108" s="242">
        <f t="shared" ca="1" si="1208"/>
        <v>-1133430.8427487845</v>
      </c>
      <c r="AB108" s="242">
        <f t="shared" ca="1" si="1208"/>
        <v>-1140514.7855159738</v>
      </c>
      <c r="AC108" s="242">
        <f t="shared" ca="1" si="1208"/>
        <v>-1147643.0029254586</v>
      </c>
      <c r="AD108" s="242">
        <f t="shared" ca="1" si="1208"/>
        <v>-1154815.7716937533</v>
      </c>
      <c r="AE108" s="242">
        <f t="shared" ca="1" si="1208"/>
        <v>-1162033.3702668503</v>
      </c>
      <c r="AF108" s="242">
        <f t="shared" ca="1" si="1208"/>
        <v>-1169296.0788310298</v>
      </c>
      <c r="AG108" s="242">
        <f t="shared" ca="1" si="1208"/>
        <v>-1176604.1793237359</v>
      </c>
      <c r="AH108" s="242">
        <f t="shared" ca="1" si="1208"/>
        <v>-1183957.9554445217</v>
      </c>
      <c r="AI108" s="242">
        <f t="shared" ca="1" si="1208"/>
        <v>-1191357.6926660633</v>
      </c>
      <c r="AJ108" s="242">
        <f t="shared" ca="1" si="1208"/>
        <v>-1198803.6782452399</v>
      </c>
      <c r="AK108" s="242">
        <f t="shared" ca="1" si="1208"/>
        <v>-1206296.2012342869</v>
      </c>
      <c r="AL108" s="242">
        <f t="shared" ref="AL108:BQ108" ca="1" si="1209">-MIN(SUM(AL105:AL106),-AL17+AL89+AL95+AL101-AL114)</f>
        <v>-1213835.552492016</v>
      </c>
      <c r="AM108" s="242">
        <f t="shared" ca="1" si="1209"/>
        <v>-1221422.0246951061</v>
      </c>
      <c r="AN108" s="242">
        <f t="shared" ca="1" si="1209"/>
        <v>-1229055.912349466</v>
      </c>
      <c r="AO108" s="242">
        <f t="shared" ca="1" si="1209"/>
        <v>-135386.98808968262</v>
      </c>
      <c r="AP108" s="242">
        <f t="shared" ca="1" si="1209"/>
        <v>-118297.9124369834</v>
      </c>
      <c r="AQ108" s="242">
        <f t="shared" ca="1" si="1209"/>
        <v>-93484.806958564237</v>
      </c>
      <c r="AR108" s="242">
        <f t="shared" ca="1" si="1209"/>
        <v>-75965.379570905105</v>
      </c>
      <c r="AS108" s="242">
        <f t="shared" ca="1" si="1209"/>
        <v>-59500.101762073245</v>
      </c>
      <c r="AT108" s="242">
        <f t="shared" ca="1" si="1209"/>
        <v>-43513.738966936216</v>
      </c>
      <c r="AU108" s="242">
        <f t="shared" ca="1" si="1209"/>
        <v>-27427.461404329515</v>
      </c>
      <c r="AV108" s="242">
        <f t="shared" ca="1" si="1209"/>
        <v>-13471.313483933714</v>
      </c>
      <c r="AW108" s="242">
        <f t="shared" ca="1" si="1209"/>
        <v>-13555.509193224425</v>
      </c>
      <c r="AX108" s="242">
        <f t="shared" ca="1" si="1209"/>
        <v>-13640.231125697872</v>
      </c>
      <c r="AY108" s="242">
        <f t="shared" ca="1" si="1209"/>
        <v>-13725.482570248685</v>
      </c>
      <c r="AZ108" s="242">
        <f t="shared" ca="1" si="1209"/>
        <v>-13811.266836327297</v>
      </c>
      <c r="BA108" s="242">
        <f t="shared" ca="1" si="1209"/>
        <v>-13836.21302906808</v>
      </c>
      <c r="BB108" s="242">
        <f t="shared" ca="1" si="1209"/>
        <v>-9110.3087460042443</v>
      </c>
      <c r="BC108" s="242">
        <f t="shared" ca="1" si="1209"/>
        <v>-9167.2481756783382</v>
      </c>
      <c r="BD108" s="242">
        <f t="shared" ca="1" si="1209"/>
        <v>-9224.5434767864353</v>
      </c>
      <c r="BE108" s="242">
        <f t="shared" ca="1" si="1209"/>
        <v>-9282.1968735249538</v>
      </c>
      <c r="BF108" s="242">
        <f t="shared" ca="1" si="1209"/>
        <v>-9340.2106039912906</v>
      </c>
      <c r="BG108" s="242">
        <f t="shared" ca="1" si="1209"/>
        <v>-9398.5869202709291</v>
      </c>
      <c r="BH108" s="242">
        <f t="shared" ca="1" si="1209"/>
        <v>-9457.3280885250133</v>
      </c>
      <c r="BI108" s="242">
        <f t="shared" ca="1" si="1209"/>
        <v>-9516.4363890781824</v>
      </c>
      <c r="BJ108" s="242">
        <f t="shared" ca="1" si="1209"/>
        <v>-9575.9141165069595</v>
      </c>
      <c r="BK108" s="242">
        <f t="shared" ca="1" si="1209"/>
        <v>-9635.7635797290422</v>
      </c>
      <c r="BL108" s="242">
        <f t="shared" ca="1" si="1209"/>
        <v>-9695.9871020927385</v>
      </c>
      <c r="BM108" s="242">
        <f t="shared" ca="1" si="1209"/>
        <v>-9693.3715697174193</v>
      </c>
      <c r="BN108" s="242">
        <f t="shared" ca="1" si="1209"/>
        <v>-4797.20310906737</v>
      </c>
      <c r="BO108" s="242">
        <f t="shared" ca="1" si="1209"/>
        <v>-4827.1856284769601</v>
      </c>
      <c r="BP108" s="242">
        <f t="shared" ca="1" si="1209"/>
        <v>-4857.3555386280641</v>
      </c>
      <c r="BQ108" s="242">
        <f t="shared" ca="1" si="1209"/>
        <v>-4887.7140107124287</v>
      </c>
      <c r="BR108" s="242">
        <f t="shared" ref="BR108:CW108" ca="1" si="1210">-MIN(SUM(BR105:BR106),-BR17+BR89+BR95+BR101-BR114)</f>
        <v>-4918.262223241647</v>
      </c>
      <c r="BS108" s="242">
        <f t="shared" ca="1" si="1210"/>
        <v>-4949.0013620930258</v>
      </c>
      <c r="BT108" s="242">
        <f t="shared" ca="1" si="1210"/>
        <v>-4979.9326205557445</v>
      </c>
      <c r="BU108" s="242">
        <f t="shared" ca="1" si="1210"/>
        <v>-5011.0571993770427</v>
      </c>
      <c r="BV108" s="242">
        <f t="shared" ca="1" si="1210"/>
        <v>-5042.3763068084372</v>
      </c>
      <c r="BW108" s="242">
        <f t="shared" ca="1" si="1210"/>
        <v>-5073.8911586534523</v>
      </c>
      <c r="BX108" s="242">
        <f t="shared" ca="1" si="1210"/>
        <v>-5105.6029783142731</v>
      </c>
      <c r="BY108" s="242">
        <f t="shared" ca="1" si="1210"/>
        <v>-5072.400818116701</v>
      </c>
      <c r="BZ108" s="242">
        <f t="shared" ca="1" si="1210"/>
        <v>0</v>
      </c>
      <c r="CA108" s="242">
        <f t="shared" ca="1" si="1210"/>
        <v>0</v>
      </c>
      <c r="CB108" s="242">
        <f t="shared" ca="1" si="1210"/>
        <v>0</v>
      </c>
      <c r="CC108" s="242">
        <f t="shared" ca="1" si="1210"/>
        <v>0</v>
      </c>
      <c r="CD108" s="242">
        <f t="shared" ca="1" si="1210"/>
        <v>0</v>
      </c>
      <c r="CE108" s="242">
        <f t="shared" ca="1" si="1210"/>
        <v>0</v>
      </c>
      <c r="CF108" s="242">
        <f t="shared" ca="1" si="1210"/>
        <v>0</v>
      </c>
      <c r="CG108" s="242">
        <f t="shared" ca="1" si="1210"/>
        <v>0</v>
      </c>
      <c r="CH108" s="242">
        <f t="shared" ca="1" si="1210"/>
        <v>0</v>
      </c>
      <c r="CI108" s="242">
        <f t="shared" ca="1" si="1210"/>
        <v>0</v>
      </c>
      <c r="CJ108" s="242">
        <f t="shared" ca="1" si="1210"/>
        <v>0</v>
      </c>
      <c r="CK108" s="242">
        <f t="shared" ca="1" si="1210"/>
        <v>0</v>
      </c>
      <c r="CL108" s="242">
        <f t="shared" ca="1" si="1210"/>
        <v>0</v>
      </c>
      <c r="CM108" s="242">
        <f t="shared" ca="1" si="1210"/>
        <v>0</v>
      </c>
      <c r="CN108" s="242">
        <f t="shared" ca="1" si="1210"/>
        <v>0</v>
      </c>
      <c r="CO108" s="242">
        <f t="shared" ca="1" si="1210"/>
        <v>0</v>
      </c>
      <c r="CP108" s="242">
        <f t="shared" ca="1" si="1210"/>
        <v>0</v>
      </c>
      <c r="CQ108" s="242">
        <f t="shared" ca="1" si="1210"/>
        <v>0</v>
      </c>
      <c r="CR108" s="242">
        <f t="shared" ca="1" si="1210"/>
        <v>0</v>
      </c>
      <c r="CS108" s="242">
        <f t="shared" ca="1" si="1210"/>
        <v>0</v>
      </c>
      <c r="CT108" s="242">
        <f t="shared" ca="1" si="1210"/>
        <v>0</v>
      </c>
      <c r="CU108" s="242">
        <f t="shared" ca="1" si="1210"/>
        <v>0</v>
      </c>
      <c r="CV108" s="242">
        <f t="shared" ca="1" si="1210"/>
        <v>0</v>
      </c>
      <c r="CW108" s="242">
        <f t="shared" ca="1" si="1210"/>
        <v>0</v>
      </c>
      <c r="CX108" s="242">
        <f t="shared" ref="CX108:EC108" ca="1" si="1211">-MIN(SUM(CX105:CX106),-CX17+CX89+CX95+CX101-CX114)</f>
        <v>0</v>
      </c>
      <c r="CY108" s="242">
        <f t="shared" ca="1" si="1211"/>
        <v>0</v>
      </c>
      <c r="CZ108" s="242">
        <f t="shared" ca="1" si="1211"/>
        <v>0</v>
      </c>
      <c r="DA108" s="242">
        <f t="shared" ca="1" si="1211"/>
        <v>0</v>
      </c>
      <c r="DB108" s="242">
        <f t="shared" ca="1" si="1211"/>
        <v>0</v>
      </c>
      <c r="DC108" s="242">
        <f t="shared" ca="1" si="1211"/>
        <v>0</v>
      </c>
      <c r="DD108" s="242">
        <f t="shared" ca="1" si="1211"/>
        <v>0</v>
      </c>
      <c r="DE108" s="242">
        <f t="shared" ca="1" si="1211"/>
        <v>0</v>
      </c>
      <c r="DF108" s="242">
        <f t="shared" ca="1" si="1211"/>
        <v>0</v>
      </c>
      <c r="DG108" s="242">
        <f t="shared" ca="1" si="1211"/>
        <v>0</v>
      </c>
      <c r="DH108" s="242">
        <f t="shared" ca="1" si="1211"/>
        <v>0</v>
      </c>
      <c r="DI108" s="242">
        <f t="shared" ca="1" si="1211"/>
        <v>0</v>
      </c>
      <c r="DJ108" s="242">
        <f t="shared" ca="1" si="1211"/>
        <v>0</v>
      </c>
      <c r="DK108" s="242">
        <f t="shared" ca="1" si="1211"/>
        <v>0</v>
      </c>
      <c r="DL108" s="242">
        <f t="shared" ca="1" si="1211"/>
        <v>0</v>
      </c>
      <c r="DM108" s="242">
        <f t="shared" ca="1" si="1211"/>
        <v>0</v>
      </c>
      <c r="DN108" s="242">
        <f t="shared" ca="1" si="1211"/>
        <v>0</v>
      </c>
      <c r="DO108" s="242">
        <f t="shared" ca="1" si="1211"/>
        <v>0</v>
      </c>
      <c r="DP108" s="242">
        <f t="shared" ca="1" si="1211"/>
        <v>0</v>
      </c>
      <c r="DQ108" s="242">
        <f t="shared" ca="1" si="1211"/>
        <v>0</v>
      </c>
      <c r="DR108" s="242">
        <f t="shared" ca="1" si="1211"/>
        <v>0</v>
      </c>
      <c r="DS108" s="242">
        <f t="shared" ca="1" si="1211"/>
        <v>0</v>
      </c>
      <c r="DT108" s="242">
        <f t="shared" ca="1" si="1211"/>
        <v>0</v>
      </c>
      <c r="DU108" s="242">
        <f t="shared" ca="1" si="1211"/>
        <v>0</v>
      </c>
      <c r="DV108" s="242">
        <f t="shared" ca="1" si="1211"/>
        <v>0</v>
      </c>
      <c r="DW108" s="242">
        <f t="shared" ca="1" si="1211"/>
        <v>0</v>
      </c>
      <c r="DX108" s="242">
        <f t="shared" ca="1" si="1211"/>
        <v>0</v>
      </c>
      <c r="DY108" s="242">
        <f t="shared" ca="1" si="1211"/>
        <v>0</v>
      </c>
      <c r="DZ108" s="242">
        <f t="shared" ca="1" si="1211"/>
        <v>0</v>
      </c>
      <c r="EA108" s="242">
        <f t="shared" ca="1" si="1211"/>
        <v>0</v>
      </c>
      <c r="EB108" s="242">
        <f t="shared" ca="1" si="1211"/>
        <v>0</v>
      </c>
      <c r="EC108" s="242">
        <f t="shared" ca="1" si="1211"/>
        <v>0</v>
      </c>
      <c r="ED108" s="242">
        <f t="shared" ref="ED108:ET108" ca="1" si="1212">-MIN(SUM(ED105:ED106),-ED17+ED89+ED95+ED101-ED114)</f>
        <v>0</v>
      </c>
      <c r="EE108" s="242">
        <f t="shared" ca="1" si="1212"/>
        <v>0</v>
      </c>
      <c r="EF108" s="242">
        <f t="shared" ca="1" si="1212"/>
        <v>0</v>
      </c>
      <c r="EG108" s="242">
        <f t="shared" ca="1" si="1212"/>
        <v>0</v>
      </c>
      <c r="EH108" s="242">
        <f t="shared" ca="1" si="1212"/>
        <v>0</v>
      </c>
      <c r="EI108" s="242">
        <f t="shared" ca="1" si="1212"/>
        <v>0</v>
      </c>
      <c r="EJ108" s="242">
        <f t="shared" ca="1" si="1212"/>
        <v>0</v>
      </c>
      <c r="EK108" s="242">
        <f t="shared" ca="1" si="1212"/>
        <v>0</v>
      </c>
      <c r="EL108" s="242">
        <f t="shared" ca="1" si="1212"/>
        <v>0</v>
      </c>
      <c r="EM108" s="242">
        <f t="shared" ca="1" si="1212"/>
        <v>0</v>
      </c>
      <c r="EN108" s="242">
        <f t="shared" ca="1" si="1212"/>
        <v>0</v>
      </c>
      <c r="EO108" s="242">
        <f t="shared" ca="1" si="1212"/>
        <v>0</v>
      </c>
      <c r="EP108" s="242">
        <f t="shared" ca="1" si="1212"/>
        <v>0</v>
      </c>
      <c r="EQ108" s="242">
        <f t="shared" ca="1" si="1212"/>
        <v>0</v>
      </c>
      <c r="ER108" s="242">
        <f t="shared" ca="1" si="1212"/>
        <v>0</v>
      </c>
      <c r="ES108" s="242">
        <f t="shared" ca="1" si="1212"/>
        <v>0</v>
      </c>
      <c r="ET108" s="242">
        <f t="shared" ca="1" si="1212"/>
        <v>0</v>
      </c>
    </row>
    <row r="109" spans="2:150" x14ac:dyDescent="0.2">
      <c r="B109" s="98" t="s">
        <v>169</v>
      </c>
      <c r="C109" s="98"/>
      <c r="D109" s="97"/>
      <c r="E109" s="98"/>
      <c r="F109" s="251">
        <f ca="1">SUM(F105:F108)</f>
        <v>0</v>
      </c>
      <c r="G109" s="251">
        <f t="shared" ref="G109:AB109" ca="1" si="1213">SUM(G105:G108)</f>
        <v>0</v>
      </c>
      <c r="H109" s="251">
        <f t="shared" ca="1" si="1213"/>
        <v>0</v>
      </c>
      <c r="I109" s="251">
        <f t="shared" ca="1" si="1213"/>
        <v>0</v>
      </c>
      <c r="J109" s="251">
        <f t="shared" ca="1" si="1213"/>
        <v>0</v>
      </c>
      <c r="K109" s="251">
        <f t="shared" ca="1" si="1213"/>
        <v>0</v>
      </c>
      <c r="L109" s="251">
        <f t="shared" ca="1" si="1213"/>
        <v>0</v>
      </c>
      <c r="M109" s="251">
        <f t="shared" ca="1" si="1213"/>
        <v>0</v>
      </c>
      <c r="N109" s="251">
        <f t="shared" ca="1" si="1213"/>
        <v>0</v>
      </c>
      <c r="O109" s="251">
        <f t="shared" ca="1" si="1213"/>
        <v>0</v>
      </c>
      <c r="P109" s="251">
        <f t="shared" ca="1" si="1213"/>
        <v>0</v>
      </c>
      <c r="Q109" s="251">
        <f t="shared" ca="1" si="1213"/>
        <v>0</v>
      </c>
      <c r="R109" s="251">
        <f t="shared" ca="1" si="1213"/>
        <v>0</v>
      </c>
      <c r="S109" s="251">
        <f t="shared" ca="1" si="1213"/>
        <v>0</v>
      </c>
      <c r="T109" s="251">
        <f t="shared" ca="1" si="1213"/>
        <v>0</v>
      </c>
      <c r="U109" s="251">
        <f t="shared" ca="1" si="1213"/>
        <v>0</v>
      </c>
      <c r="V109" s="251">
        <f t="shared" ca="1" si="1213"/>
        <v>0</v>
      </c>
      <c r="W109" s="251">
        <f t="shared" ca="1" si="1213"/>
        <v>0</v>
      </c>
      <c r="X109" s="251">
        <f t="shared" ca="1" si="1213"/>
        <v>21328754.591671448</v>
      </c>
      <c r="Y109" s="251">
        <f t="shared" ca="1" si="1213"/>
        <v>20211520.319289576</v>
      </c>
      <c r="Z109" s="251">
        <f t="shared" ca="1" si="1213"/>
        <v>17337303.332705133</v>
      </c>
      <c r="AA109" s="251">
        <f t="shared" ca="1" si="1213"/>
        <v>16203872.489954319</v>
      </c>
      <c r="AB109" s="251">
        <f t="shared" ca="1" si="1213"/>
        <v>15063357.704436112</v>
      </c>
      <c r="AC109" s="251">
        <f t="shared" ref="AC109" ca="1" si="1214">SUM(AC105:AC108)</f>
        <v>13915714.701508194</v>
      </c>
      <c r="AD109" s="251">
        <f t="shared" ref="AD109" ca="1" si="1215">SUM(AD105:AD108)</f>
        <v>12760898.929811753</v>
      </c>
      <c r="AE109" s="251">
        <f t="shared" ref="AE109" ca="1" si="1216">SUM(AE105:AE108)</f>
        <v>11598865.55954197</v>
      </c>
      <c r="AF109" s="251">
        <f t="shared" ref="AF109" ca="1" si="1217">SUM(AF105:AF108)</f>
        <v>10429569.480707759</v>
      </c>
      <c r="AG109" s="251">
        <f t="shared" ref="AG109" ca="1" si="1218">SUM(AG105:AG108)</f>
        <v>9252965.3013805784</v>
      </c>
      <c r="AH109" s="251">
        <f t="shared" ref="AH109" ca="1" si="1219">SUM(AH105:AH108)</f>
        <v>8069007.3459323533</v>
      </c>
      <c r="AI109" s="251">
        <f t="shared" ref="AI109" ca="1" si="1220">SUM(AI105:AI108)</f>
        <v>6877649.6532623069</v>
      </c>
      <c r="AJ109" s="251">
        <f t="shared" ref="AJ109" ca="1" si="1221">SUM(AJ105:AJ108)</f>
        <v>5678845.9750128118</v>
      </c>
      <c r="AK109" s="251">
        <f t="shared" ref="AK109" ca="1" si="1222">SUM(AK105:AK108)</f>
        <v>4472549.773773971</v>
      </c>
      <c r="AL109" s="251">
        <f t="shared" ref="AL109" ca="1" si="1223">SUM(AL105:AL108)</f>
        <v>3258714.2212771149</v>
      </c>
      <c r="AM109" s="251">
        <f t="shared" ref="AM109" ca="1" si="1224">SUM(AM105:AM108)</f>
        <v>2037292.1965768642</v>
      </c>
      <c r="AN109" s="251">
        <f t="shared" ref="AN109" ca="1" si="1225">SUM(AN105:AN108)</f>
        <v>808236.28422198212</v>
      </c>
      <c r="AO109" s="251">
        <f t="shared" ref="AO109" ca="1" si="1226">SUM(AO105:AO108)</f>
        <v>672849.29612655786</v>
      </c>
      <c r="AP109" s="251">
        <f t="shared" ref="AP109" ca="1" si="1227">SUM(AP105:AP108)</f>
        <v>554551.38368354982</v>
      </c>
      <c r="AQ109" s="251">
        <f t="shared" ref="AQ109" ca="1" si="1228">SUM(AQ105:AQ108)</f>
        <v>461066.57671865658</v>
      </c>
      <c r="AR109" s="251">
        <f t="shared" ref="AR109" ca="1" si="1229">SUM(AR105:AR108)</f>
        <v>385101.19714114652</v>
      </c>
      <c r="AS109" s="251">
        <f t="shared" ref="AS109" ca="1" si="1230">SUM(AS105:AS108)</f>
        <v>325601.09537217073</v>
      </c>
      <c r="AT109" s="251">
        <f t="shared" ref="AT109" ca="1" si="1231">SUM(AT105:AT108)</f>
        <v>282087.35639805894</v>
      </c>
      <c r="AU109" s="251">
        <f t="shared" ref="AU109" ca="1" si="1232">SUM(AU105:AU108)</f>
        <v>254659.89498627966</v>
      </c>
      <c r="AV109" s="251">
        <f t="shared" ref="AV109" ca="1" si="1233">SUM(AV105:AV108)</f>
        <v>241188.58149466041</v>
      </c>
      <c r="AW109" s="251">
        <f t="shared" ref="AW109" ca="1" si="1234">SUM(AW105:AW108)</f>
        <v>227633.07229349116</v>
      </c>
      <c r="AX109" s="251">
        <f t="shared" ref="AX109" ca="1" si="1235">SUM(AX105:AX108)</f>
        <v>213992.84115964302</v>
      </c>
      <c r="AY109" s="251">
        <f t="shared" ref="AY109" ca="1" si="1236">SUM(AY105:AY108)</f>
        <v>200267.35858103848</v>
      </c>
      <c r="AZ109" s="251">
        <f t="shared" ref="AZ109" ca="1" si="1237">SUM(AZ105:AZ108)</f>
        <v>186456.0917361769</v>
      </c>
      <c r="BA109" s="251">
        <f t="shared" ref="BA109" ca="1" si="1238">SUM(BA105:BA108)</f>
        <v>172619.8786984355</v>
      </c>
      <c r="BB109" s="251">
        <f t="shared" ref="BB109" ca="1" si="1239">SUM(BB105:BB108)</f>
        <v>163509.56994363648</v>
      </c>
      <c r="BC109" s="251">
        <f t="shared" ref="BC109" ca="1" si="1240">SUM(BC105:BC108)</f>
        <v>154342.32175908069</v>
      </c>
      <c r="BD109" s="251">
        <f t="shared" ref="BD109" ca="1" si="1241">SUM(BD105:BD108)</f>
        <v>145117.77827337841</v>
      </c>
      <c r="BE109" s="251">
        <f t="shared" ref="BE109" ca="1" si="1242">SUM(BE105:BE108)</f>
        <v>135835.58139093115</v>
      </c>
      <c r="BF109" s="251">
        <f t="shared" ref="BF109" ca="1" si="1243">SUM(BF105:BF108)</f>
        <v>126495.3707780689</v>
      </c>
      <c r="BG109" s="251">
        <f t="shared" ref="BG109" ca="1" si="1244">SUM(BG105:BG108)</f>
        <v>117096.78384902989</v>
      </c>
      <c r="BH109" s="251">
        <f t="shared" ref="BH109" ca="1" si="1245">SUM(BH105:BH108)</f>
        <v>107639.45575188598</v>
      </c>
      <c r="BI109" s="251">
        <f t="shared" ref="BI109" ca="1" si="1246">SUM(BI105:BI108)</f>
        <v>98123.0193544254</v>
      </c>
      <c r="BJ109" s="251">
        <f t="shared" ref="BJ109" ca="1" si="1247">SUM(BJ105:BJ108)</f>
        <v>88547.105229803507</v>
      </c>
      <c r="BK109" s="251">
        <f t="shared" ref="BK109" ca="1" si="1248">SUM(BK105:BK108)</f>
        <v>78911.341642319167</v>
      </c>
      <c r="BL109" s="251">
        <f t="shared" ref="BL109" ca="1" si="1249">SUM(BL105:BL108)</f>
        <v>69215.354532908328</v>
      </c>
      <c r="BM109" s="251">
        <f t="shared" ref="BM109" ca="1" si="1250">SUM(BM105:BM108)</f>
        <v>59521.982956394408</v>
      </c>
      <c r="BN109" s="251">
        <f t="shared" ref="BN109" ca="1" si="1251">SUM(BN105:BN108)</f>
        <v>54724.779841135634</v>
      </c>
      <c r="BO109" s="251">
        <f t="shared" ref="BO109" ca="1" si="1252">SUM(BO105:BO108)</f>
        <v>49897.594207180955</v>
      </c>
      <c r="BP109" s="251">
        <f t="shared" ref="BP109" ca="1" si="1253">SUM(BP105:BP108)</f>
        <v>45040.23866387445</v>
      </c>
      <c r="BQ109" s="251">
        <f t="shared" ref="BQ109" ca="1" si="1254">SUM(BQ105:BQ108)</f>
        <v>40152.524649393366</v>
      </c>
      <c r="BR109" s="251">
        <f t="shared" ref="BR109" ca="1" si="1255">SUM(BR105:BR108)</f>
        <v>35234.262423408654</v>
      </c>
      <c r="BS109" s="251">
        <f t="shared" ref="BS109" ca="1" si="1256">SUM(BS105:BS108)</f>
        <v>30285.261059731885</v>
      </c>
      <c r="BT109" s="251">
        <f t="shared" ref="BT109" ca="1" si="1257">SUM(BT105:BT108)</f>
        <v>25305.328438852768</v>
      </c>
      <c r="BU109" s="251">
        <f t="shared" ref="BU109" ca="1" si="1258">SUM(BU105:BU108)</f>
        <v>20294.271240568807</v>
      </c>
      <c r="BV109" s="251">
        <f t="shared" ref="BV109" ca="1" si="1259">SUM(BV105:BV108)</f>
        <v>15251.894936394878</v>
      </c>
      <c r="BW109" s="251">
        <f t="shared" ref="BW109" ca="1" si="1260">SUM(BW105:BW108)</f>
        <v>10178.003782076761</v>
      </c>
      <c r="BX109" s="251">
        <f t="shared" ref="BX109" ca="1" si="1261">SUM(BX105:BX108)</f>
        <v>5072.4008099376515</v>
      </c>
      <c r="BY109" s="251">
        <f t="shared" ref="BY109" ca="1" si="1262">SUM(BY105:BY108)</f>
        <v>0</v>
      </c>
      <c r="BZ109" s="251">
        <f t="shared" ref="BZ109:EK109" ca="1" si="1263">SUM(BZ105:BZ108)</f>
        <v>0</v>
      </c>
      <c r="CA109" s="251">
        <f t="shared" ca="1" si="1263"/>
        <v>0</v>
      </c>
      <c r="CB109" s="251">
        <f t="shared" ca="1" si="1263"/>
        <v>0</v>
      </c>
      <c r="CC109" s="251">
        <f t="shared" ca="1" si="1263"/>
        <v>0</v>
      </c>
      <c r="CD109" s="251">
        <f t="shared" ca="1" si="1263"/>
        <v>0</v>
      </c>
      <c r="CE109" s="251">
        <f t="shared" ca="1" si="1263"/>
        <v>0</v>
      </c>
      <c r="CF109" s="251">
        <f t="shared" ca="1" si="1263"/>
        <v>0</v>
      </c>
      <c r="CG109" s="251">
        <f t="shared" ca="1" si="1263"/>
        <v>0</v>
      </c>
      <c r="CH109" s="251">
        <f t="shared" ca="1" si="1263"/>
        <v>0</v>
      </c>
      <c r="CI109" s="251">
        <f t="shared" ca="1" si="1263"/>
        <v>0</v>
      </c>
      <c r="CJ109" s="251">
        <f t="shared" ca="1" si="1263"/>
        <v>0</v>
      </c>
      <c r="CK109" s="251">
        <f t="shared" ca="1" si="1263"/>
        <v>4.2510684579610825E-5</v>
      </c>
      <c r="CL109" s="251">
        <f t="shared" ca="1" si="1263"/>
        <v>9.0127112343907356E-5</v>
      </c>
      <c r="CM109" s="251">
        <f t="shared" ca="1" si="1263"/>
        <v>1.4187730266712606E-4</v>
      </c>
      <c r="CN109" s="251">
        <f t="shared" ca="1" si="1263"/>
        <v>1.9789999350905418E-4</v>
      </c>
      <c r="CO109" s="251">
        <f t="shared" ca="1" si="1263"/>
        <v>2.5832242681644857E-4</v>
      </c>
      <c r="CP109" s="251">
        <f t="shared" ca="1" si="1263"/>
        <v>3.2325321808457375E-4</v>
      </c>
      <c r="CQ109" s="251">
        <f t="shared" ca="1" si="1263"/>
        <v>3.9280331111513078E-4</v>
      </c>
      <c r="CR109" s="251">
        <f t="shared" ca="1" si="1263"/>
        <v>4.6707966248504817E-4</v>
      </c>
      <c r="CS109" s="251">
        <f t="shared" ca="1" si="1263"/>
        <v>5.4614481632597744E-4</v>
      </c>
      <c r="CT109" s="251">
        <f t="shared" ca="1" si="1263"/>
        <v>6.3008820870891213E-4</v>
      </c>
      <c r="CU109" s="251">
        <f t="shared" ca="1" si="1263"/>
        <v>7.1894595748744905E-4</v>
      </c>
      <c r="CV109" s="251">
        <f t="shared" ca="1" si="1263"/>
        <v>8.1278328434564173E-4</v>
      </c>
      <c r="CW109" s="251">
        <f t="shared" ca="1" si="1263"/>
        <v>9.1161977616138756E-4</v>
      </c>
      <c r="CX109" s="251">
        <f t="shared" ca="1" si="1263"/>
        <v>1.0154619230888784E-3</v>
      </c>
      <c r="CY109" s="251">
        <f t="shared" ca="1" si="1263"/>
        <v>1.1243033804930747E-3</v>
      </c>
      <c r="CZ109" s="251">
        <f t="shared" ca="1" si="1263"/>
        <v>1.2381103006191552E-3</v>
      </c>
      <c r="DA109" s="251">
        <f t="shared" ca="1" si="1263"/>
        <v>1.356814376777038E-3</v>
      </c>
      <c r="DB109" s="251">
        <f t="shared" ca="1" si="1263"/>
        <v>1.4803315862081945E-3</v>
      </c>
      <c r="DC109" s="251">
        <f t="shared" ca="1" si="1263"/>
        <v>1.6085308452602476E-3</v>
      </c>
      <c r="DD109" s="251">
        <f t="shared" ca="1" si="1263"/>
        <v>1.7412336310371757E-3</v>
      </c>
      <c r="DE109" s="251">
        <f t="shared" ca="1" si="1263"/>
        <v>1.8782385159283876E-3</v>
      </c>
      <c r="DF109" s="251">
        <f t="shared" ca="1" si="1263"/>
        <v>2.01926298905164E-3</v>
      </c>
      <c r="DG109" s="251">
        <f t="shared" ca="1" si="1263"/>
        <v>2.1639936312567443E-3</v>
      </c>
      <c r="DH109" s="251">
        <f t="shared" ca="1" si="1263"/>
        <v>2.3120634723454714E-3</v>
      </c>
      <c r="DI109" s="251">
        <f t="shared" ca="1" si="1263"/>
        <v>2.4630415719002485E-3</v>
      </c>
      <c r="DJ109" s="251">
        <f t="shared" ca="1" si="1263"/>
        <v>2.6164640148635954E-3</v>
      </c>
      <c r="DK109" s="251">
        <f t="shared" ca="1" si="1263"/>
        <v>2.7717743651010096E-3</v>
      </c>
      <c r="DL109" s="251">
        <f t="shared" ca="1" si="1263"/>
        <v>2.9284067859407514E-3</v>
      </c>
      <c r="DM109" s="251">
        <f t="shared" ca="1" si="1263"/>
        <v>3.0857126985210925E-3</v>
      </c>
      <c r="DN109" s="251">
        <f t="shared" ca="1" si="1263"/>
        <v>3.2429799030069262E-3</v>
      </c>
      <c r="DO109" s="251">
        <f t="shared" ca="1" si="1263"/>
        <v>3.3994351979345083E-3</v>
      </c>
      <c r="DP109" s="251">
        <f t="shared" ca="1" si="1263"/>
        <v>3.5542785772122443E-3</v>
      </c>
      <c r="DQ109" s="251">
        <f t="shared" ca="1" si="1263"/>
        <v>3.7065997603349388E-3</v>
      </c>
      <c r="DR109" s="251">
        <f t="shared" ca="1" si="1263"/>
        <v>3.8554495258722454E-3</v>
      </c>
      <c r="DS109" s="251">
        <f t="shared" ca="1" si="1263"/>
        <v>3.9997982385102659E-3</v>
      </c>
      <c r="DT109" s="251">
        <f t="shared" ca="1" si="1263"/>
        <v>4.138532851357013E-3</v>
      </c>
      <c r="DU109" s="251">
        <f t="shared" ca="1" si="1263"/>
        <v>4.2704798979684711E-3</v>
      </c>
      <c r="DV109" s="251">
        <f t="shared" ca="1" si="1263"/>
        <v>4.3943933269474655E-3</v>
      </c>
      <c r="DW109" s="251">
        <f t="shared" ca="1" si="1263"/>
        <v>4.5088804909028113E-3</v>
      </c>
      <c r="DX109" s="251">
        <f t="shared" ca="1" si="1263"/>
        <v>4.6125547087285668E-3</v>
      </c>
      <c r="DY109" s="251">
        <f t="shared" ca="1" si="1263"/>
        <v>4.7038670163601637E-3</v>
      </c>
      <c r="DZ109" s="251">
        <f t="shared" ca="1" si="1263"/>
        <v>4.7812099219299853E-3</v>
      </c>
      <c r="EA109" s="251">
        <f t="shared" ca="1" si="1263"/>
        <v>4.8428861482534558E-3</v>
      </c>
      <c r="EB109" s="251">
        <f t="shared" ca="1" si="1263"/>
        <v>4.8871178005356342E-3</v>
      </c>
      <c r="EC109" s="251">
        <f t="shared" ca="1" si="1263"/>
        <v>4.9120019539259374E-3</v>
      </c>
      <c r="ED109" s="251">
        <f t="shared" ca="1" si="1263"/>
        <v>4.9155962478835136E-3</v>
      </c>
      <c r="EE109" s="251">
        <f t="shared" ca="1" si="1263"/>
        <v>4.8958408879116178E-3</v>
      </c>
      <c r="EF109" s="251">
        <f t="shared" ca="1" si="1263"/>
        <v>4.8505987215321511E-3</v>
      </c>
      <c r="EG109" s="251">
        <f t="shared" ca="1" si="1263"/>
        <v>4.7776589635759592E-3</v>
      </c>
      <c r="EH109" s="251">
        <f t="shared" ca="1" si="1263"/>
        <v>4.6746996522415429E-3</v>
      </c>
      <c r="EI109" s="251">
        <f t="shared" ca="1" si="1263"/>
        <v>4.5393336331471801E-3</v>
      </c>
      <c r="EJ109" s="251">
        <f t="shared" ca="1" si="1263"/>
        <v>4.3690954917110503E-3</v>
      </c>
      <c r="EK109" s="251">
        <f t="shared" ca="1" si="1263"/>
        <v>4.1614164656493813E-3</v>
      </c>
      <c r="EL109" s="251">
        <f t="shared" ref="EL109:ET109" ca="1" si="1264">SUM(EL105:EL108)</f>
        <v>3.9136862615123391E-3</v>
      </c>
      <c r="EM109" s="251">
        <f t="shared" ca="1" si="1264"/>
        <v>3.62323087756522E-3</v>
      </c>
      <c r="EN109" s="251">
        <f t="shared" ca="1" si="1264"/>
        <v>3.2872999436222017E-3</v>
      </c>
      <c r="EO109" s="251">
        <f t="shared" ca="1" si="1264"/>
        <v>2.9031437006779015E-3</v>
      </c>
      <c r="EP109" s="251">
        <f t="shared" ca="1" si="1264"/>
        <v>2.4679199559614062E-3</v>
      </c>
      <c r="EQ109" s="251">
        <f t="shared" ca="1" si="1264"/>
        <v>1.9788247009273618E-3</v>
      </c>
      <c r="ER109" s="251">
        <f t="shared" ca="1" si="1264"/>
        <v>1.4330001140478998E-3</v>
      </c>
      <c r="ES109" s="251">
        <f t="shared" ca="1" si="1264"/>
        <v>8.2760883378796279E-4</v>
      </c>
      <c r="ET109" s="251">
        <f t="shared" ca="1" si="1264"/>
        <v>1.5985392383299768E-4</v>
      </c>
    </row>
    <row r="110" spans="2:150" s="95" customFormat="1" ht="16" thickBot="1" x14ac:dyDescent="0.25">
      <c r="D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  <c r="BR110" s="96"/>
      <c r="BS110" s="96"/>
      <c r="BT110" s="96"/>
      <c r="BU110" s="96"/>
      <c r="BV110" s="96"/>
      <c r="BW110" s="96"/>
      <c r="BX110" s="96"/>
      <c r="BY110" s="96"/>
      <c r="BZ110" s="96"/>
      <c r="CA110" s="96"/>
      <c r="CB110" s="96"/>
      <c r="CC110" s="96"/>
      <c r="CD110" s="96"/>
      <c r="CE110" s="96"/>
      <c r="CF110" s="96"/>
      <c r="CG110" s="96"/>
      <c r="CH110" s="96"/>
      <c r="CI110" s="96"/>
      <c r="CJ110" s="96"/>
      <c r="CK110" s="96"/>
      <c r="CL110" s="96"/>
      <c r="CM110" s="96"/>
      <c r="CN110" s="96"/>
      <c r="CO110" s="96"/>
      <c r="CP110" s="96"/>
      <c r="CQ110" s="96"/>
      <c r="CR110" s="96"/>
      <c r="CS110" s="96"/>
      <c r="CT110" s="96"/>
      <c r="CU110" s="96"/>
      <c r="CV110" s="96"/>
      <c r="CW110" s="96"/>
      <c r="CX110" s="96"/>
      <c r="CY110" s="96"/>
      <c r="CZ110" s="96"/>
      <c r="DA110" s="96"/>
      <c r="DB110" s="96"/>
      <c r="DC110" s="96"/>
      <c r="DD110" s="96"/>
      <c r="DE110" s="96"/>
      <c r="DF110" s="96"/>
      <c r="DG110" s="96"/>
      <c r="DH110" s="96"/>
      <c r="DI110" s="96"/>
      <c r="DJ110" s="96"/>
      <c r="DK110" s="96"/>
      <c r="DL110" s="96"/>
      <c r="DM110" s="96"/>
      <c r="DN110" s="96"/>
      <c r="DO110" s="96"/>
      <c r="DP110" s="96"/>
      <c r="DQ110" s="96"/>
      <c r="DR110" s="96"/>
      <c r="DS110" s="96"/>
      <c r="DT110" s="96"/>
      <c r="DU110" s="96"/>
      <c r="DV110" s="96"/>
      <c r="DW110" s="96"/>
      <c r="DX110" s="96"/>
      <c r="DY110" s="96"/>
      <c r="DZ110" s="96"/>
      <c r="EA110" s="96"/>
      <c r="EB110" s="96"/>
      <c r="EC110" s="96"/>
      <c r="ED110" s="96"/>
      <c r="EE110" s="96"/>
      <c r="EF110" s="96"/>
      <c r="EG110" s="96"/>
      <c r="EH110" s="96"/>
      <c r="EI110" s="96"/>
      <c r="EJ110" s="96"/>
      <c r="EK110" s="96"/>
      <c r="EL110" s="96"/>
      <c r="EM110" s="96"/>
      <c r="EN110" s="96"/>
      <c r="EO110" s="96"/>
      <c r="EP110" s="96"/>
      <c r="EQ110" s="96"/>
      <c r="ER110" s="96"/>
      <c r="ES110" s="96"/>
      <c r="ET110" s="96"/>
    </row>
    <row r="111" spans="2:150" x14ac:dyDescent="0.2"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</row>
    <row r="112" spans="2:150" x14ac:dyDescent="0.2">
      <c r="B112" s="83" t="s">
        <v>172</v>
      </c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</row>
    <row r="113" spans="2:150" x14ac:dyDescent="0.2">
      <c r="B113" t="s">
        <v>167</v>
      </c>
      <c r="F113" s="242">
        <f>E117</f>
        <v>0</v>
      </c>
      <c r="G113" s="242">
        <f t="shared" ref="G113:BR113" si="1265">F117</f>
        <v>1750000</v>
      </c>
      <c r="H113" s="242">
        <f t="shared" si="1265"/>
        <v>1750000</v>
      </c>
      <c r="I113" s="242">
        <f t="shared" si="1265"/>
        <v>1750000</v>
      </c>
      <c r="J113" s="242">
        <f t="shared" si="1265"/>
        <v>1750000</v>
      </c>
      <c r="K113" s="242">
        <f t="shared" si="1265"/>
        <v>1750000</v>
      </c>
      <c r="L113" s="242">
        <f t="shared" si="1265"/>
        <v>1750000</v>
      </c>
      <c r="M113" s="242">
        <f t="shared" si="1265"/>
        <v>1750000</v>
      </c>
      <c r="N113" s="242">
        <f t="shared" si="1265"/>
        <v>1750000</v>
      </c>
      <c r="O113" s="242">
        <f t="shared" si="1265"/>
        <v>1750000</v>
      </c>
      <c r="P113" s="242">
        <f t="shared" si="1265"/>
        <v>1750000</v>
      </c>
      <c r="Q113" s="242">
        <f t="shared" si="1265"/>
        <v>1750000</v>
      </c>
      <c r="R113" s="242">
        <f t="shared" si="1265"/>
        <v>1750000</v>
      </c>
      <c r="S113" s="242">
        <f t="shared" si="1265"/>
        <v>1750000</v>
      </c>
      <c r="T113" s="242">
        <f t="shared" si="1265"/>
        <v>1750000</v>
      </c>
      <c r="U113" s="242">
        <f t="shared" si="1265"/>
        <v>1750000</v>
      </c>
      <c r="V113" s="242">
        <f t="shared" si="1265"/>
        <v>1750000</v>
      </c>
      <c r="W113" s="242">
        <f t="shared" si="1265"/>
        <v>1750000</v>
      </c>
      <c r="X113" s="242">
        <f t="shared" si="1265"/>
        <v>1750000</v>
      </c>
      <c r="Y113" s="242">
        <f t="shared" si="1265"/>
        <v>1750000</v>
      </c>
      <c r="Z113" s="242">
        <f t="shared" si="1265"/>
        <v>1750000</v>
      </c>
      <c r="AA113" s="242">
        <f t="shared" si="1265"/>
        <v>0</v>
      </c>
      <c r="AB113" s="242">
        <f t="shared" si="1265"/>
        <v>0</v>
      </c>
      <c r="AC113" s="242">
        <f t="shared" si="1265"/>
        <v>0</v>
      </c>
      <c r="AD113" s="242">
        <f t="shared" si="1265"/>
        <v>0</v>
      </c>
      <c r="AE113" s="242">
        <f t="shared" si="1265"/>
        <v>0</v>
      </c>
      <c r="AF113" s="242">
        <f t="shared" si="1265"/>
        <v>0</v>
      </c>
      <c r="AG113" s="242">
        <f t="shared" si="1265"/>
        <v>0</v>
      </c>
      <c r="AH113" s="242">
        <f t="shared" si="1265"/>
        <v>0</v>
      </c>
      <c r="AI113" s="242">
        <f t="shared" si="1265"/>
        <v>0</v>
      </c>
      <c r="AJ113" s="242">
        <f t="shared" si="1265"/>
        <v>0</v>
      </c>
      <c r="AK113" s="242">
        <f t="shared" si="1265"/>
        <v>0</v>
      </c>
      <c r="AL113" s="242">
        <f t="shared" si="1265"/>
        <v>0</v>
      </c>
      <c r="AM113" s="242">
        <f t="shared" si="1265"/>
        <v>0</v>
      </c>
      <c r="AN113" s="242">
        <f t="shared" si="1265"/>
        <v>0</v>
      </c>
      <c r="AO113" s="242">
        <f t="shared" si="1265"/>
        <v>0</v>
      </c>
      <c r="AP113" s="242">
        <f t="shared" si="1265"/>
        <v>0</v>
      </c>
      <c r="AQ113" s="242">
        <f t="shared" si="1265"/>
        <v>0</v>
      </c>
      <c r="AR113" s="242">
        <f t="shared" si="1265"/>
        <v>0</v>
      </c>
      <c r="AS113" s="242">
        <f t="shared" si="1265"/>
        <v>0</v>
      </c>
      <c r="AT113" s="242">
        <f t="shared" si="1265"/>
        <v>0</v>
      </c>
      <c r="AU113" s="242">
        <f t="shared" si="1265"/>
        <v>0</v>
      </c>
      <c r="AV113" s="242">
        <f t="shared" si="1265"/>
        <v>0</v>
      </c>
      <c r="AW113" s="242">
        <f t="shared" si="1265"/>
        <v>0</v>
      </c>
      <c r="AX113" s="242">
        <f t="shared" si="1265"/>
        <v>0</v>
      </c>
      <c r="AY113" s="242">
        <f t="shared" si="1265"/>
        <v>0</v>
      </c>
      <c r="AZ113" s="242">
        <f t="shared" si="1265"/>
        <v>0</v>
      </c>
      <c r="BA113" s="242">
        <f t="shared" si="1265"/>
        <v>0</v>
      </c>
      <c r="BB113" s="242">
        <f t="shared" si="1265"/>
        <v>0</v>
      </c>
      <c r="BC113" s="242">
        <f t="shared" si="1265"/>
        <v>0</v>
      </c>
      <c r="BD113" s="242">
        <f t="shared" si="1265"/>
        <v>0</v>
      </c>
      <c r="BE113" s="242">
        <f t="shared" si="1265"/>
        <v>0</v>
      </c>
      <c r="BF113" s="242">
        <f t="shared" si="1265"/>
        <v>0</v>
      </c>
      <c r="BG113" s="242">
        <f t="shared" si="1265"/>
        <v>0</v>
      </c>
      <c r="BH113" s="242">
        <f t="shared" si="1265"/>
        <v>0</v>
      </c>
      <c r="BI113" s="242">
        <f t="shared" si="1265"/>
        <v>0</v>
      </c>
      <c r="BJ113" s="242">
        <f t="shared" si="1265"/>
        <v>0</v>
      </c>
      <c r="BK113" s="242">
        <f t="shared" si="1265"/>
        <v>0</v>
      </c>
      <c r="BL113" s="242">
        <f t="shared" si="1265"/>
        <v>0</v>
      </c>
      <c r="BM113" s="242">
        <f t="shared" si="1265"/>
        <v>0</v>
      </c>
      <c r="BN113" s="242">
        <f t="shared" si="1265"/>
        <v>0</v>
      </c>
      <c r="BO113" s="242">
        <f t="shared" si="1265"/>
        <v>0</v>
      </c>
      <c r="BP113" s="242">
        <f t="shared" si="1265"/>
        <v>0</v>
      </c>
      <c r="BQ113" s="242">
        <f t="shared" si="1265"/>
        <v>0</v>
      </c>
      <c r="BR113" s="242">
        <f t="shared" si="1265"/>
        <v>0</v>
      </c>
      <c r="BS113" s="242">
        <f t="shared" ref="BS113:BZ113" si="1266">BR117</f>
        <v>0</v>
      </c>
      <c r="BT113" s="242">
        <f t="shared" si="1266"/>
        <v>0</v>
      </c>
      <c r="BU113" s="242">
        <f t="shared" si="1266"/>
        <v>0</v>
      </c>
      <c r="BV113" s="242">
        <f t="shared" si="1266"/>
        <v>0</v>
      </c>
      <c r="BW113" s="242">
        <f t="shared" si="1266"/>
        <v>0</v>
      </c>
      <c r="BX113" s="242">
        <f t="shared" si="1266"/>
        <v>0</v>
      </c>
      <c r="BY113" s="242">
        <f t="shared" si="1266"/>
        <v>0</v>
      </c>
      <c r="BZ113" s="242">
        <f t="shared" si="1266"/>
        <v>0</v>
      </c>
      <c r="CA113" s="242">
        <f t="shared" ref="CA113" si="1267">BZ117</f>
        <v>0</v>
      </c>
      <c r="CB113" s="242">
        <f t="shared" ref="CB113" si="1268">CA117</f>
        <v>0</v>
      </c>
      <c r="CC113" s="242">
        <f t="shared" ref="CC113" si="1269">CB117</f>
        <v>0</v>
      </c>
      <c r="CD113" s="242">
        <f t="shared" ref="CD113" si="1270">CC117</f>
        <v>0</v>
      </c>
      <c r="CE113" s="242">
        <f t="shared" ref="CE113" si="1271">CD117</f>
        <v>0</v>
      </c>
      <c r="CF113" s="242">
        <f t="shared" ref="CF113" si="1272">CE117</f>
        <v>0</v>
      </c>
      <c r="CG113" s="242">
        <f t="shared" ref="CG113" si="1273">CF117</f>
        <v>0</v>
      </c>
      <c r="CH113" s="242">
        <f t="shared" ref="CH113" si="1274">CG117</f>
        <v>0</v>
      </c>
      <c r="CI113" s="242">
        <f t="shared" ref="CI113" si="1275">CH117</f>
        <v>0</v>
      </c>
      <c r="CJ113" s="242">
        <f t="shared" ref="CJ113" si="1276">CI117</f>
        <v>0</v>
      </c>
      <c r="CK113" s="242">
        <f t="shared" ref="CK113" si="1277">CJ117</f>
        <v>0</v>
      </c>
      <c r="CL113" s="242">
        <f t="shared" ref="CL113" si="1278">CK117</f>
        <v>0</v>
      </c>
      <c r="CM113" s="242">
        <f t="shared" ref="CM113" si="1279">CL117</f>
        <v>0</v>
      </c>
      <c r="CN113" s="242">
        <f t="shared" ref="CN113" si="1280">CM117</f>
        <v>0</v>
      </c>
      <c r="CO113" s="242">
        <f t="shared" ref="CO113" si="1281">CN117</f>
        <v>0</v>
      </c>
      <c r="CP113" s="242">
        <f t="shared" ref="CP113" si="1282">CO117</f>
        <v>0</v>
      </c>
      <c r="CQ113" s="242">
        <f t="shared" ref="CQ113" si="1283">CP117</f>
        <v>0</v>
      </c>
      <c r="CR113" s="242">
        <f t="shared" ref="CR113" si="1284">CQ117</f>
        <v>0</v>
      </c>
      <c r="CS113" s="242">
        <f t="shared" ref="CS113" si="1285">CR117</f>
        <v>0</v>
      </c>
      <c r="CT113" s="242">
        <f t="shared" ref="CT113" si="1286">CS117</f>
        <v>0</v>
      </c>
      <c r="CU113" s="242">
        <f t="shared" ref="CU113" si="1287">CT117</f>
        <v>0</v>
      </c>
      <c r="CV113" s="242">
        <f t="shared" ref="CV113" si="1288">CU117</f>
        <v>0</v>
      </c>
      <c r="CW113" s="242">
        <f t="shared" ref="CW113" si="1289">CV117</f>
        <v>0</v>
      </c>
      <c r="CX113" s="242">
        <f t="shared" ref="CX113" si="1290">CW117</f>
        <v>0</v>
      </c>
      <c r="CY113" s="242">
        <f t="shared" ref="CY113" si="1291">CX117</f>
        <v>0</v>
      </c>
      <c r="CZ113" s="242">
        <f t="shared" ref="CZ113" si="1292">CY117</f>
        <v>0</v>
      </c>
      <c r="DA113" s="242">
        <f t="shared" ref="DA113" si="1293">CZ117</f>
        <v>0</v>
      </c>
      <c r="DB113" s="242">
        <f t="shared" ref="DB113" si="1294">DA117</f>
        <v>0</v>
      </c>
      <c r="DC113" s="242">
        <f t="shared" ref="DC113" si="1295">DB117</f>
        <v>0</v>
      </c>
      <c r="DD113" s="242">
        <f t="shared" ref="DD113" si="1296">DC117</f>
        <v>0</v>
      </c>
      <c r="DE113" s="242">
        <f t="shared" ref="DE113" si="1297">DD117</f>
        <v>0</v>
      </c>
      <c r="DF113" s="242">
        <f t="shared" ref="DF113" si="1298">DE117</f>
        <v>0</v>
      </c>
      <c r="DG113" s="242">
        <f t="shared" ref="DG113" si="1299">DF117</f>
        <v>0</v>
      </c>
      <c r="DH113" s="242">
        <f t="shared" ref="DH113" si="1300">DG117</f>
        <v>0</v>
      </c>
      <c r="DI113" s="242">
        <f t="shared" ref="DI113" si="1301">DH117</f>
        <v>0</v>
      </c>
      <c r="DJ113" s="242">
        <f t="shared" ref="DJ113" si="1302">DI117</f>
        <v>0</v>
      </c>
      <c r="DK113" s="242">
        <f t="shared" ref="DK113" si="1303">DJ117</f>
        <v>0</v>
      </c>
      <c r="DL113" s="242">
        <f t="shared" ref="DL113" si="1304">DK117</f>
        <v>0</v>
      </c>
      <c r="DM113" s="242">
        <f t="shared" ref="DM113" si="1305">DL117</f>
        <v>0</v>
      </c>
      <c r="DN113" s="242">
        <f t="shared" ref="DN113" si="1306">DM117</f>
        <v>0</v>
      </c>
      <c r="DO113" s="242">
        <f t="shared" ref="DO113" si="1307">DN117</f>
        <v>0</v>
      </c>
      <c r="DP113" s="242">
        <f t="shared" ref="DP113" si="1308">DO117</f>
        <v>0</v>
      </c>
      <c r="DQ113" s="242">
        <f t="shared" ref="DQ113" si="1309">DP117</f>
        <v>0</v>
      </c>
      <c r="DR113" s="242">
        <f t="shared" ref="DR113" si="1310">DQ117</f>
        <v>0</v>
      </c>
      <c r="DS113" s="242">
        <f t="shared" ref="DS113" si="1311">DR117</f>
        <v>0</v>
      </c>
      <c r="DT113" s="242">
        <f t="shared" ref="DT113" si="1312">DS117</f>
        <v>0</v>
      </c>
      <c r="DU113" s="242">
        <f t="shared" ref="DU113" si="1313">DT117</f>
        <v>0</v>
      </c>
      <c r="DV113" s="242">
        <f t="shared" ref="DV113" si="1314">DU117</f>
        <v>0</v>
      </c>
      <c r="DW113" s="242">
        <f t="shared" ref="DW113" si="1315">DV117</f>
        <v>0</v>
      </c>
      <c r="DX113" s="242">
        <f t="shared" ref="DX113" si="1316">DW117</f>
        <v>0</v>
      </c>
      <c r="DY113" s="242">
        <f t="shared" ref="DY113" si="1317">DX117</f>
        <v>0</v>
      </c>
      <c r="DZ113" s="242">
        <f t="shared" ref="DZ113" si="1318">DY117</f>
        <v>0</v>
      </c>
      <c r="EA113" s="242">
        <f t="shared" ref="EA113" si="1319">DZ117</f>
        <v>0</v>
      </c>
      <c r="EB113" s="242">
        <f t="shared" ref="EB113" si="1320">EA117</f>
        <v>0</v>
      </c>
      <c r="EC113" s="242">
        <f t="shared" ref="EC113" si="1321">EB117</f>
        <v>0</v>
      </c>
      <c r="ED113" s="242">
        <f t="shared" ref="ED113" si="1322">EC117</f>
        <v>0</v>
      </c>
      <c r="EE113" s="242">
        <f t="shared" ref="EE113" si="1323">ED117</f>
        <v>0</v>
      </c>
      <c r="EF113" s="242">
        <f t="shared" ref="EF113" si="1324">EE117</f>
        <v>0</v>
      </c>
      <c r="EG113" s="242">
        <f t="shared" ref="EG113" si="1325">EF117</f>
        <v>0</v>
      </c>
      <c r="EH113" s="242">
        <f t="shared" ref="EH113" si="1326">EG117</f>
        <v>0</v>
      </c>
      <c r="EI113" s="242">
        <f t="shared" ref="EI113" si="1327">EH117</f>
        <v>0</v>
      </c>
      <c r="EJ113" s="242">
        <f t="shared" ref="EJ113" si="1328">EI117</f>
        <v>0</v>
      </c>
      <c r="EK113" s="242">
        <f t="shared" ref="EK113" si="1329">EJ117</f>
        <v>0</v>
      </c>
      <c r="EL113" s="242">
        <f t="shared" ref="EL113" si="1330">EK117</f>
        <v>0</v>
      </c>
      <c r="EM113" s="242">
        <f t="shared" ref="EM113" si="1331">EL117</f>
        <v>0</v>
      </c>
      <c r="EN113" s="242">
        <f t="shared" ref="EN113" si="1332">EM117</f>
        <v>0</v>
      </c>
      <c r="EO113" s="242">
        <f t="shared" ref="EO113" si="1333">EN117</f>
        <v>0</v>
      </c>
      <c r="EP113" s="242">
        <f t="shared" ref="EP113" si="1334">EO117</f>
        <v>0</v>
      </c>
      <c r="EQ113" s="242">
        <f t="shared" ref="EQ113" si="1335">EP117</f>
        <v>0</v>
      </c>
      <c r="ER113" s="242">
        <f t="shared" ref="ER113" si="1336">EQ117</f>
        <v>0</v>
      </c>
      <c r="ES113" s="242">
        <f t="shared" ref="ES113" si="1337">ER117</f>
        <v>0</v>
      </c>
      <c r="ET113" s="242">
        <f t="shared" ref="ET113" si="1338">ES117</f>
        <v>0</v>
      </c>
    </row>
    <row r="114" spans="2:150" x14ac:dyDescent="0.2">
      <c r="B114" t="s">
        <v>168</v>
      </c>
      <c r="F114" s="242">
        <f>IF(F$6=Assumptions!$P$5,Assumptions!$Q$4,0)</f>
        <v>1750000</v>
      </c>
      <c r="G114" s="242">
        <f>IF(G$6=Assumptions!$P$5,Assumptions!$Q$4,0)</f>
        <v>0</v>
      </c>
      <c r="H114" s="242">
        <f>IF(H$6=Assumptions!$P$5,Assumptions!$Q$4,0)</f>
        <v>0</v>
      </c>
      <c r="I114" s="242">
        <f>IF(I$6=Assumptions!$P$5,Assumptions!$Q$4,0)</f>
        <v>0</v>
      </c>
      <c r="J114" s="242">
        <f>IF(J$6=Assumptions!$P$5,Assumptions!$Q$4,0)</f>
        <v>0</v>
      </c>
      <c r="K114" s="242">
        <f>IF(K$6=Assumptions!$P$5,Assumptions!$Q$4,0)</f>
        <v>0</v>
      </c>
      <c r="L114" s="242">
        <f>IF(L$6=Assumptions!$P$5,Assumptions!$Q$4,0)</f>
        <v>0</v>
      </c>
      <c r="M114" s="242">
        <f>IF(M$6=Assumptions!$P$5,Assumptions!$Q$4,0)</f>
        <v>0</v>
      </c>
      <c r="N114" s="242">
        <f>IF(N$6=Assumptions!$P$5,Assumptions!$Q$4,0)</f>
        <v>0</v>
      </c>
      <c r="O114" s="242">
        <f>IF(O$6=Assumptions!$P$5,Assumptions!$Q$4,0)</f>
        <v>0</v>
      </c>
      <c r="P114" s="242">
        <f>IF(P$6=Assumptions!$P$5,Assumptions!$Q$4,0)</f>
        <v>0</v>
      </c>
      <c r="Q114" s="242">
        <f>IF(Q$6=Assumptions!$P$5,Assumptions!$Q$4,0)</f>
        <v>0</v>
      </c>
      <c r="R114" s="242">
        <f>IF(R$6=Assumptions!$P$5,Assumptions!$Q$4,0)</f>
        <v>0</v>
      </c>
      <c r="S114" s="242">
        <f>IF(S$6=Assumptions!$P$5,Assumptions!$Q$4,0)</f>
        <v>0</v>
      </c>
      <c r="T114" s="242">
        <f>IF(T$6=Assumptions!$P$5,Assumptions!$Q$4,0)</f>
        <v>0</v>
      </c>
      <c r="U114" s="242">
        <f>IF(U$6=Assumptions!$P$5,Assumptions!$Q$4,0)</f>
        <v>0</v>
      </c>
      <c r="V114" s="242">
        <f>IF(V$6=Assumptions!$P$5,Assumptions!$Q$4,0)</f>
        <v>0</v>
      </c>
      <c r="W114" s="242">
        <f>IF(W$6=Assumptions!$P$5,Assumptions!$Q$4,0)</f>
        <v>0</v>
      </c>
      <c r="X114" s="242">
        <f>IF(X$6=Assumptions!$P$5,Assumptions!$Q$4,0)</f>
        <v>0</v>
      </c>
      <c r="Y114" s="242">
        <f>IF(Y$6=Assumptions!$P$5,Assumptions!$Q$4,0)</f>
        <v>0</v>
      </c>
      <c r="Z114" s="242">
        <f>IF(Z$6=Assumptions!$P$5,Assumptions!$Q$4,0)</f>
        <v>0</v>
      </c>
      <c r="AA114" s="242">
        <f>IF(AA$6=Assumptions!$P$5,Assumptions!$Q$4,0)</f>
        <v>0</v>
      </c>
      <c r="AB114" s="242">
        <f>IF(AB$6=Assumptions!$P$5,Assumptions!$Q$4,0)</f>
        <v>0</v>
      </c>
      <c r="AC114" s="242">
        <f>IF(AC$6=Assumptions!$P$5,Assumptions!$Q$4,0)</f>
        <v>0</v>
      </c>
      <c r="AD114" s="242">
        <f>IF(AD$6=Assumptions!$P$5,Assumptions!$Q$4,0)</f>
        <v>0</v>
      </c>
      <c r="AE114" s="242">
        <f>IF(AE$6=Assumptions!$P$5,Assumptions!$Q$4,0)</f>
        <v>0</v>
      </c>
      <c r="AF114" s="242">
        <f>IF(AF$6=Assumptions!$P$5,Assumptions!$Q$4,0)</f>
        <v>0</v>
      </c>
      <c r="AG114" s="242">
        <f>IF(AG$6=Assumptions!$P$5,Assumptions!$Q$4,0)</f>
        <v>0</v>
      </c>
      <c r="AH114" s="242">
        <f>IF(AH$6=Assumptions!$P$5,Assumptions!$Q$4,0)</f>
        <v>0</v>
      </c>
      <c r="AI114" s="242">
        <f>IF(AI$6=Assumptions!$P$5,Assumptions!$Q$4,0)</f>
        <v>0</v>
      </c>
      <c r="AJ114" s="242">
        <f>IF(AJ$6=Assumptions!$P$5,Assumptions!$Q$4,0)</f>
        <v>0</v>
      </c>
      <c r="AK114" s="242">
        <f>IF(AK$6=Assumptions!$P$5,Assumptions!$Q$4,0)</f>
        <v>0</v>
      </c>
      <c r="AL114" s="242">
        <f>IF(AL$6=Assumptions!$P$5,Assumptions!$Q$4,0)</f>
        <v>0</v>
      </c>
      <c r="AM114" s="242">
        <f>IF(AM$6=Assumptions!$P$5,Assumptions!$Q$4,0)</f>
        <v>0</v>
      </c>
      <c r="AN114" s="242">
        <f>IF(AN$6=Assumptions!$P$5,Assumptions!$Q$4,0)</f>
        <v>0</v>
      </c>
      <c r="AO114" s="242">
        <f>IF(AO$6=Assumptions!$P$5,Assumptions!$Q$4,0)</f>
        <v>0</v>
      </c>
      <c r="AP114" s="242">
        <f>IF(AP$6=Assumptions!$P$5,Assumptions!$Q$4,0)</f>
        <v>0</v>
      </c>
      <c r="AQ114" s="242">
        <f>IF(AQ$6=Assumptions!$P$5,Assumptions!$Q$4,0)</f>
        <v>0</v>
      </c>
      <c r="AR114" s="242">
        <f>IF(AR$6=Assumptions!$P$5,Assumptions!$Q$4,0)</f>
        <v>0</v>
      </c>
      <c r="AS114" s="242">
        <f>IF(AS$6=Assumptions!$P$5,Assumptions!$Q$4,0)</f>
        <v>0</v>
      </c>
      <c r="AT114" s="242">
        <f>IF(AT$6=Assumptions!$P$5,Assumptions!$Q$4,0)</f>
        <v>0</v>
      </c>
      <c r="AU114" s="242">
        <f>IF(AU$6=Assumptions!$P$5,Assumptions!$Q$4,0)</f>
        <v>0</v>
      </c>
      <c r="AV114" s="242">
        <f>IF(AV$6=Assumptions!$P$5,Assumptions!$Q$4,0)</f>
        <v>0</v>
      </c>
      <c r="AW114" s="242">
        <f>IF(AW$6=Assumptions!$P$5,Assumptions!$Q$4,0)</f>
        <v>0</v>
      </c>
      <c r="AX114" s="242">
        <f>IF(AX$6=Assumptions!$P$5,Assumptions!$Q$4,0)</f>
        <v>0</v>
      </c>
      <c r="AY114" s="242">
        <f>IF(AY$6=Assumptions!$P$5,Assumptions!$Q$4,0)</f>
        <v>0</v>
      </c>
      <c r="AZ114" s="242">
        <f>IF(AZ$6=Assumptions!$P$5,Assumptions!$Q$4,0)</f>
        <v>0</v>
      </c>
      <c r="BA114" s="242">
        <f>IF(BA$6=Assumptions!$P$5,Assumptions!$Q$4,0)</f>
        <v>0</v>
      </c>
      <c r="BB114" s="242">
        <f>IF(BB$6=Assumptions!$P$5,Assumptions!$Q$4,0)</f>
        <v>0</v>
      </c>
      <c r="BC114" s="242">
        <f>IF(BC$6=Assumptions!$P$5,Assumptions!$Q$4,0)</f>
        <v>0</v>
      </c>
      <c r="BD114" s="242">
        <f>IF(BD$6=Assumptions!$P$5,Assumptions!$Q$4,0)</f>
        <v>0</v>
      </c>
      <c r="BE114" s="242">
        <f>IF(BE$6=Assumptions!$P$5,Assumptions!$Q$4,0)</f>
        <v>0</v>
      </c>
      <c r="BF114" s="242">
        <f>IF(BF$6=Assumptions!$P$5,Assumptions!$Q$4,0)</f>
        <v>0</v>
      </c>
      <c r="BG114" s="242">
        <f>IF(BG$6=Assumptions!$P$5,Assumptions!$Q$4,0)</f>
        <v>0</v>
      </c>
      <c r="BH114" s="242">
        <f>IF(BH$6=Assumptions!$P$5,Assumptions!$Q$4,0)</f>
        <v>0</v>
      </c>
      <c r="BI114" s="242">
        <f>IF(BI$6=Assumptions!$P$5,Assumptions!$Q$4,0)</f>
        <v>0</v>
      </c>
      <c r="BJ114" s="242">
        <f>IF(BJ$6=Assumptions!$P$5,Assumptions!$Q$4,0)</f>
        <v>0</v>
      </c>
      <c r="BK114" s="242">
        <f>IF(BK$6=Assumptions!$P$5,Assumptions!$Q$4,0)</f>
        <v>0</v>
      </c>
      <c r="BL114" s="242">
        <f>IF(BL$6=Assumptions!$P$5,Assumptions!$Q$4,0)</f>
        <v>0</v>
      </c>
      <c r="BM114" s="242">
        <f>IF(BM$6=Assumptions!$P$5,Assumptions!$Q$4,0)</f>
        <v>0</v>
      </c>
      <c r="BN114" s="242">
        <f>IF(BN$6=Assumptions!$P$5,Assumptions!$Q$4,0)</f>
        <v>0</v>
      </c>
      <c r="BO114" s="242">
        <f>IF(BO$6=Assumptions!$P$5,Assumptions!$Q$4,0)</f>
        <v>0</v>
      </c>
      <c r="BP114" s="242">
        <f>IF(BP$6=Assumptions!$P$5,Assumptions!$Q$4,0)</f>
        <v>0</v>
      </c>
      <c r="BQ114" s="242">
        <f>IF(BQ$6=Assumptions!$P$5,Assumptions!$Q$4,0)</f>
        <v>0</v>
      </c>
      <c r="BR114" s="242">
        <f>IF(BR$6=Assumptions!$P$5,Assumptions!$Q$4,0)</f>
        <v>0</v>
      </c>
      <c r="BS114" s="242">
        <f>IF(BS$6=Assumptions!$P$5,Assumptions!$Q$4,0)</f>
        <v>0</v>
      </c>
      <c r="BT114" s="242">
        <f>IF(BT$6=Assumptions!$P$5,Assumptions!$Q$4,0)</f>
        <v>0</v>
      </c>
      <c r="BU114" s="242">
        <f>IF(BU$6=Assumptions!$P$5,Assumptions!$Q$4,0)</f>
        <v>0</v>
      </c>
      <c r="BV114" s="242">
        <f>IF(BV$6=Assumptions!$P$5,Assumptions!$Q$4,0)</f>
        <v>0</v>
      </c>
      <c r="BW114" s="242">
        <f>IF(BW$6=Assumptions!$P$5,Assumptions!$Q$4,0)</f>
        <v>0</v>
      </c>
      <c r="BX114" s="242">
        <f>IF(BX$6=Assumptions!$P$5,Assumptions!$Q$4,0)</f>
        <v>0</v>
      </c>
      <c r="BY114" s="242">
        <f>IF(BY$6=Assumptions!$P$5,Assumptions!$Q$4,0)</f>
        <v>0</v>
      </c>
      <c r="BZ114" s="242">
        <f>IF(BZ$6=Assumptions!$P$5,Assumptions!$Q$4,0)</f>
        <v>0</v>
      </c>
      <c r="CA114" s="242">
        <f>IF(CA$6=Assumptions!$P$5,Assumptions!$Q$4,0)</f>
        <v>0</v>
      </c>
      <c r="CB114" s="242">
        <f>IF(CB$6=Assumptions!$P$5,Assumptions!$Q$4,0)</f>
        <v>0</v>
      </c>
      <c r="CC114" s="242">
        <f>IF(CC$6=Assumptions!$P$5,Assumptions!$Q$4,0)</f>
        <v>0</v>
      </c>
      <c r="CD114" s="242">
        <f>IF(CD$6=Assumptions!$P$5,Assumptions!$Q$4,0)</f>
        <v>0</v>
      </c>
      <c r="CE114" s="242">
        <f>IF(CE$6=Assumptions!$P$5,Assumptions!$Q$4,0)</f>
        <v>0</v>
      </c>
      <c r="CF114" s="242">
        <f>IF(CF$6=Assumptions!$P$5,Assumptions!$Q$4,0)</f>
        <v>0</v>
      </c>
      <c r="CG114" s="242">
        <f>IF(CG$6=Assumptions!$P$5,Assumptions!$Q$4,0)</f>
        <v>0</v>
      </c>
      <c r="CH114" s="242">
        <f>IF(CH$6=Assumptions!$P$5,Assumptions!$Q$4,0)</f>
        <v>0</v>
      </c>
      <c r="CI114" s="242">
        <f>IF(CI$6=Assumptions!$P$5,Assumptions!$Q$4,0)</f>
        <v>0</v>
      </c>
      <c r="CJ114" s="242">
        <f>IF(CJ$6=Assumptions!$P$5,Assumptions!$Q$4,0)</f>
        <v>0</v>
      </c>
      <c r="CK114" s="242">
        <f>IF(CK$6=Assumptions!$P$5,Assumptions!$Q$4,0)</f>
        <v>0</v>
      </c>
      <c r="CL114" s="242">
        <f>IF(CL$6=Assumptions!$P$5,Assumptions!$Q$4,0)</f>
        <v>0</v>
      </c>
      <c r="CM114" s="242">
        <f>IF(CM$6=Assumptions!$P$5,Assumptions!$Q$4,0)</f>
        <v>0</v>
      </c>
      <c r="CN114" s="242">
        <f>IF(CN$6=Assumptions!$P$5,Assumptions!$Q$4,0)</f>
        <v>0</v>
      </c>
      <c r="CO114" s="242">
        <f>IF(CO$6=Assumptions!$P$5,Assumptions!$Q$4,0)</f>
        <v>0</v>
      </c>
      <c r="CP114" s="242">
        <f>IF(CP$6=Assumptions!$P$5,Assumptions!$Q$4,0)</f>
        <v>0</v>
      </c>
      <c r="CQ114" s="242">
        <f>IF(CQ$6=Assumptions!$P$5,Assumptions!$Q$4,0)</f>
        <v>0</v>
      </c>
      <c r="CR114" s="242">
        <f>IF(CR$6=Assumptions!$P$5,Assumptions!$Q$4,0)</f>
        <v>0</v>
      </c>
      <c r="CS114" s="242">
        <f>IF(CS$6=Assumptions!$P$5,Assumptions!$Q$4,0)</f>
        <v>0</v>
      </c>
      <c r="CT114" s="242">
        <f>IF(CT$6=Assumptions!$P$5,Assumptions!$Q$4,0)</f>
        <v>0</v>
      </c>
      <c r="CU114" s="242">
        <f>IF(CU$6=Assumptions!$P$5,Assumptions!$Q$4,0)</f>
        <v>0</v>
      </c>
      <c r="CV114" s="242">
        <f>IF(CV$6=Assumptions!$P$5,Assumptions!$Q$4,0)</f>
        <v>0</v>
      </c>
      <c r="CW114" s="242">
        <f>IF(CW$6=Assumptions!$P$5,Assumptions!$Q$4,0)</f>
        <v>0</v>
      </c>
      <c r="CX114" s="242">
        <f>IF(CX$6=Assumptions!$P$5,Assumptions!$Q$4,0)</f>
        <v>0</v>
      </c>
      <c r="CY114" s="242">
        <f>IF(CY$6=Assumptions!$P$5,Assumptions!$Q$4,0)</f>
        <v>0</v>
      </c>
      <c r="CZ114" s="242">
        <f>IF(CZ$6=Assumptions!$P$5,Assumptions!$Q$4,0)</f>
        <v>0</v>
      </c>
      <c r="DA114" s="242">
        <f>IF(DA$6=Assumptions!$P$5,Assumptions!$Q$4,0)</f>
        <v>0</v>
      </c>
      <c r="DB114" s="242">
        <f>IF(DB$6=Assumptions!$P$5,Assumptions!$Q$4,0)</f>
        <v>0</v>
      </c>
      <c r="DC114" s="242">
        <f>IF(DC$6=Assumptions!$P$5,Assumptions!$Q$4,0)</f>
        <v>0</v>
      </c>
      <c r="DD114" s="242">
        <f>IF(DD$6=Assumptions!$P$5,Assumptions!$Q$4,0)</f>
        <v>0</v>
      </c>
      <c r="DE114" s="242">
        <f>IF(DE$6=Assumptions!$P$5,Assumptions!$Q$4,0)</f>
        <v>0</v>
      </c>
      <c r="DF114" s="242">
        <f>IF(DF$6=Assumptions!$P$5,Assumptions!$Q$4,0)</f>
        <v>0</v>
      </c>
      <c r="DG114" s="242">
        <f>IF(DG$6=Assumptions!$P$5,Assumptions!$Q$4,0)</f>
        <v>0</v>
      </c>
      <c r="DH114" s="242">
        <f>IF(DH$6=Assumptions!$P$5,Assumptions!$Q$4,0)</f>
        <v>0</v>
      </c>
      <c r="DI114" s="242">
        <f>IF(DI$6=Assumptions!$P$5,Assumptions!$Q$4,0)</f>
        <v>0</v>
      </c>
      <c r="DJ114" s="242">
        <f>IF(DJ$6=Assumptions!$P$5,Assumptions!$Q$4,0)</f>
        <v>0</v>
      </c>
      <c r="DK114" s="242">
        <f>IF(DK$6=Assumptions!$P$5,Assumptions!$Q$4,0)</f>
        <v>0</v>
      </c>
      <c r="DL114" s="242">
        <f>IF(DL$6=Assumptions!$P$5,Assumptions!$Q$4,0)</f>
        <v>0</v>
      </c>
      <c r="DM114" s="242">
        <f>IF(DM$6=Assumptions!$P$5,Assumptions!$Q$4,0)</f>
        <v>0</v>
      </c>
      <c r="DN114" s="242">
        <f>IF(DN$6=Assumptions!$P$5,Assumptions!$Q$4,0)</f>
        <v>0</v>
      </c>
      <c r="DO114" s="242">
        <f>IF(DO$6=Assumptions!$P$5,Assumptions!$Q$4,0)</f>
        <v>0</v>
      </c>
      <c r="DP114" s="242">
        <f>IF(DP$6=Assumptions!$P$5,Assumptions!$Q$4,0)</f>
        <v>0</v>
      </c>
      <c r="DQ114" s="242">
        <f>IF(DQ$6=Assumptions!$P$5,Assumptions!$Q$4,0)</f>
        <v>0</v>
      </c>
      <c r="DR114" s="242">
        <f>IF(DR$6=Assumptions!$P$5,Assumptions!$Q$4,0)</f>
        <v>0</v>
      </c>
      <c r="DS114" s="242">
        <f>IF(DS$6=Assumptions!$P$5,Assumptions!$Q$4,0)</f>
        <v>0</v>
      </c>
      <c r="DT114" s="242">
        <f>IF(DT$6=Assumptions!$P$5,Assumptions!$Q$4,0)</f>
        <v>0</v>
      </c>
      <c r="DU114" s="242">
        <f>IF(DU$6=Assumptions!$P$5,Assumptions!$Q$4,0)</f>
        <v>0</v>
      </c>
      <c r="DV114" s="242">
        <f>IF(DV$6=Assumptions!$P$5,Assumptions!$Q$4,0)</f>
        <v>0</v>
      </c>
      <c r="DW114" s="242">
        <f>IF(DW$6=Assumptions!$P$5,Assumptions!$Q$4,0)</f>
        <v>0</v>
      </c>
      <c r="DX114" s="242">
        <f>IF(DX$6=Assumptions!$P$5,Assumptions!$Q$4,0)</f>
        <v>0</v>
      </c>
      <c r="DY114" s="242">
        <f>IF(DY$6=Assumptions!$P$5,Assumptions!$Q$4,0)</f>
        <v>0</v>
      </c>
      <c r="DZ114" s="242">
        <f>IF(DZ$6=Assumptions!$P$5,Assumptions!$Q$4,0)</f>
        <v>0</v>
      </c>
      <c r="EA114" s="242">
        <f>IF(EA$6=Assumptions!$P$5,Assumptions!$Q$4,0)</f>
        <v>0</v>
      </c>
      <c r="EB114" s="242">
        <f>IF(EB$6=Assumptions!$P$5,Assumptions!$Q$4,0)</f>
        <v>0</v>
      </c>
      <c r="EC114" s="242">
        <f>IF(EC$6=Assumptions!$P$5,Assumptions!$Q$4,0)</f>
        <v>0</v>
      </c>
      <c r="ED114" s="242">
        <f>IF(ED$6=Assumptions!$P$5,Assumptions!$Q$4,0)</f>
        <v>0</v>
      </c>
      <c r="EE114" s="242">
        <f>IF(EE$6=Assumptions!$P$5,Assumptions!$Q$4,0)</f>
        <v>0</v>
      </c>
      <c r="EF114" s="242">
        <f>IF(EF$6=Assumptions!$P$5,Assumptions!$Q$4,0)</f>
        <v>0</v>
      </c>
      <c r="EG114" s="242">
        <f>IF(EG$6=Assumptions!$P$5,Assumptions!$Q$4,0)</f>
        <v>0</v>
      </c>
      <c r="EH114" s="242">
        <f>IF(EH$6=Assumptions!$P$5,Assumptions!$Q$4,0)</f>
        <v>0</v>
      </c>
      <c r="EI114" s="242">
        <f>IF(EI$6=Assumptions!$P$5,Assumptions!$Q$4,0)</f>
        <v>0</v>
      </c>
      <c r="EJ114" s="242">
        <f>IF(EJ$6=Assumptions!$P$5,Assumptions!$Q$4,0)</f>
        <v>0</v>
      </c>
      <c r="EK114" s="242">
        <f>IF(EK$6=Assumptions!$P$5,Assumptions!$Q$4,0)</f>
        <v>0</v>
      </c>
      <c r="EL114" s="242">
        <f>IF(EL$6=Assumptions!$P$5,Assumptions!$Q$4,0)</f>
        <v>0</v>
      </c>
      <c r="EM114" s="242">
        <f>IF(EM$6=Assumptions!$P$5,Assumptions!$Q$4,0)</f>
        <v>0</v>
      </c>
      <c r="EN114" s="242">
        <f>IF(EN$6=Assumptions!$P$5,Assumptions!$Q$4,0)</f>
        <v>0</v>
      </c>
      <c r="EO114" s="242">
        <f>IF(EO$6=Assumptions!$P$5,Assumptions!$Q$4,0)</f>
        <v>0</v>
      </c>
      <c r="EP114" s="242">
        <f>IF(EP$6=Assumptions!$P$5,Assumptions!$Q$4,0)</f>
        <v>0</v>
      </c>
      <c r="EQ114" s="242">
        <f>IF(EQ$6=Assumptions!$P$5,Assumptions!$Q$4,0)</f>
        <v>0</v>
      </c>
      <c r="ER114" s="242">
        <f>IF(ER$6=Assumptions!$P$5,Assumptions!$Q$4,0)</f>
        <v>0</v>
      </c>
      <c r="ES114" s="242">
        <f>IF(ES$6=Assumptions!$P$5,Assumptions!$Q$4,0)</f>
        <v>0</v>
      </c>
      <c r="ET114" s="242">
        <f>IF(ET$6=Assumptions!$P$5,Assumptions!$Q$4,0)</f>
        <v>0</v>
      </c>
    </row>
    <row r="115" spans="2:150" x14ac:dyDescent="0.2">
      <c r="B115" t="s">
        <v>134</v>
      </c>
      <c r="F115" s="242">
        <f>F113*Assumptions!$Q$7/12</f>
        <v>0</v>
      </c>
      <c r="G115" s="242">
        <f>G113*Assumptions!$Q$7/12</f>
        <v>8750</v>
      </c>
      <c r="H115" s="242">
        <f>H113*Assumptions!$Q$7/12</f>
        <v>8750</v>
      </c>
      <c r="I115" s="242">
        <f>I113*Assumptions!$Q$7/12</f>
        <v>8750</v>
      </c>
      <c r="J115" s="242">
        <f>J113*Assumptions!$Q$7/12</f>
        <v>8750</v>
      </c>
      <c r="K115" s="242">
        <f>K113*Assumptions!$Q$7/12</f>
        <v>8750</v>
      </c>
      <c r="L115" s="242">
        <f>L113*Assumptions!$Q$7/12</f>
        <v>8750</v>
      </c>
      <c r="M115" s="242">
        <f>M113*Assumptions!$Q$7/12</f>
        <v>8750</v>
      </c>
      <c r="N115" s="242">
        <f>N113*Assumptions!$Q$7/12</f>
        <v>8750</v>
      </c>
      <c r="O115" s="242">
        <f>O113*Assumptions!$Q$7/12</f>
        <v>8750</v>
      </c>
      <c r="P115" s="242">
        <f>P113*Assumptions!$Q$7/12</f>
        <v>8750</v>
      </c>
      <c r="Q115" s="242">
        <f>Q113*Assumptions!$Q$7/12</f>
        <v>8750</v>
      </c>
      <c r="R115" s="242">
        <f>R113*Assumptions!$Q$7/12</f>
        <v>8750</v>
      </c>
      <c r="S115" s="242">
        <f>S113*Assumptions!$Q$7/12</f>
        <v>8750</v>
      </c>
      <c r="T115" s="242">
        <f>T113*Assumptions!$Q$7/12</f>
        <v>8750</v>
      </c>
      <c r="U115" s="242">
        <f>U113*Assumptions!$Q$7/12</f>
        <v>8750</v>
      </c>
      <c r="V115" s="242">
        <f>V113*Assumptions!$Q$7/12</f>
        <v>8750</v>
      </c>
      <c r="W115" s="242">
        <f>W113*Assumptions!$Q$7/12</f>
        <v>8750</v>
      </c>
      <c r="X115" s="242">
        <f>X113*Assumptions!$Q$7/12</f>
        <v>8750</v>
      </c>
      <c r="Y115" s="242">
        <f>Y113*Assumptions!$Q$7/12</f>
        <v>8750</v>
      </c>
      <c r="Z115" s="242">
        <f>Z113*Assumptions!$Q$7/12</f>
        <v>8750</v>
      </c>
      <c r="AA115" s="242">
        <f>AA113*Assumptions!$Q$7/12</f>
        <v>0</v>
      </c>
      <c r="AB115" s="242">
        <f>AB113*Assumptions!$Q$7/12</f>
        <v>0</v>
      </c>
      <c r="AC115" s="242">
        <f>AC113*Assumptions!$Q$7/12</f>
        <v>0</v>
      </c>
      <c r="AD115" s="242">
        <f>AD113*Assumptions!$Q$7/12</f>
        <v>0</v>
      </c>
      <c r="AE115" s="242">
        <f>AE113*Assumptions!$Q$7/12</f>
        <v>0</v>
      </c>
      <c r="AF115" s="242">
        <f>AF113*Assumptions!$Q$7/12</f>
        <v>0</v>
      </c>
      <c r="AG115" s="242">
        <f>AG113*Assumptions!$Q$7/12</f>
        <v>0</v>
      </c>
      <c r="AH115" s="242">
        <f>AH113*Assumptions!$Q$7/12</f>
        <v>0</v>
      </c>
      <c r="AI115" s="242">
        <f>AI113*Assumptions!$Q$7/12</f>
        <v>0</v>
      </c>
      <c r="AJ115" s="242">
        <f>AJ113*Assumptions!$Q$7/12</f>
        <v>0</v>
      </c>
      <c r="AK115" s="242">
        <f>AK113*Assumptions!$Q$7/12</f>
        <v>0</v>
      </c>
      <c r="AL115" s="242">
        <f>AL113*Assumptions!$Q$7/12</f>
        <v>0</v>
      </c>
      <c r="AM115" s="242">
        <f>AM113*Assumptions!$Q$7/12</f>
        <v>0</v>
      </c>
      <c r="AN115" s="242">
        <f>AN113*Assumptions!$Q$7/12</f>
        <v>0</v>
      </c>
      <c r="AO115" s="242">
        <f>AO113*Assumptions!$Q$7/12</f>
        <v>0</v>
      </c>
      <c r="AP115" s="242">
        <f>AP113*Assumptions!$Q$7/12</f>
        <v>0</v>
      </c>
      <c r="AQ115" s="242">
        <f>AQ113*Assumptions!$Q$7/12</f>
        <v>0</v>
      </c>
      <c r="AR115" s="242">
        <f>AR113*Assumptions!$Q$7/12</f>
        <v>0</v>
      </c>
      <c r="AS115" s="242">
        <f>AS113*Assumptions!$Q$7/12</f>
        <v>0</v>
      </c>
      <c r="AT115" s="242">
        <f>AT113*Assumptions!$Q$7/12</f>
        <v>0</v>
      </c>
      <c r="AU115" s="242">
        <f>AU113*Assumptions!$Q$7/12</f>
        <v>0</v>
      </c>
      <c r="AV115" s="242">
        <f>AV113*Assumptions!$Q$7/12</f>
        <v>0</v>
      </c>
      <c r="AW115" s="242">
        <f>AW113*Assumptions!$Q$7/12</f>
        <v>0</v>
      </c>
      <c r="AX115" s="242">
        <f>AX113*Assumptions!$Q$7/12</f>
        <v>0</v>
      </c>
      <c r="AY115" s="242">
        <f>AY113*Assumptions!$Q$7/12</f>
        <v>0</v>
      </c>
      <c r="AZ115" s="242">
        <f>AZ113*Assumptions!$Q$7/12</f>
        <v>0</v>
      </c>
      <c r="BA115" s="242">
        <f>BA113*Assumptions!$Q$7/12</f>
        <v>0</v>
      </c>
      <c r="BB115" s="242">
        <f>BB113*Assumptions!$Q$7/12</f>
        <v>0</v>
      </c>
      <c r="BC115" s="242">
        <f>BC113*Assumptions!$Q$7/12</f>
        <v>0</v>
      </c>
      <c r="BD115" s="242">
        <f>BD113*Assumptions!$Q$7/12</f>
        <v>0</v>
      </c>
      <c r="BE115" s="242">
        <f>BE113*Assumptions!$Q$7/12</f>
        <v>0</v>
      </c>
      <c r="BF115" s="242">
        <f>BF113*Assumptions!$Q$7/12</f>
        <v>0</v>
      </c>
      <c r="BG115" s="242">
        <f>BG113*Assumptions!$Q$7/12</f>
        <v>0</v>
      </c>
      <c r="BH115" s="242">
        <f>BH113*Assumptions!$Q$7/12</f>
        <v>0</v>
      </c>
      <c r="BI115" s="242">
        <f>BI113*Assumptions!$Q$7/12</f>
        <v>0</v>
      </c>
      <c r="BJ115" s="242">
        <f>BJ113*Assumptions!$Q$7/12</f>
        <v>0</v>
      </c>
      <c r="BK115" s="242">
        <f>BK113*Assumptions!$Q$7/12</f>
        <v>0</v>
      </c>
      <c r="BL115" s="242">
        <f>BL113*Assumptions!$Q$7/12</f>
        <v>0</v>
      </c>
      <c r="BM115" s="242">
        <f>BM113*Assumptions!$Q$7/12</f>
        <v>0</v>
      </c>
      <c r="BN115" s="242">
        <f>BN113*Assumptions!$Q$7/12</f>
        <v>0</v>
      </c>
      <c r="BO115" s="242">
        <f>BO113*Assumptions!$Q$7/12</f>
        <v>0</v>
      </c>
      <c r="BP115" s="242">
        <f>BP113*Assumptions!$Q$7/12</f>
        <v>0</v>
      </c>
      <c r="BQ115" s="242">
        <f>BQ113*Assumptions!$Q$7/12</f>
        <v>0</v>
      </c>
      <c r="BR115" s="242">
        <f>BR113*Assumptions!$Q$7/12</f>
        <v>0</v>
      </c>
      <c r="BS115" s="242">
        <f>BS113*Assumptions!$Q$7/12</f>
        <v>0</v>
      </c>
      <c r="BT115" s="242">
        <f>BT113*Assumptions!$Q$7/12</f>
        <v>0</v>
      </c>
      <c r="BU115" s="242">
        <f>BU113*Assumptions!$Q$7/12</f>
        <v>0</v>
      </c>
      <c r="BV115" s="242">
        <f>BV113*Assumptions!$Q$7/12</f>
        <v>0</v>
      </c>
      <c r="BW115" s="242">
        <f>BW113*Assumptions!$Q$7/12</f>
        <v>0</v>
      </c>
      <c r="BX115" s="242">
        <f>BX113*Assumptions!$Q$7/12</f>
        <v>0</v>
      </c>
      <c r="BY115" s="242">
        <f>BY113*Assumptions!$Q$7/12</f>
        <v>0</v>
      </c>
      <c r="BZ115" s="242">
        <f>BZ113*Assumptions!$Q$7/12</f>
        <v>0</v>
      </c>
      <c r="CA115" s="242">
        <f>CA113*Assumptions!$Q$7/12</f>
        <v>0</v>
      </c>
      <c r="CB115" s="242">
        <f>CB113*Assumptions!$Q$7/12</f>
        <v>0</v>
      </c>
      <c r="CC115" s="242">
        <f>CC113*Assumptions!$Q$7/12</f>
        <v>0</v>
      </c>
      <c r="CD115" s="242">
        <f>CD113*Assumptions!$Q$7/12</f>
        <v>0</v>
      </c>
      <c r="CE115" s="242">
        <f>CE113*Assumptions!$Q$7/12</f>
        <v>0</v>
      </c>
      <c r="CF115" s="242">
        <f>CF113*Assumptions!$Q$7/12</f>
        <v>0</v>
      </c>
      <c r="CG115" s="242">
        <f>CG113*Assumptions!$Q$7/12</f>
        <v>0</v>
      </c>
      <c r="CH115" s="242">
        <f>CH113*Assumptions!$Q$7/12</f>
        <v>0</v>
      </c>
      <c r="CI115" s="242">
        <f>CI113*Assumptions!$Q$7/12</f>
        <v>0</v>
      </c>
      <c r="CJ115" s="242">
        <f>CJ113*Assumptions!$Q$7/12</f>
        <v>0</v>
      </c>
      <c r="CK115" s="242">
        <f>CK113*Assumptions!$Q$7/12</f>
        <v>0</v>
      </c>
      <c r="CL115" s="242">
        <f>CL113*Assumptions!$Q$7/12</f>
        <v>0</v>
      </c>
      <c r="CM115" s="242">
        <f>CM113*Assumptions!$Q$7/12</f>
        <v>0</v>
      </c>
      <c r="CN115" s="242">
        <f>CN113*Assumptions!$Q$7/12</f>
        <v>0</v>
      </c>
      <c r="CO115" s="242">
        <f>CO113*Assumptions!$Q$7/12</f>
        <v>0</v>
      </c>
      <c r="CP115" s="242">
        <f>CP113*Assumptions!$Q$7/12</f>
        <v>0</v>
      </c>
      <c r="CQ115" s="242">
        <f>CQ113*Assumptions!$Q$7/12</f>
        <v>0</v>
      </c>
      <c r="CR115" s="242">
        <f>CR113*Assumptions!$Q$7/12</f>
        <v>0</v>
      </c>
      <c r="CS115" s="242">
        <f>CS113*Assumptions!$Q$7/12</f>
        <v>0</v>
      </c>
      <c r="CT115" s="242">
        <f>CT113*Assumptions!$Q$7/12</f>
        <v>0</v>
      </c>
      <c r="CU115" s="242">
        <f>CU113*Assumptions!$Q$7/12</f>
        <v>0</v>
      </c>
      <c r="CV115" s="242">
        <f>CV113*Assumptions!$Q$7/12</f>
        <v>0</v>
      </c>
      <c r="CW115" s="242">
        <f>CW113*Assumptions!$Q$7/12</f>
        <v>0</v>
      </c>
      <c r="CX115" s="242">
        <f>CX113*Assumptions!$Q$7/12</f>
        <v>0</v>
      </c>
      <c r="CY115" s="242">
        <f>CY113*Assumptions!$Q$7/12</f>
        <v>0</v>
      </c>
      <c r="CZ115" s="242">
        <f>CZ113*Assumptions!$Q$7/12</f>
        <v>0</v>
      </c>
      <c r="DA115" s="242">
        <f>DA113*Assumptions!$Q$7/12</f>
        <v>0</v>
      </c>
      <c r="DB115" s="242">
        <f>DB113*Assumptions!$Q$7/12</f>
        <v>0</v>
      </c>
      <c r="DC115" s="242">
        <f>DC113*Assumptions!$Q$7/12</f>
        <v>0</v>
      </c>
      <c r="DD115" s="242">
        <f>DD113*Assumptions!$Q$7/12</f>
        <v>0</v>
      </c>
      <c r="DE115" s="242">
        <f>DE113*Assumptions!$Q$7/12</f>
        <v>0</v>
      </c>
      <c r="DF115" s="242">
        <f>DF113*Assumptions!$Q$7/12</f>
        <v>0</v>
      </c>
      <c r="DG115" s="242">
        <f>DG113*Assumptions!$Q$7/12</f>
        <v>0</v>
      </c>
      <c r="DH115" s="242">
        <f>DH113*Assumptions!$Q$7/12</f>
        <v>0</v>
      </c>
      <c r="DI115" s="242">
        <f>DI113*Assumptions!$Q$7/12</f>
        <v>0</v>
      </c>
      <c r="DJ115" s="242">
        <f>DJ113*Assumptions!$Q$7/12</f>
        <v>0</v>
      </c>
      <c r="DK115" s="242">
        <f>DK113*Assumptions!$Q$7/12</f>
        <v>0</v>
      </c>
      <c r="DL115" s="242">
        <f>DL113*Assumptions!$Q$7/12</f>
        <v>0</v>
      </c>
      <c r="DM115" s="242">
        <f>DM113*Assumptions!$Q$7/12</f>
        <v>0</v>
      </c>
      <c r="DN115" s="242">
        <f>DN113*Assumptions!$Q$7/12</f>
        <v>0</v>
      </c>
      <c r="DO115" s="242">
        <f>DO113*Assumptions!$Q$7/12</f>
        <v>0</v>
      </c>
      <c r="DP115" s="242">
        <f>DP113*Assumptions!$Q$7/12</f>
        <v>0</v>
      </c>
      <c r="DQ115" s="242">
        <f>DQ113*Assumptions!$Q$7/12</f>
        <v>0</v>
      </c>
      <c r="DR115" s="242">
        <f>DR113*Assumptions!$Q$7/12</f>
        <v>0</v>
      </c>
      <c r="DS115" s="242">
        <f>DS113*Assumptions!$Q$7/12</f>
        <v>0</v>
      </c>
      <c r="DT115" s="242">
        <f>DT113*Assumptions!$Q$7/12</f>
        <v>0</v>
      </c>
      <c r="DU115" s="242">
        <f>DU113*Assumptions!$Q$7/12</f>
        <v>0</v>
      </c>
      <c r="DV115" s="242">
        <f>DV113*Assumptions!$Q$7/12</f>
        <v>0</v>
      </c>
      <c r="DW115" s="242">
        <f>DW113*Assumptions!$Q$7/12</f>
        <v>0</v>
      </c>
      <c r="DX115" s="242">
        <f>DX113*Assumptions!$Q$7/12</f>
        <v>0</v>
      </c>
      <c r="DY115" s="242">
        <f>DY113*Assumptions!$Q$7/12</f>
        <v>0</v>
      </c>
      <c r="DZ115" s="242">
        <f>DZ113*Assumptions!$Q$7/12</f>
        <v>0</v>
      </c>
      <c r="EA115" s="242">
        <f>EA113*Assumptions!$Q$7/12</f>
        <v>0</v>
      </c>
      <c r="EB115" s="242">
        <f>EB113*Assumptions!$Q$7/12</f>
        <v>0</v>
      </c>
      <c r="EC115" s="242">
        <f>EC113*Assumptions!$Q$7/12</f>
        <v>0</v>
      </c>
      <c r="ED115" s="242">
        <f>ED113*Assumptions!$Q$7/12</f>
        <v>0</v>
      </c>
      <c r="EE115" s="242">
        <f>EE113*Assumptions!$Q$7/12</f>
        <v>0</v>
      </c>
      <c r="EF115" s="242">
        <f>EF113*Assumptions!$Q$7/12</f>
        <v>0</v>
      </c>
      <c r="EG115" s="242">
        <f>EG113*Assumptions!$Q$7/12</f>
        <v>0</v>
      </c>
      <c r="EH115" s="242">
        <f>EH113*Assumptions!$Q$7/12</f>
        <v>0</v>
      </c>
      <c r="EI115" s="242">
        <f>EI113*Assumptions!$Q$7/12</f>
        <v>0</v>
      </c>
      <c r="EJ115" s="242">
        <f>EJ113*Assumptions!$Q$7/12</f>
        <v>0</v>
      </c>
      <c r="EK115" s="242">
        <f>EK113*Assumptions!$Q$7/12</f>
        <v>0</v>
      </c>
      <c r="EL115" s="242">
        <f>EL113*Assumptions!$Q$7/12</f>
        <v>0</v>
      </c>
      <c r="EM115" s="242">
        <f>EM113*Assumptions!$Q$7/12</f>
        <v>0</v>
      </c>
      <c r="EN115" s="242">
        <f>EN113*Assumptions!$Q$7/12</f>
        <v>0</v>
      </c>
      <c r="EO115" s="242">
        <f>EO113*Assumptions!$Q$7/12</f>
        <v>0</v>
      </c>
      <c r="EP115" s="242">
        <f>EP113*Assumptions!$Q$7/12</f>
        <v>0</v>
      </c>
      <c r="EQ115" s="242">
        <f>EQ113*Assumptions!$Q$7/12</f>
        <v>0</v>
      </c>
      <c r="ER115" s="242">
        <f>ER113*Assumptions!$Q$7/12</f>
        <v>0</v>
      </c>
      <c r="ES115" s="242">
        <f>ES113*Assumptions!$Q$7/12</f>
        <v>0</v>
      </c>
      <c r="ET115" s="242">
        <f>ET113*Assumptions!$Q$7/12</f>
        <v>0</v>
      </c>
    </row>
    <row r="116" spans="2:150" x14ac:dyDescent="0.2">
      <c r="B116" t="s">
        <v>284</v>
      </c>
      <c r="F116" s="242">
        <f>IF(F$6=Assumptions!$P$8,-SUM(F113:F114),0)</f>
        <v>0</v>
      </c>
      <c r="G116" s="242">
        <f>IF(G$6=Assumptions!$P$8,-SUM(G113:G114),0)</f>
        <v>0</v>
      </c>
      <c r="H116" s="242">
        <f>IF(H$6=Assumptions!$P$8,-SUM(H113:H114),0)</f>
        <v>0</v>
      </c>
      <c r="I116" s="242">
        <f>IF(I$6=Assumptions!$P$8,-SUM(I113:I114),0)</f>
        <v>0</v>
      </c>
      <c r="J116" s="242">
        <f>IF(J$6=Assumptions!$P$8,-SUM(J113:J114),0)</f>
        <v>0</v>
      </c>
      <c r="K116" s="242">
        <f>IF(K$6=Assumptions!$P$8,-SUM(K113:K114),0)</f>
        <v>0</v>
      </c>
      <c r="L116" s="242">
        <f>IF(L$6=Assumptions!$P$8,-SUM(L113:L114),0)</f>
        <v>0</v>
      </c>
      <c r="M116" s="242">
        <f>IF(M$6=Assumptions!$P$8,-SUM(M113:M114),0)</f>
        <v>0</v>
      </c>
      <c r="N116" s="242">
        <f>IF(N$6=Assumptions!$P$8,-SUM(N113:N114),0)</f>
        <v>0</v>
      </c>
      <c r="O116" s="242">
        <f>IF(O$6=Assumptions!$P$8,-SUM(O113:O114),0)</f>
        <v>0</v>
      </c>
      <c r="P116" s="242">
        <f>IF(P$6=Assumptions!$P$8,-SUM(P113:P114),0)</f>
        <v>0</v>
      </c>
      <c r="Q116" s="242">
        <f>IF(Q$6=Assumptions!$P$8,-SUM(Q113:Q114),0)</f>
        <v>0</v>
      </c>
      <c r="R116" s="242">
        <f>IF(R$6=Assumptions!$P$8,-SUM(R113:R114),0)</f>
        <v>0</v>
      </c>
      <c r="S116" s="242">
        <f>IF(S$6=Assumptions!$P$8,-SUM(S113:S114),0)</f>
        <v>0</v>
      </c>
      <c r="T116" s="242">
        <f>IF(T$6=Assumptions!$P$8,-SUM(T113:T114),0)</f>
        <v>0</v>
      </c>
      <c r="U116" s="242">
        <f>IF(U$6=Assumptions!$P$8,-SUM(U113:U114),0)</f>
        <v>0</v>
      </c>
      <c r="V116" s="242">
        <f>IF(V$6=Assumptions!$P$8,-SUM(V113:V114),0)</f>
        <v>0</v>
      </c>
      <c r="W116" s="242">
        <f>IF(W$6=Assumptions!$P$8,-SUM(W113:W114),0)</f>
        <v>0</v>
      </c>
      <c r="X116" s="242">
        <f>IF(X$6=Assumptions!$P$8,-SUM(X113:X114),0)</f>
        <v>0</v>
      </c>
      <c r="Y116" s="242">
        <f>IF(Y$6=Assumptions!$P$8,-SUM(Y113:Y114),0)</f>
        <v>0</v>
      </c>
      <c r="Z116" s="242">
        <f>IF(Z$6=Assumptions!$P$8,-SUM(Z113:Z114),0)</f>
        <v>-1750000</v>
      </c>
      <c r="AA116" s="242">
        <f>IF(AA$6=Assumptions!$P$8,-SUM(AA113:AA114),0)</f>
        <v>0</v>
      </c>
      <c r="AB116" s="242">
        <f>IF(AB$6=Assumptions!$P$8,-SUM(AB113:AB114),0)</f>
        <v>0</v>
      </c>
      <c r="AC116" s="242">
        <f>IF(AC$6=Assumptions!$P$8,-SUM(AC113:AC114),0)</f>
        <v>0</v>
      </c>
      <c r="AD116" s="242">
        <f>IF(AD$6=Assumptions!$P$8,-SUM(AD113:AD114),0)</f>
        <v>0</v>
      </c>
      <c r="AE116" s="242">
        <f>IF(AE$6=Assumptions!$P$8,-SUM(AE113:AE114),0)</f>
        <v>0</v>
      </c>
      <c r="AF116" s="242">
        <f>IF(AF$6=Assumptions!$P$8,-SUM(AF113:AF114),0)</f>
        <v>0</v>
      </c>
      <c r="AG116" s="242">
        <f>IF(AG$6=Assumptions!$P$8,-SUM(AG113:AG114),0)</f>
        <v>0</v>
      </c>
      <c r="AH116" s="242">
        <f>IF(AH$6=Assumptions!$P$8,-SUM(AH113:AH114),0)</f>
        <v>0</v>
      </c>
      <c r="AI116" s="242">
        <f>IF(AI$6=Assumptions!$P$8,-SUM(AI113:AI114),0)</f>
        <v>0</v>
      </c>
      <c r="AJ116" s="242">
        <f>IF(AJ$6=Assumptions!$P$8,-SUM(AJ113:AJ114),0)</f>
        <v>0</v>
      </c>
      <c r="AK116" s="242">
        <f>IF(AK$6=Assumptions!$P$8,-SUM(AK113:AK114),0)</f>
        <v>0</v>
      </c>
      <c r="AL116" s="242">
        <f>IF(AL$6=Assumptions!$P$8,-SUM(AL113:AL114),0)</f>
        <v>0</v>
      </c>
      <c r="AM116" s="242">
        <f>IF(AM$6=Assumptions!$P$8,-SUM(AM113:AM114),0)</f>
        <v>0</v>
      </c>
      <c r="AN116" s="242">
        <f>IF(AN$6=Assumptions!$P$8,-SUM(AN113:AN114),0)</f>
        <v>0</v>
      </c>
      <c r="AO116" s="242">
        <f>IF(AO$6=Assumptions!$P$8,-SUM(AO113:AO114),0)</f>
        <v>0</v>
      </c>
      <c r="AP116" s="242">
        <f>IF(AP$6=Assumptions!$P$8,-SUM(AP113:AP114),0)</f>
        <v>0</v>
      </c>
      <c r="AQ116" s="242">
        <f>IF(AQ$6=Assumptions!$P$8,-SUM(AQ113:AQ114),0)</f>
        <v>0</v>
      </c>
      <c r="AR116" s="242">
        <f>IF(AR$6=Assumptions!$P$8,-SUM(AR113:AR114),0)</f>
        <v>0</v>
      </c>
      <c r="AS116" s="242">
        <f>IF(AS$6=Assumptions!$P$8,-SUM(AS113:AS114),0)</f>
        <v>0</v>
      </c>
      <c r="AT116" s="242">
        <f>IF(AT$6=Assumptions!$P$8,-SUM(AT113:AT114),0)</f>
        <v>0</v>
      </c>
      <c r="AU116" s="242">
        <f>IF(AU$6=Assumptions!$P$8,-SUM(AU113:AU114),0)</f>
        <v>0</v>
      </c>
      <c r="AV116" s="242">
        <f>IF(AV$6=Assumptions!$P$8,-SUM(AV113:AV114),0)</f>
        <v>0</v>
      </c>
      <c r="AW116" s="242">
        <f>IF(AW$6=Assumptions!$P$8,-SUM(AW113:AW114),0)</f>
        <v>0</v>
      </c>
      <c r="AX116" s="242">
        <f>IF(AX$6=Assumptions!$P$8,-SUM(AX113:AX114),0)</f>
        <v>0</v>
      </c>
      <c r="AY116" s="242">
        <f>IF(AY$6=Assumptions!$P$8,-SUM(AY113:AY114),0)</f>
        <v>0</v>
      </c>
      <c r="AZ116" s="242">
        <f>IF(AZ$6=Assumptions!$P$8,-SUM(AZ113:AZ114),0)</f>
        <v>0</v>
      </c>
      <c r="BA116" s="242">
        <f>IF(BA$6=Assumptions!$P$8,-SUM(BA113:BA114),0)</f>
        <v>0</v>
      </c>
      <c r="BB116" s="242">
        <f>IF(BB$6=Assumptions!$P$8,-SUM(BB113:BB114),0)</f>
        <v>0</v>
      </c>
      <c r="BC116" s="242">
        <f>IF(BC$6=Assumptions!$P$8,-SUM(BC113:BC114),0)</f>
        <v>0</v>
      </c>
      <c r="BD116" s="242">
        <f>IF(BD$6=Assumptions!$P$8,-SUM(BD113:BD114),0)</f>
        <v>0</v>
      </c>
      <c r="BE116" s="242">
        <f>IF(BE$6=Assumptions!$P$8,-SUM(BE113:BE114),0)</f>
        <v>0</v>
      </c>
      <c r="BF116" s="242">
        <f>IF(BF$6=Assumptions!$P$8,-SUM(BF113:BF114),0)</f>
        <v>0</v>
      </c>
      <c r="BG116" s="242">
        <f>IF(BG$6=Assumptions!$P$8,-SUM(BG113:BG114),0)</f>
        <v>0</v>
      </c>
      <c r="BH116" s="242">
        <f>IF(BH$6=Assumptions!$P$8,-SUM(BH113:BH114),0)</f>
        <v>0</v>
      </c>
      <c r="BI116" s="242">
        <f>IF(BI$6=Assumptions!$P$8,-SUM(BI113:BI114),0)</f>
        <v>0</v>
      </c>
      <c r="BJ116" s="242">
        <f>IF(BJ$6=Assumptions!$P$8,-SUM(BJ113:BJ114),0)</f>
        <v>0</v>
      </c>
      <c r="BK116" s="242">
        <f>IF(BK$6=Assumptions!$P$8,-SUM(BK113:BK114),0)</f>
        <v>0</v>
      </c>
      <c r="BL116" s="242">
        <f>IF(BL$6=Assumptions!$P$8,-SUM(BL113:BL114),0)</f>
        <v>0</v>
      </c>
      <c r="BM116" s="242">
        <f>IF(BM$6=Assumptions!$P$8,-SUM(BM113:BM114),0)</f>
        <v>0</v>
      </c>
      <c r="BN116" s="242">
        <f>IF(BN$6=Assumptions!$P$8,-SUM(BN113:BN114),0)</f>
        <v>0</v>
      </c>
      <c r="BO116" s="242">
        <f>IF(BO$6=Assumptions!$P$8,-SUM(BO113:BO114),0)</f>
        <v>0</v>
      </c>
      <c r="BP116" s="242">
        <f>IF(BP$6=Assumptions!$P$8,-SUM(BP113:BP114),0)</f>
        <v>0</v>
      </c>
      <c r="BQ116" s="242">
        <f>IF(BQ$6=Assumptions!$P$8,-SUM(BQ113:BQ114),0)</f>
        <v>0</v>
      </c>
      <c r="BR116" s="242">
        <f>IF(BR$6=Assumptions!$P$8,-SUM(BR113:BR114),0)</f>
        <v>0</v>
      </c>
      <c r="BS116" s="242">
        <f>IF(BS$6=Assumptions!$P$8,-SUM(BS113:BS114),0)</f>
        <v>0</v>
      </c>
      <c r="BT116" s="242">
        <f>IF(BT$6=Assumptions!$P$8,-SUM(BT113:BT114),0)</f>
        <v>0</v>
      </c>
      <c r="BU116" s="242">
        <f>IF(BU$6=Assumptions!$P$8,-SUM(BU113:BU114),0)</f>
        <v>0</v>
      </c>
      <c r="BV116" s="242">
        <f>IF(BV$6=Assumptions!$P$8,-SUM(BV113:BV114),0)</f>
        <v>0</v>
      </c>
      <c r="BW116" s="242">
        <f>IF(BW$6=Assumptions!$P$8,-SUM(BW113:BW114),0)</f>
        <v>0</v>
      </c>
      <c r="BX116" s="242">
        <f>IF(BX$6=Assumptions!$P$8,-SUM(BX113:BX114),0)</f>
        <v>0</v>
      </c>
      <c r="BY116" s="242">
        <f>IF(BY$6=Assumptions!$P$8,-SUM(BY113:BY114),0)</f>
        <v>0</v>
      </c>
      <c r="BZ116" s="242">
        <f>IF(BZ$6=Assumptions!$P$8,-SUM(BZ113:BZ114),0)</f>
        <v>0</v>
      </c>
      <c r="CA116" s="242">
        <f>IF(CA$6=Assumptions!$P$8,-SUM(CA113:CA114),0)</f>
        <v>0</v>
      </c>
      <c r="CB116" s="242">
        <f>IF(CB$6=Assumptions!$P$8,-SUM(CB113:CB114),0)</f>
        <v>0</v>
      </c>
      <c r="CC116" s="242">
        <f>IF(CC$6=Assumptions!$P$8,-SUM(CC113:CC114),0)</f>
        <v>0</v>
      </c>
      <c r="CD116" s="242">
        <f>IF(CD$6=Assumptions!$P$8,-SUM(CD113:CD114),0)</f>
        <v>0</v>
      </c>
      <c r="CE116" s="242">
        <f>IF(CE$6=Assumptions!$P$8,-SUM(CE113:CE114),0)</f>
        <v>0</v>
      </c>
      <c r="CF116" s="242">
        <f>IF(CF$6=Assumptions!$P$8,-SUM(CF113:CF114),0)</f>
        <v>0</v>
      </c>
      <c r="CG116" s="242">
        <f>IF(CG$6=Assumptions!$P$8,-SUM(CG113:CG114),0)</f>
        <v>0</v>
      </c>
      <c r="CH116" s="242">
        <f>IF(CH$6=Assumptions!$P$8,-SUM(CH113:CH114),0)</f>
        <v>0</v>
      </c>
      <c r="CI116" s="242">
        <f>IF(CI$6=Assumptions!$P$8,-SUM(CI113:CI114),0)</f>
        <v>0</v>
      </c>
      <c r="CJ116" s="242">
        <f>IF(CJ$6=Assumptions!$P$8,-SUM(CJ113:CJ114),0)</f>
        <v>0</v>
      </c>
      <c r="CK116" s="242">
        <f>IF(CK$6=Assumptions!$P$8,-SUM(CK113:CK114),0)</f>
        <v>0</v>
      </c>
      <c r="CL116" s="242">
        <f>IF(CL$6=Assumptions!$P$8,-SUM(CL113:CL114),0)</f>
        <v>0</v>
      </c>
      <c r="CM116" s="242">
        <f>IF(CM$6=Assumptions!$P$8,-SUM(CM113:CM114),0)</f>
        <v>0</v>
      </c>
      <c r="CN116" s="242">
        <f>IF(CN$6=Assumptions!$P$8,-SUM(CN113:CN114),0)</f>
        <v>0</v>
      </c>
      <c r="CO116" s="242">
        <f>IF(CO$6=Assumptions!$P$8,-SUM(CO113:CO114),0)</f>
        <v>0</v>
      </c>
      <c r="CP116" s="242">
        <f>IF(CP$6=Assumptions!$P$8,-SUM(CP113:CP114),0)</f>
        <v>0</v>
      </c>
      <c r="CQ116" s="242">
        <f>IF(CQ$6=Assumptions!$P$8,-SUM(CQ113:CQ114),0)</f>
        <v>0</v>
      </c>
      <c r="CR116" s="242">
        <f>IF(CR$6=Assumptions!$P$8,-SUM(CR113:CR114),0)</f>
        <v>0</v>
      </c>
      <c r="CS116" s="242">
        <f>IF(CS$6=Assumptions!$P$8,-SUM(CS113:CS114),0)</f>
        <v>0</v>
      </c>
      <c r="CT116" s="242">
        <f>IF(CT$6=Assumptions!$P$8,-SUM(CT113:CT114),0)</f>
        <v>0</v>
      </c>
      <c r="CU116" s="242">
        <f>IF(CU$6=Assumptions!$P$8,-SUM(CU113:CU114),0)</f>
        <v>0</v>
      </c>
      <c r="CV116" s="242">
        <f>IF(CV$6=Assumptions!$P$8,-SUM(CV113:CV114),0)</f>
        <v>0</v>
      </c>
      <c r="CW116" s="242">
        <f>IF(CW$6=Assumptions!$P$8,-SUM(CW113:CW114),0)</f>
        <v>0</v>
      </c>
      <c r="CX116" s="242">
        <f>IF(CX$6=Assumptions!$P$8,-SUM(CX113:CX114),0)</f>
        <v>0</v>
      </c>
      <c r="CY116" s="242">
        <f>IF(CY$6=Assumptions!$P$8,-SUM(CY113:CY114),0)</f>
        <v>0</v>
      </c>
      <c r="CZ116" s="242">
        <f>IF(CZ$6=Assumptions!$P$8,-SUM(CZ113:CZ114),0)</f>
        <v>0</v>
      </c>
      <c r="DA116" s="242">
        <f>IF(DA$6=Assumptions!$P$8,-SUM(DA113:DA114),0)</f>
        <v>0</v>
      </c>
      <c r="DB116" s="242">
        <f>IF(DB$6=Assumptions!$P$8,-SUM(DB113:DB114),0)</f>
        <v>0</v>
      </c>
      <c r="DC116" s="242">
        <f>IF(DC$6=Assumptions!$P$8,-SUM(DC113:DC114),0)</f>
        <v>0</v>
      </c>
      <c r="DD116" s="242">
        <f>IF(DD$6=Assumptions!$P$8,-SUM(DD113:DD114),0)</f>
        <v>0</v>
      </c>
      <c r="DE116" s="242">
        <f>IF(DE$6=Assumptions!$P$8,-SUM(DE113:DE114),0)</f>
        <v>0</v>
      </c>
      <c r="DF116" s="242">
        <f>IF(DF$6=Assumptions!$P$8,-SUM(DF113:DF114),0)</f>
        <v>0</v>
      </c>
      <c r="DG116" s="242">
        <f>IF(DG$6=Assumptions!$P$8,-SUM(DG113:DG114),0)</f>
        <v>0</v>
      </c>
      <c r="DH116" s="242">
        <f>IF(DH$6=Assumptions!$P$8,-SUM(DH113:DH114),0)</f>
        <v>0</v>
      </c>
      <c r="DI116" s="242">
        <f>IF(DI$6=Assumptions!$P$8,-SUM(DI113:DI114),0)</f>
        <v>0</v>
      </c>
      <c r="DJ116" s="242">
        <f>IF(DJ$6=Assumptions!$P$8,-SUM(DJ113:DJ114),0)</f>
        <v>0</v>
      </c>
      <c r="DK116" s="242">
        <f>IF(DK$6=Assumptions!$P$8,-SUM(DK113:DK114),0)</f>
        <v>0</v>
      </c>
      <c r="DL116" s="242">
        <f>IF(DL$6=Assumptions!$P$8,-SUM(DL113:DL114),0)</f>
        <v>0</v>
      </c>
      <c r="DM116" s="242">
        <f>IF(DM$6=Assumptions!$P$8,-SUM(DM113:DM114),0)</f>
        <v>0</v>
      </c>
      <c r="DN116" s="242">
        <f>IF(DN$6=Assumptions!$P$8,-SUM(DN113:DN114),0)</f>
        <v>0</v>
      </c>
      <c r="DO116" s="242">
        <f>IF(DO$6=Assumptions!$P$8,-SUM(DO113:DO114),0)</f>
        <v>0</v>
      </c>
      <c r="DP116" s="242">
        <f>IF(DP$6=Assumptions!$P$8,-SUM(DP113:DP114),0)</f>
        <v>0</v>
      </c>
      <c r="DQ116" s="242">
        <f>IF(DQ$6=Assumptions!$P$8,-SUM(DQ113:DQ114),0)</f>
        <v>0</v>
      </c>
      <c r="DR116" s="242">
        <f>IF(DR$6=Assumptions!$P$8,-SUM(DR113:DR114),0)</f>
        <v>0</v>
      </c>
      <c r="DS116" s="242">
        <f>IF(DS$6=Assumptions!$P$8,-SUM(DS113:DS114),0)</f>
        <v>0</v>
      </c>
      <c r="DT116" s="242">
        <f>IF(DT$6=Assumptions!$P$8,-SUM(DT113:DT114),0)</f>
        <v>0</v>
      </c>
      <c r="DU116" s="242">
        <f>IF(DU$6=Assumptions!$P$8,-SUM(DU113:DU114),0)</f>
        <v>0</v>
      </c>
      <c r="DV116" s="242">
        <f>IF(DV$6=Assumptions!$P$8,-SUM(DV113:DV114),0)</f>
        <v>0</v>
      </c>
      <c r="DW116" s="242">
        <f>IF(DW$6=Assumptions!$P$8,-SUM(DW113:DW114),0)</f>
        <v>0</v>
      </c>
      <c r="DX116" s="242">
        <f>IF(DX$6=Assumptions!$P$8,-SUM(DX113:DX114),0)</f>
        <v>0</v>
      </c>
      <c r="DY116" s="242">
        <f>IF(DY$6=Assumptions!$P$8,-SUM(DY113:DY114),0)</f>
        <v>0</v>
      </c>
      <c r="DZ116" s="242">
        <f>IF(DZ$6=Assumptions!$P$8,-SUM(DZ113:DZ114),0)</f>
        <v>0</v>
      </c>
      <c r="EA116" s="242">
        <f>IF(EA$6=Assumptions!$P$8,-SUM(EA113:EA114),0)</f>
        <v>0</v>
      </c>
      <c r="EB116" s="242">
        <f>IF(EB$6=Assumptions!$P$8,-SUM(EB113:EB114),0)</f>
        <v>0</v>
      </c>
      <c r="EC116" s="242">
        <f>IF(EC$6=Assumptions!$P$8,-SUM(EC113:EC114),0)</f>
        <v>0</v>
      </c>
      <c r="ED116" s="242">
        <f>IF(ED$6=Assumptions!$P$8,-SUM(ED113:ED114),0)</f>
        <v>0</v>
      </c>
      <c r="EE116" s="242">
        <f>IF(EE$6=Assumptions!$P$8,-SUM(EE113:EE114),0)</f>
        <v>0</v>
      </c>
      <c r="EF116" s="242">
        <f>IF(EF$6=Assumptions!$P$8,-SUM(EF113:EF114),0)</f>
        <v>0</v>
      </c>
      <c r="EG116" s="242">
        <f>IF(EG$6=Assumptions!$P$8,-SUM(EG113:EG114),0)</f>
        <v>0</v>
      </c>
      <c r="EH116" s="242">
        <f>IF(EH$6=Assumptions!$P$8,-SUM(EH113:EH114),0)</f>
        <v>0</v>
      </c>
      <c r="EI116" s="242">
        <f>IF(EI$6=Assumptions!$P$8,-SUM(EI113:EI114),0)</f>
        <v>0</v>
      </c>
      <c r="EJ116" s="242">
        <f>IF(EJ$6=Assumptions!$P$8,-SUM(EJ113:EJ114),0)</f>
        <v>0</v>
      </c>
      <c r="EK116" s="242">
        <f>IF(EK$6=Assumptions!$P$8,-SUM(EK113:EK114),0)</f>
        <v>0</v>
      </c>
      <c r="EL116" s="242">
        <f>IF(EL$6=Assumptions!$P$8,-SUM(EL113:EL114),0)</f>
        <v>0</v>
      </c>
      <c r="EM116" s="242">
        <f>IF(EM$6=Assumptions!$P$8,-SUM(EM113:EM114),0)</f>
        <v>0</v>
      </c>
      <c r="EN116" s="242">
        <f>IF(EN$6=Assumptions!$P$8,-SUM(EN113:EN114),0)</f>
        <v>0</v>
      </c>
      <c r="EO116" s="242">
        <f>IF(EO$6=Assumptions!$P$8,-SUM(EO113:EO114),0)</f>
        <v>0</v>
      </c>
      <c r="EP116" s="242">
        <f>IF(EP$6=Assumptions!$P$8,-SUM(EP113:EP114),0)</f>
        <v>0</v>
      </c>
      <c r="EQ116" s="242">
        <f>IF(EQ$6=Assumptions!$P$8,-SUM(EQ113:EQ114),0)</f>
        <v>0</v>
      </c>
      <c r="ER116" s="242">
        <f>IF(ER$6=Assumptions!$P$8,-SUM(ER113:ER114),0)</f>
        <v>0</v>
      </c>
      <c r="ES116" s="242">
        <f>IF(ES$6=Assumptions!$P$8,-SUM(ES113:ES114),0)</f>
        <v>0</v>
      </c>
      <c r="ET116" s="242">
        <f>IF(ET$6=Assumptions!$P$8,-SUM(ET113:ET114),0)</f>
        <v>0</v>
      </c>
    </row>
    <row r="117" spans="2:150" x14ac:dyDescent="0.2">
      <c r="B117" s="98" t="s">
        <v>169</v>
      </c>
      <c r="C117" s="98"/>
      <c r="D117" s="97"/>
      <c r="E117" s="98"/>
      <c r="F117" s="251">
        <f>F113+F114+F116</f>
        <v>1750000</v>
      </c>
      <c r="G117" s="251">
        <f t="shared" ref="G117:BR117" si="1339">G113+G114+G116</f>
        <v>1750000</v>
      </c>
      <c r="H117" s="251">
        <f t="shared" si="1339"/>
        <v>1750000</v>
      </c>
      <c r="I117" s="251">
        <f t="shared" si="1339"/>
        <v>1750000</v>
      </c>
      <c r="J117" s="251">
        <f t="shared" si="1339"/>
        <v>1750000</v>
      </c>
      <c r="K117" s="251">
        <f t="shared" si="1339"/>
        <v>1750000</v>
      </c>
      <c r="L117" s="251">
        <f t="shared" si="1339"/>
        <v>1750000</v>
      </c>
      <c r="M117" s="251">
        <f t="shared" si="1339"/>
        <v>1750000</v>
      </c>
      <c r="N117" s="251">
        <f t="shared" si="1339"/>
        <v>1750000</v>
      </c>
      <c r="O117" s="251">
        <f t="shared" si="1339"/>
        <v>1750000</v>
      </c>
      <c r="P117" s="251">
        <f t="shared" si="1339"/>
        <v>1750000</v>
      </c>
      <c r="Q117" s="251">
        <f t="shared" si="1339"/>
        <v>1750000</v>
      </c>
      <c r="R117" s="251">
        <f t="shared" si="1339"/>
        <v>1750000</v>
      </c>
      <c r="S117" s="251">
        <f t="shared" si="1339"/>
        <v>1750000</v>
      </c>
      <c r="T117" s="251">
        <f t="shared" si="1339"/>
        <v>1750000</v>
      </c>
      <c r="U117" s="251">
        <f t="shared" si="1339"/>
        <v>1750000</v>
      </c>
      <c r="V117" s="251">
        <f t="shared" si="1339"/>
        <v>1750000</v>
      </c>
      <c r="W117" s="251">
        <f t="shared" si="1339"/>
        <v>1750000</v>
      </c>
      <c r="X117" s="251">
        <f t="shared" si="1339"/>
        <v>1750000</v>
      </c>
      <c r="Y117" s="251">
        <f t="shared" si="1339"/>
        <v>1750000</v>
      </c>
      <c r="Z117" s="251">
        <f t="shared" si="1339"/>
        <v>0</v>
      </c>
      <c r="AA117" s="251">
        <f t="shared" si="1339"/>
        <v>0</v>
      </c>
      <c r="AB117" s="251">
        <f t="shared" si="1339"/>
        <v>0</v>
      </c>
      <c r="AC117" s="251">
        <f t="shared" si="1339"/>
        <v>0</v>
      </c>
      <c r="AD117" s="251">
        <f t="shared" si="1339"/>
        <v>0</v>
      </c>
      <c r="AE117" s="251">
        <f t="shared" si="1339"/>
        <v>0</v>
      </c>
      <c r="AF117" s="251">
        <f t="shared" si="1339"/>
        <v>0</v>
      </c>
      <c r="AG117" s="251">
        <f t="shared" si="1339"/>
        <v>0</v>
      </c>
      <c r="AH117" s="251">
        <f t="shared" si="1339"/>
        <v>0</v>
      </c>
      <c r="AI117" s="251">
        <f t="shared" si="1339"/>
        <v>0</v>
      </c>
      <c r="AJ117" s="251">
        <f t="shared" si="1339"/>
        <v>0</v>
      </c>
      <c r="AK117" s="251">
        <f t="shared" si="1339"/>
        <v>0</v>
      </c>
      <c r="AL117" s="251">
        <f t="shared" si="1339"/>
        <v>0</v>
      </c>
      <c r="AM117" s="251">
        <f t="shared" si="1339"/>
        <v>0</v>
      </c>
      <c r="AN117" s="251">
        <f t="shared" si="1339"/>
        <v>0</v>
      </c>
      <c r="AO117" s="251">
        <f t="shared" si="1339"/>
        <v>0</v>
      </c>
      <c r="AP117" s="251">
        <f t="shared" si="1339"/>
        <v>0</v>
      </c>
      <c r="AQ117" s="251">
        <f t="shared" si="1339"/>
        <v>0</v>
      </c>
      <c r="AR117" s="251">
        <f t="shared" si="1339"/>
        <v>0</v>
      </c>
      <c r="AS117" s="251">
        <f t="shared" si="1339"/>
        <v>0</v>
      </c>
      <c r="AT117" s="251">
        <f t="shared" si="1339"/>
        <v>0</v>
      </c>
      <c r="AU117" s="251">
        <f t="shared" si="1339"/>
        <v>0</v>
      </c>
      <c r="AV117" s="251">
        <f t="shared" si="1339"/>
        <v>0</v>
      </c>
      <c r="AW117" s="251">
        <f t="shared" si="1339"/>
        <v>0</v>
      </c>
      <c r="AX117" s="251">
        <f t="shared" si="1339"/>
        <v>0</v>
      </c>
      <c r="AY117" s="251">
        <f t="shared" si="1339"/>
        <v>0</v>
      </c>
      <c r="AZ117" s="251">
        <f t="shared" si="1339"/>
        <v>0</v>
      </c>
      <c r="BA117" s="251">
        <f t="shared" si="1339"/>
        <v>0</v>
      </c>
      <c r="BB117" s="251">
        <f t="shared" si="1339"/>
        <v>0</v>
      </c>
      <c r="BC117" s="251">
        <f t="shared" si="1339"/>
        <v>0</v>
      </c>
      <c r="BD117" s="251">
        <f t="shared" si="1339"/>
        <v>0</v>
      </c>
      <c r="BE117" s="251">
        <f t="shared" si="1339"/>
        <v>0</v>
      </c>
      <c r="BF117" s="251">
        <f t="shared" si="1339"/>
        <v>0</v>
      </c>
      <c r="BG117" s="251">
        <f t="shared" si="1339"/>
        <v>0</v>
      </c>
      <c r="BH117" s="251">
        <f t="shared" si="1339"/>
        <v>0</v>
      </c>
      <c r="BI117" s="251">
        <f t="shared" si="1339"/>
        <v>0</v>
      </c>
      <c r="BJ117" s="251">
        <f t="shared" si="1339"/>
        <v>0</v>
      </c>
      <c r="BK117" s="251">
        <f t="shared" si="1339"/>
        <v>0</v>
      </c>
      <c r="BL117" s="251">
        <f t="shared" si="1339"/>
        <v>0</v>
      </c>
      <c r="BM117" s="251">
        <f t="shared" si="1339"/>
        <v>0</v>
      </c>
      <c r="BN117" s="251">
        <f t="shared" si="1339"/>
        <v>0</v>
      </c>
      <c r="BO117" s="251">
        <f t="shared" si="1339"/>
        <v>0</v>
      </c>
      <c r="BP117" s="251">
        <f t="shared" si="1339"/>
        <v>0</v>
      </c>
      <c r="BQ117" s="251">
        <f t="shared" si="1339"/>
        <v>0</v>
      </c>
      <c r="BR117" s="251">
        <f t="shared" si="1339"/>
        <v>0</v>
      </c>
      <c r="BS117" s="251">
        <f t="shared" ref="BS117:BZ117" si="1340">BS113+BS114+BS116</f>
        <v>0</v>
      </c>
      <c r="BT117" s="251">
        <f t="shared" si="1340"/>
        <v>0</v>
      </c>
      <c r="BU117" s="251">
        <f t="shared" si="1340"/>
        <v>0</v>
      </c>
      <c r="BV117" s="251">
        <f t="shared" si="1340"/>
        <v>0</v>
      </c>
      <c r="BW117" s="251">
        <f t="shared" si="1340"/>
        <v>0</v>
      </c>
      <c r="BX117" s="251">
        <f t="shared" si="1340"/>
        <v>0</v>
      </c>
      <c r="BY117" s="251">
        <f t="shared" si="1340"/>
        <v>0</v>
      </c>
      <c r="BZ117" s="251">
        <f t="shared" si="1340"/>
        <v>0</v>
      </c>
      <c r="CA117" s="251">
        <f t="shared" ref="CA117:EL117" si="1341">CA113+CA114+CA116</f>
        <v>0</v>
      </c>
      <c r="CB117" s="251">
        <f t="shared" si="1341"/>
        <v>0</v>
      </c>
      <c r="CC117" s="251">
        <f t="shared" si="1341"/>
        <v>0</v>
      </c>
      <c r="CD117" s="251">
        <f t="shared" si="1341"/>
        <v>0</v>
      </c>
      <c r="CE117" s="251">
        <f t="shared" si="1341"/>
        <v>0</v>
      </c>
      <c r="CF117" s="251">
        <f t="shared" si="1341"/>
        <v>0</v>
      </c>
      <c r="CG117" s="251">
        <f t="shared" si="1341"/>
        <v>0</v>
      </c>
      <c r="CH117" s="251">
        <f t="shared" si="1341"/>
        <v>0</v>
      </c>
      <c r="CI117" s="251">
        <f t="shared" si="1341"/>
        <v>0</v>
      </c>
      <c r="CJ117" s="251">
        <f t="shared" si="1341"/>
        <v>0</v>
      </c>
      <c r="CK117" s="251">
        <f t="shared" si="1341"/>
        <v>0</v>
      </c>
      <c r="CL117" s="251">
        <f t="shared" si="1341"/>
        <v>0</v>
      </c>
      <c r="CM117" s="251">
        <f t="shared" si="1341"/>
        <v>0</v>
      </c>
      <c r="CN117" s="251">
        <f t="shared" si="1341"/>
        <v>0</v>
      </c>
      <c r="CO117" s="251">
        <f t="shared" si="1341"/>
        <v>0</v>
      </c>
      <c r="CP117" s="251">
        <f t="shared" si="1341"/>
        <v>0</v>
      </c>
      <c r="CQ117" s="251">
        <f t="shared" si="1341"/>
        <v>0</v>
      </c>
      <c r="CR117" s="251">
        <f t="shared" si="1341"/>
        <v>0</v>
      </c>
      <c r="CS117" s="251">
        <f t="shared" si="1341"/>
        <v>0</v>
      </c>
      <c r="CT117" s="251">
        <f t="shared" si="1341"/>
        <v>0</v>
      </c>
      <c r="CU117" s="251">
        <f t="shared" si="1341"/>
        <v>0</v>
      </c>
      <c r="CV117" s="251">
        <f t="shared" si="1341"/>
        <v>0</v>
      </c>
      <c r="CW117" s="251">
        <f t="shared" si="1341"/>
        <v>0</v>
      </c>
      <c r="CX117" s="251">
        <f t="shared" si="1341"/>
        <v>0</v>
      </c>
      <c r="CY117" s="251">
        <f t="shared" si="1341"/>
        <v>0</v>
      </c>
      <c r="CZ117" s="251">
        <f t="shared" si="1341"/>
        <v>0</v>
      </c>
      <c r="DA117" s="251">
        <f t="shared" si="1341"/>
        <v>0</v>
      </c>
      <c r="DB117" s="251">
        <f t="shared" si="1341"/>
        <v>0</v>
      </c>
      <c r="DC117" s="251">
        <f t="shared" si="1341"/>
        <v>0</v>
      </c>
      <c r="DD117" s="251">
        <f t="shared" si="1341"/>
        <v>0</v>
      </c>
      <c r="DE117" s="251">
        <f t="shared" si="1341"/>
        <v>0</v>
      </c>
      <c r="DF117" s="251">
        <f t="shared" si="1341"/>
        <v>0</v>
      </c>
      <c r="DG117" s="251">
        <f t="shared" si="1341"/>
        <v>0</v>
      </c>
      <c r="DH117" s="251">
        <f t="shared" si="1341"/>
        <v>0</v>
      </c>
      <c r="DI117" s="251">
        <f t="shared" si="1341"/>
        <v>0</v>
      </c>
      <c r="DJ117" s="251">
        <f t="shared" si="1341"/>
        <v>0</v>
      </c>
      <c r="DK117" s="251">
        <f t="shared" si="1341"/>
        <v>0</v>
      </c>
      <c r="DL117" s="251">
        <f t="shared" si="1341"/>
        <v>0</v>
      </c>
      <c r="DM117" s="251">
        <f t="shared" si="1341"/>
        <v>0</v>
      </c>
      <c r="DN117" s="251">
        <f t="shared" si="1341"/>
        <v>0</v>
      </c>
      <c r="DO117" s="251">
        <f t="shared" si="1341"/>
        <v>0</v>
      </c>
      <c r="DP117" s="251">
        <f t="shared" si="1341"/>
        <v>0</v>
      </c>
      <c r="DQ117" s="251">
        <f t="shared" si="1341"/>
        <v>0</v>
      </c>
      <c r="DR117" s="251">
        <f t="shared" si="1341"/>
        <v>0</v>
      </c>
      <c r="DS117" s="251">
        <f t="shared" si="1341"/>
        <v>0</v>
      </c>
      <c r="DT117" s="251">
        <f t="shared" si="1341"/>
        <v>0</v>
      </c>
      <c r="DU117" s="251">
        <f t="shared" si="1341"/>
        <v>0</v>
      </c>
      <c r="DV117" s="251">
        <f t="shared" si="1341"/>
        <v>0</v>
      </c>
      <c r="DW117" s="251">
        <f t="shared" si="1341"/>
        <v>0</v>
      </c>
      <c r="DX117" s="251">
        <f t="shared" si="1341"/>
        <v>0</v>
      </c>
      <c r="DY117" s="251">
        <f t="shared" si="1341"/>
        <v>0</v>
      </c>
      <c r="DZ117" s="251">
        <f t="shared" si="1341"/>
        <v>0</v>
      </c>
      <c r="EA117" s="251">
        <f t="shared" si="1341"/>
        <v>0</v>
      </c>
      <c r="EB117" s="251">
        <f t="shared" si="1341"/>
        <v>0</v>
      </c>
      <c r="EC117" s="251">
        <f t="shared" si="1341"/>
        <v>0</v>
      </c>
      <c r="ED117" s="251">
        <f t="shared" si="1341"/>
        <v>0</v>
      </c>
      <c r="EE117" s="251">
        <f t="shared" si="1341"/>
        <v>0</v>
      </c>
      <c r="EF117" s="251">
        <f t="shared" si="1341"/>
        <v>0</v>
      </c>
      <c r="EG117" s="251">
        <f t="shared" si="1341"/>
        <v>0</v>
      </c>
      <c r="EH117" s="251">
        <f t="shared" si="1341"/>
        <v>0</v>
      </c>
      <c r="EI117" s="251">
        <f t="shared" si="1341"/>
        <v>0</v>
      </c>
      <c r="EJ117" s="251">
        <f t="shared" si="1341"/>
        <v>0</v>
      </c>
      <c r="EK117" s="251">
        <f t="shared" si="1341"/>
        <v>0</v>
      </c>
      <c r="EL117" s="251">
        <f t="shared" si="1341"/>
        <v>0</v>
      </c>
      <c r="EM117" s="251">
        <f t="shared" ref="EM117:ET117" si="1342">EM113+EM114+EM116</f>
        <v>0</v>
      </c>
      <c r="EN117" s="251">
        <f t="shared" si="1342"/>
        <v>0</v>
      </c>
      <c r="EO117" s="251">
        <f t="shared" si="1342"/>
        <v>0</v>
      </c>
      <c r="EP117" s="251">
        <f t="shared" si="1342"/>
        <v>0</v>
      </c>
      <c r="EQ117" s="251">
        <f t="shared" si="1342"/>
        <v>0</v>
      </c>
      <c r="ER117" s="251">
        <f t="shared" si="1342"/>
        <v>0</v>
      </c>
      <c r="ES117" s="251">
        <f t="shared" si="1342"/>
        <v>0</v>
      </c>
      <c r="ET117" s="251">
        <f t="shared" si="1342"/>
        <v>0</v>
      </c>
    </row>
    <row r="118" spans="2:150" x14ac:dyDescent="0.2"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</row>
    <row r="119" spans="2:150" x14ac:dyDescent="0.2">
      <c r="B119" s="83" t="s">
        <v>173</v>
      </c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</row>
    <row r="120" spans="2:150" x14ac:dyDescent="0.2">
      <c r="B120" t="s">
        <v>167</v>
      </c>
      <c r="F120" s="242">
        <f>E128</f>
        <v>0</v>
      </c>
      <c r="G120" s="242">
        <f t="shared" ref="G120:BR120" ca="1" si="1343">F128</f>
        <v>0</v>
      </c>
      <c r="H120" s="242">
        <f t="shared" ca="1" si="1343"/>
        <v>0</v>
      </c>
      <c r="I120" s="242">
        <f t="shared" ca="1" si="1343"/>
        <v>0</v>
      </c>
      <c r="J120" s="242">
        <f t="shared" ca="1" si="1343"/>
        <v>0</v>
      </c>
      <c r="K120" s="242">
        <f t="shared" ca="1" si="1343"/>
        <v>0</v>
      </c>
      <c r="L120" s="242">
        <f t="shared" ca="1" si="1343"/>
        <v>0</v>
      </c>
      <c r="M120" s="242">
        <f t="shared" ca="1" si="1343"/>
        <v>0</v>
      </c>
      <c r="N120" s="242">
        <f t="shared" ca="1" si="1343"/>
        <v>0</v>
      </c>
      <c r="O120" s="242">
        <f t="shared" ca="1" si="1343"/>
        <v>0</v>
      </c>
      <c r="P120" s="242">
        <f t="shared" ca="1" si="1343"/>
        <v>0</v>
      </c>
      <c r="Q120" s="242">
        <f t="shared" ca="1" si="1343"/>
        <v>0</v>
      </c>
      <c r="R120" s="242">
        <f t="shared" ca="1" si="1343"/>
        <v>0</v>
      </c>
      <c r="S120" s="242">
        <f t="shared" ca="1" si="1343"/>
        <v>0</v>
      </c>
      <c r="T120" s="242">
        <f t="shared" ca="1" si="1343"/>
        <v>0</v>
      </c>
      <c r="U120" s="242">
        <f t="shared" ca="1" si="1343"/>
        <v>0</v>
      </c>
      <c r="V120" s="242">
        <f t="shared" ca="1" si="1343"/>
        <v>0</v>
      </c>
      <c r="W120" s="242">
        <f t="shared" ca="1" si="1343"/>
        <v>0</v>
      </c>
      <c r="X120" s="242">
        <f t="shared" ca="1" si="1343"/>
        <v>0</v>
      </c>
      <c r="Y120" s="242">
        <f t="shared" ca="1" si="1343"/>
        <v>1309346.014122277</v>
      </c>
      <c r="Z120" s="242">
        <f t="shared" ca="1" si="1343"/>
        <v>2426580.286503776</v>
      </c>
      <c r="AA120" s="242">
        <f t="shared" ca="1" si="1343"/>
        <v>5300797.2730877455</v>
      </c>
      <c r="AB120" s="242">
        <f t="shared" ca="1" si="1343"/>
        <v>6434228.1158379465</v>
      </c>
      <c r="AC120" s="242">
        <f t="shared" ca="1" si="1343"/>
        <v>7574742.9013554268</v>
      </c>
      <c r="AD120" s="242">
        <f t="shared" ca="1" si="1343"/>
        <v>8722385.9042824805</v>
      </c>
      <c r="AE120" s="242">
        <f t="shared" ca="1" si="1343"/>
        <v>9877201.6759779193</v>
      </c>
      <c r="AF120" s="242">
        <f t="shared" ca="1" si="1343"/>
        <v>11039235.046246536</v>
      </c>
      <c r="AG120" s="242">
        <f t="shared" ca="1" si="1343"/>
        <v>12208531.125079425</v>
      </c>
      <c r="AH120" s="242">
        <f t="shared" ca="1" si="1343"/>
        <v>13385135.304405104</v>
      </c>
      <c r="AI120" s="242">
        <f t="shared" ca="1" si="1343"/>
        <v>14569093.259851657</v>
      </c>
      <c r="AJ120" s="242">
        <f t="shared" ca="1" si="1343"/>
        <v>15760450.952519834</v>
      </c>
      <c r="AK120" s="242">
        <f t="shared" ca="1" si="1343"/>
        <v>16959254.630767278</v>
      </c>
      <c r="AL120" s="242">
        <f t="shared" ca="1" si="1343"/>
        <v>18165550.832003832</v>
      </c>
      <c r="AM120" s="242">
        <f t="shared" ca="1" si="1343"/>
        <v>19379386.384498205</v>
      </c>
      <c r="AN120" s="242">
        <f t="shared" ca="1" si="1343"/>
        <v>20600808.409195725</v>
      </c>
      <c r="AO120" s="242">
        <f t="shared" ca="1" si="1343"/>
        <v>21829864.321547672</v>
      </c>
      <c r="AP120" s="242">
        <f ca="1">AO128</f>
        <v>21965251.30963989</v>
      </c>
      <c r="AQ120" s="242">
        <f t="shared" ca="1" si="1343"/>
        <v>22083549.222079463</v>
      </c>
      <c r="AR120" s="242">
        <f t="shared" ca="1" si="1343"/>
        <v>22177034.029040642</v>
      </c>
      <c r="AS120" s="242">
        <f t="shared" ca="1" si="1343"/>
        <v>22252999.408614196</v>
      </c>
      <c r="AT120" s="242">
        <f t="shared" ca="1" si="1343"/>
        <v>22312499.510378934</v>
      </c>
      <c r="AU120" s="242">
        <f t="shared" ca="1" si="1343"/>
        <v>22356013.249348544</v>
      </c>
      <c r="AV120" s="242">
        <f t="shared" ca="1" si="1343"/>
        <v>22383440.710755534</v>
      </c>
      <c r="AW120" s="242">
        <f t="shared" ca="1" si="1343"/>
        <v>22396912.024242111</v>
      </c>
      <c r="AX120" s="242">
        <f t="shared" ca="1" si="1343"/>
        <v>22410467.533437915</v>
      </c>
      <c r="AY120" s="242">
        <f t="shared" ca="1" si="1343"/>
        <v>22424107.764566142</v>
      </c>
      <c r="AZ120" s="242">
        <f t="shared" ca="1" si="1343"/>
        <v>22437833.247138817</v>
      </c>
      <c r="BA120" s="242">
        <f t="shared" ca="1" si="1343"/>
        <v>22451644.513977479</v>
      </c>
      <c r="BB120" s="242">
        <f t="shared" ca="1" si="1343"/>
        <v>22465480.727008745</v>
      </c>
      <c r="BC120" s="242">
        <f t="shared" ca="1" si="1343"/>
        <v>22474591.035756774</v>
      </c>
      <c r="BD120" s="242">
        <f t="shared" ca="1" si="1343"/>
        <v>22483758.283934303</v>
      </c>
      <c r="BE120" s="242">
        <f t="shared" ca="1" si="1343"/>
        <v>22492982.827412706</v>
      </c>
      <c r="BF120" s="242">
        <f t="shared" ca="1" si="1343"/>
        <v>22502265.024287608</v>
      </c>
      <c r="BG120" s="242">
        <f t="shared" ca="1" si="1343"/>
        <v>22511605.234892681</v>
      </c>
      <c r="BH120" s="242">
        <f t="shared" ca="1" si="1343"/>
        <v>22521003.821813703</v>
      </c>
      <c r="BI120" s="242">
        <f t="shared" ca="1" si="1343"/>
        <v>22530461.149902612</v>
      </c>
      <c r="BJ120" s="242">
        <f t="shared" ca="1" si="1343"/>
        <v>22539977.586291663</v>
      </c>
      <c r="BK120" s="242">
        <f t="shared" ca="1" si="1343"/>
        <v>22549553.500407696</v>
      </c>
      <c r="BL120" s="242">
        <f t="shared" ca="1" si="1343"/>
        <v>22559189.263986446</v>
      </c>
      <c r="BM120" s="242">
        <f t="shared" ca="1" si="1343"/>
        <v>22568885.251087002</v>
      </c>
      <c r="BN120" s="242">
        <f t="shared" ca="1" si="1343"/>
        <v>22578578.622654572</v>
      </c>
      <c r="BO120" s="242">
        <f t="shared" ca="1" si="1343"/>
        <v>22583375.825760853</v>
      </c>
      <c r="BP120" s="242">
        <f t="shared" ca="1" si="1343"/>
        <v>22588203.011385795</v>
      </c>
      <c r="BQ120" s="242">
        <f t="shared" ca="1" si="1343"/>
        <v>22593060.366920117</v>
      </c>
      <c r="BR120" s="242">
        <f t="shared" ca="1" si="1343"/>
        <v>22597948.080925692</v>
      </c>
      <c r="BS120" s="242">
        <f t="shared" ref="BS120:BZ120" ca="1" si="1344">BR128</f>
        <v>22602866.343142893</v>
      </c>
      <c r="BT120" s="242">
        <f t="shared" ca="1" si="1344"/>
        <v>22607815.344497956</v>
      </c>
      <c r="BU120" s="242">
        <f t="shared" ca="1" si="1344"/>
        <v>22612795.277110446</v>
      </c>
      <c r="BV120" s="242">
        <f t="shared" ca="1" si="1344"/>
        <v>22617806.334300667</v>
      </c>
      <c r="BW120" s="242">
        <f t="shared" ca="1" si="1344"/>
        <v>22622848.710597117</v>
      </c>
      <c r="BX120" s="242">
        <f t="shared" ca="1" si="1344"/>
        <v>22627922.601744156</v>
      </c>
      <c r="BY120" s="242">
        <f t="shared" ca="1" si="1344"/>
        <v>22633028.204709541</v>
      </c>
      <c r="BZ120" s="242">
        <f t="shared" ca="1" si="1344"/>
        <v>22638100.605523624</v>
      </c>
      <c r="CA120" s="242">
        <f t="shared" ref="CA120" ca="1" si="1345">BZ128</f>
        <v>22638100.605520461</v>
      </c>
      <c r="CB120" s="242">
        <f t="shared" ref="CB120" ca="1" si="1346">CA128</f>
        <v>22638100.605518229</v>
      </c>
      <c r="CC120" s="242">
        <f t="shared" ref="CC120" ca="1" si="1347">CB128</f>
        <v>22638100.605517045</v>
      </c>
      <c r="CD120" s="242">
        <f t="shared" ref="CD120" ca="1" si="1348">CC128</f>
        <v>22638100.605517026</v>
      </c>
      <c r="CE120" s="242">
        <f t="shared" ref="CE120" ca="1" si="1349">CD128</f>
        <v>22638100.605518244</v>
      </c>
      <c r="CF120" s="242">
        <f t="shared" ref="CF120" ca="1" si="1350">CE128</f>
        <v>22638100.605520859</v>
      </c>
      <c r="CG120" s="242">
        <f t="shared" ref="CG120" ca="1" si="1351">CF128</f>
        <v>22638100.605524942</v>
      </c>
      <c r="CH120" s="242">
        <f t="shared" ref="CH120" ca="1" si="1352">CG128</f>
        <v>22638100.605530642</v>
      </c>
      <c r="CI120" s="242">
        <f t="shared" ref="CI120" ca="1" si="1353">CH128</f>
        <v>22638100.605538096</v>
      </c>
      <c r="CJ120" s="242">
        <f t="shared" ref="CJ120" ca="1" si="1354">CI128</f>
        <v>22638100.605547443</v>
      </c>
      <c r="CK120" s="242">
        <f t="shared" ref="CK120" ca="1" si="1355">CJ128</f>
        <v>22638100.605516288</v>
      </c>
      <c r="CL120" s="242">
        <f t="shared" ref="CL120" ca="1" si="1356">CK128</f>
        <v>0</v>
      </c>
      <c r="CM120" s="242">
        <f t="shared" ref="CM120" ca="1" si="1357">CL128</f>
        <v>0</v>
      </c>
      <c r="CN120" s="242">
        <f t="shared" ref="CN120" ca="1" si="1358">CM128</f>
        <v>0</v>
      </c>
      <c r="CO120" s="242">
        <f t="shared" ref="CO120" ca="1" si="1359">CN128</f>
        <v>0</v>
      </c>
      <c r="CP120" s="242">
        <f t="shared" ref="CP120" ca="1" si="1360">CO128</f>
        <v>0</v>
      </c>
      <c r="CQ120" s="242">
        <f t="shared" ref="CQ120" ca="1" si="1361">CP128</f>
        <v>0</v>
      </c>
      <c r="CR120" s="242">
        <f t="shared" ref="CR120" ca="1" si="1362">CQ128</f>
        <v>0</v>
      </c>
      <c r="CS120" s="242">
        <f t="shared" ref="CS120" ca="1" si="1363">CR128</f>
        <v>0</v>
      </c>
      <c r="CT120" s="242">
        <f t="shared" ref="CT120" ca="1" si="1364">CS128</f>
        <v>0</v>
      </c>
      <c r="CU120" s="242">
        <f t="shared" ref="CU120" ca="1" si="1365">CT128</f>
        <v>0</v>
      </c>
      <c r="CV120" s="242">
        <f t="shared" ref="CV120" ca="1" si="1366">CU128</f>
        <v>0</v>
      </c>
      <c r="CW120" s="242">
        <f t="shared" ref="CW120" ca="1" si="1367">CV128</f>
        <v>0</v>
      </c>
      <c r="CX120" s="242">
        <f t="shared" ref="CX120" ca="1" si="1368">CW128</f>
        <v>0</v>
      </c>
      <c r="CY120" s="242">
        <f t="shared" ref="CY120" ca="1" si="1369">CX128</f>
        <v>0</v>
      </c>
      <c r="CZ120" s="242">
        <f t="shared" ref="CZ120" ca="1" si="1370">CY128</f>
        <v>0</v>
      </c>
      <c r="DA120" s="242">
        <f t="shared" ref="DA120" ca="1" si="1371">CZ128</f>
        <v>0</v>
      </c>
      <c r="DB120" s="242">
        <f t="shared" ref="DB120" ca="1" si="1372">DA128</f>
        <v>0</v>
      </c>
      <c r="DC120" s="242">
        <f t="shared" ref="DC120" ca="1" si="1373">DB128</f>
        <v>0</v>
      </c>
      <c r="DD120" s="242">
        <f t="shared" ref="DD120" ca="1" si="1374">DC128</f>
        <v>0</v>
      </c>
      <c r="DE120" s="242">
        <f t="shared" ref="DE120" ca="1" si="1375">DD128</f>
        <v>0</v>
      </c>
      <c r="DF120" s="242">
        <f t="shared" ref="DF120" ca="1" si="1376">DE128</f>
        <v>0</v>
      </c>
      <c r="DG120" s="242">
        <f t="shared" ref="DG120" ca="1" si="1377">DF128</f>
        <v>0</v>
      </c>
      <c r="DH120" s="242">
        <f t="shared" ref="DH120" ca="1" si="1378">DG128</f>
        <v>0</v>
      </c>
      <c r="DI120" s="242">
        <f t="shared" ref="DI120" ca="1" si="1379">DH128</f>
        <v>0</v>
      </c>
      <c r="DJ120" s="242">
        <f t="shared" ref="DJ120" ca="1" si="1380">DI128</f>
        <v>0</v>
      </c>
      <c r="DK120" s="242">
        <f t="shared" ref="DK120" ca="1" si="1381">DJ128</f>
        <v>0</v>
      </c>
      <c r="DL120" s="242">
        <f t="shared" ref="DL120" ca="1" si="1382">DK128</f>
        <v>0</v>
      </c>
      <c r="DM120" s="242">
        <f t="shared" ref="DM120" ca="1" si="1383">DL128</f>
        <v>0</v>
      </c>
      <c r="DN120" s="242">
        <f t="shared" ref="DN120" ca="1" si="1384">DM128</f>
        <v>0</v>
      </c>
      <c r="DO120" s="242">
        <f t="shared" ref="DO120" ca="1" si="1385">DN128</f>
        <v>0</v>
      </c>
      <c r="DP120" s="242">
        <f t="shared" ref="DP120" ca="1" si="1386">DO128</f>
        <v>0</v>
      </c>
      <c r="DQ120" s="242">
        <f t="shared" ref="DQ120" ca="1" si="1387">DP128</f>
        <v>0</v>
      </c>
      <c r="DR120" s="242">
        <f t="shared" ref="DR120" ca="1" si="1388">DQ128</f>
        <v>0</v>
      </c>
      <c r="DS120" s="242">
        <f t="shared" ref="DS120" ca="1" si="1389">DR128</f>
        <v>0</v>
      </c>
      <c r="DT120" s="242">
        <f t="shared" ref="DT120" ca="1" si="1390">DS128</f>
        <v>0</v>
      </c>
      <c r="DU120" s="242">
        <f t="shared" ref="DU120" ca="1" si="1391">DT128</f>
        <v>0</v>
      </c>
      <c r="DV120" s="242">
        <f t="shared" ref="DV120" ca="1" si="1392">DU128</f>
        <v>0</v>
      </c>
      <c r="DW120" s="242">
        <f t="shared" ref="DW120" ca="1" si="1393">DV128</f>
        <v>0</v>
      </c>
      <c r="DX120" s="242">
        <f t="shared" ref="DX120" ca="1" si="1394">DW128</f>
        <v>0</v>
      </c>
      <c r="DY120" s="242">
        <f t="shared" ref="DY120" ca="1" si="1395">DX128</f>
        <v>0</v>
      </c>
      <c r="DZ120" s="242">
        <f t="shared" ref="DZ120" ca="1" si="1396">DY128</f>
        <v>0</v>
      </c>
      <c r="EA120" s="242">
        <f t="shared" ref="EA120" ca="1" si="1397">DZ128</f>
        <v>0</v>
      </c>
      <c r="EB120" s="242">
        <f t="shared" ref="EB120" ca="1" si="1398">EA128</f>
        <v>0</v>
      </c>
      <c r="EC120" s="242">
        <f t="shared" ref="EC120" ca="1" si="1399">EB128</f>
        <v>0</v>
      </c>
      <c r="ED120" s="242">
        <f t="shared" ref="ED120" ca="1" si="1400">EC128</f>
        <v>0</v>
      </c>
      <c r="EE120" s="242">
        <f t="shared" ref="EE120" ca="1" si="1401">ED128</f>
        <v>0</v>
      </c>
      <c r="EF120" s="242">
        <f t="shared" ref="EF120" ca="1" si="1402">EE128</f>
        <v>0</v>
      </c>
      <c r="EG120" s="242">
        <f t="shared" ref="EG120" ca="1" si="1403">EF128</f>
        <v>0</v>
      </c>
      <c r="EH120" s="242">
        <f t="shared" ref="EH120" ca="1" si="1404">EG128</f>
        <v>0</v>
      </c>
      <c r="EI120" s="242">
        <f t="shared" ref="EI120" ca="1" si="1405">EH128</f>
        <v>0</v>
      </c>
      <c r="EJ120" s="242">
        <f t="shared" ref="EJ120" ca="1" si="1406">EI128</f>
        <v>0</v>
      </c>
      <c r="EK120" s="242">
        <f t="shared" ref="EK120" ca="1" si="1407">EJ128</f>
        <v>0</v>
      </c>
      <c r="EL120" s="242">
        <f t="shared" ref="EL120" ca="1" si="1408">EK128</f>
        <v>0</v>
      </c>
      <c r="EM120" s="242">
        <f t="shared" ref="EM120" ca="1" si="1409">EL128</f>
        <v>0</v>
      </c>
      <c r="EN120" s="242">
        <f t="shared" ref="EN120" ca="1" si="1410">EM128</f>
        <v>0</v>
      </c>
      <c r="EO120" s="242">
        <f t="shared" ref="EO120" ca="1" si="1411">EN128</f>
        <v>0</v>
      </c>
      <c r="EP120" s="242">
        <f t="shared" ref="EP120" ca="1" si="1412">EO128</f>
        <v>0</v>
      </c>
      <c r="EQ120" s="242">
        <f t="shared" ref="EQ120" ca="1" si="1413">EP128</f>
        <v>0</v>
      </c>
      <c r="ER120" s="242">
        <f t="shared" ref="ER120" ca="1" si="1414">EQ128</f>
        <v>0</v>
      </c>
      <c r="ES120" s="242">
        <f t="shared" ref="ES120" ca="1" si="1415">ER128</f>
        <v>0</v>
      </c>
      <c r="ET120" s="242">
        <f t="shared" ref="ET120" ca="1" si="1416">ES128</f>
        <v>0</v>
      </c>
    </row>
    <row r="121" spans="2:150" x14ac:dyDescent="0.2">
      <c r="B121" t="s">
        <v>171</v>
      </c>
      <c r="F121" s="242">
        <f>-F116</f>
        <v>0</v>
      </c>
      <c r="G121" s="242">
        <f t="shared" ref="G121:BR121" si="1417">-G116</f>
        <v>0</v>
      </c>
      <c r="H121" s="242">
        <f t="shared" si="1417"/>
        <v>0</v>
      </c>
      <c r="I121" s="242">
        <f t="shared" si="1417"/>
        <v>0</v>
      </c>
      <c r="J121" s="242">
        <f t="shared" si="1417"/>
        <v>0</v>
      </c>
      <c r="K121" s="242">
        <f t="shared" si="1417"/>
        <v>0</v>
      </c>
      <c r="L121" s="242">
        <f t="shared" si="1417"/>
        <v>0</v>
      </c>
      <c r="M121" s="242">
        <f t="shared" si="1417"/>
        <v>0</v>
      </c>
      <c r="N121" s="242">
        <f t="shared" si="1417"/>
        <v>0</v>
      </c>
      <c r="O121" s="242">
        <f t="shared" si="1417"/>
        <v>0</v>
      </c>
      <c r="P121" s="242">
        <f t="shared" si="1417"/>
        <v>0</v>
      </c>
      <c r="Q121" s="242">
        <f t="shared" si="1417"/>
        <v>0</v>
      </c>
      <c r="R121" s="242">
        <f t="shared" si="1417"/>
        <v>0</v>
      </c>
      <c r="S121" s="242">
        <f t="shared" si="1417"/>
        <v>0</v>
      </c>
      <c r="T121" s="242">
        <f t="shared" si="1417"/>
        <v>0</v>
      </c>
      <c r="U121" s="242">
        <f t="shared" si="1417"/>
        <v>0</v>
      </c>
      <c r="V121" s="242">
        <f t="shared" si="1417"/>
        <v>0</v>
      </c>
      <c r="W121" s="242">
        <f t="shared" si="1417"/>
        <v>0</v>
      </c>
      <c r="X121" s="242">
        <f t="shared" si="1417"/>
        <v>0</v>
      </c>
      <c r="Y121" s="242">
        <f t="shared" si="1417"/>
        <v>0</v>
      </c>
      <c r="Z121" s="242">
        <f t="shared" si="1417"/>
        <v>1750000</v>
      </c>
      <c r="AA121" s="242">
        <f t="shared" si="1417"/>
        <v>0</v>
      </c>
      <c r="AB121" s="242">
        <f t="shared" si="1417"/>
        <v>0</v>
      </c>
      <c r="AC121" s="242">
        <f t="shared" si="1417"/>
        <v>0</v>
      </c>
      <c r="AD121" s="242">
        <f t="shared" si="1417"/>
        <v>0</v>
      </c>
      <c r="AE121" s="242">
        <f t="shared" si="1417"/>
        <v>0</v>
      </c>
      <c r="AF121" s="242">
        <f t="shared" si="1417"/>
        <v>0</v>
      </c>
      <c r="AG121" s="242">
        <f t="shared" si="1417"/>
        <v>0</v>
      </c>
      <c r="AH121" s="242">
        <f t="shared" si="1417"/>
        <v>0</v>
      </c>
      <c r="AI121" s="242">
        <f t="shared" si="1417"/>
        <v>0</v>
      </c>
      <c r="AJ121" s="242">
        <f t="shared" si="1417"/>
        <v>0</v>
      </c>
      <c r="AK121" s="242">
        <f t="shared" si="1417"/>
        <v>0</v>
      </c>
      <c r="AL121" s="242">
        <f t="shared" si="1417"/>
        <v>0</v>
      </c>
      <c r="AM121" s="242">
        <f t="shared" si="1417"/>
        <v>0</v>
      </c>
      <c r="AN121" s="242">
        <f t="shared" si="1417"/>
        <v>0</v>
      </c>
      <c r="AO121" s="242">
        <f t="shared" si="1417"/>
        <v>0</v>
      </c>
      <c r="AP121" s="242">
        <f t="shared" si="1417"/>
        <v>0</v>
      </c>
      <c r="AQ121" s="242">
        <f t="shared" si="1417"/>
        <v>0</v>
      </c>
      <c r="AR121" s="242">
        <f t="shared" si="1417"/>
        <v>0</v>
      </c>
      <c r="AS121" s="242">
        <f t="shared" si="1417"/>
        <v>0</v>
      </c>
      <c r="AT121" s="242">
        <f t="shared" si="1417"/>
        <v>0</v>
      </c>
      <c r="AU121" s="242">
        <f t="shared" si="1417"/>
        <v>0</v>
      </c>
      <c r="AV121" s="242">
        <f t="shared" si="1417"/>
        <v>0</v>
      </c>
      <c r="AW121" s="242">
        <f t="shared" si="1417"/>
        <v>0</v>
      </c>
      <c r="AX121" s="242">
        <f t="shared" si="1417"/>
        <v>0</v>
      </c>
      <c r="AY121" s="242">
        <f t="shared" si="1417"/>
        <v>0</v>
      </c>
      <c r="AZ121" s="242">
        <f t="shared" si="1417"/>
        <v>0</v>
      </c>
      <c r="BA121" s="242">
        <f t="shared" si="1417"/>
        <v>0</v>
      </c>
      <c r="BB121" s="242">
        <f t="shared" si="1417"/>
        <v>0</v>
      </c>
      <c r="BC121" s="242">
        <f t="shared" si="1417"/>
        <v>0</v>
      </c>
      <c r="BD121" s="242">
        <f t="shared" si="1417"/>
        <v>0</v>
      </c>
      <c r="BE121" s="242">
        <f t="shared" si="1417"/>
        <v>0</v>
      </c>
      <c r="BF121" s="242">
        <f t="shared" si="1417"/>
        <v>0</v>
      </c>
      <c r="BG121" s="242">
        <f t="shared" si="1417"/>
        <v>0</v>
      </c>
      <c r="BH121" s="242">
        <f t="shared" si="1417"/>
        <v>0</v>
      </c>
      <c r="BI121" s="242">
        <f t="shared" si="1417"/>
        <v>0</v>
      </c>
      <c r="BJ121" s="242">
        <f t="shared" si="1417"/>
        <v>0</v>
      </c>
      <c r="BK121" s="242">
        <f t="shared" si="1417"/>
        <v>0</v>
      </c>
      <c r="BL121" s="242">
        <f t="shared" si="1417"/>
        <v>0</v>
      </c>
      <c r="BM121" s="242">
        <f t="shared" si="1417"/>
        <v>0</v>
      </c>
      <c r="BN121" s="242">
        <f t="shared" si="1417"/>
        <v>0</v>
      </c>
      <c r="BO121" s="242">
        <f t="shared" si="1417"/>
        <v>0</v>
      </c>
      <c r="BP121" s="242">
        <f t="shared" si="1417"/>
        <v>0</v>
      </c>
      <c r="BQ121" s="242">
        <f t="shared" si="1417"/>
        <v>0</v>
      </c>
      <c r="BR121" s="242">
        <f t="shared" si="1417"/>
        <v>0</v>
      </c>
      <c r="BS121" s="242">
        <f t="shared" ref="BS121:BZ121" si="1418">-BS116</f>
        <v>0</v>
      </c>
      <c r="BT121" s="242">
        <f t="shared" si="1418"/>
        <v>0</v>
      </c>
      <c r="BU121" s="242">
        <f t="shared" si="1418"/>
        <v>0</v>
      </c>
      <c r="BV121" s="242">
        <f t="shared" si="1418"/>
        <v>0</v>
      </c>
      <c r="BW121" s="242">
        <f t="shared" si="1418"/>
        <v>0</v>
      </c>
      <c r="BX121" s="242">
        <f t="shared" si="1418"/>
        <v>0</v>
      </c>
      <c r="BY121" s="242">
        <f t="shared" si="1418"/>
        <v>0</v>
      </c>
      <c r="BZ121" s="242">
        <f t="shared" si="1418"/>
        <v>0</v>
      </c>
      <c r="CA121" s="242">
        <f t="shared" ref="CA121:EL121" si="1419">-CA116</f>
        <v>0</v>
      </c>
      <c r="CB121" s="242">
        <f t="shared" si="1419"/>
        <v>0</v>
      </c>
      <c r="CC121" s="242">
        <f t="shared" si="1419"/>
        <v>0</v>
      </c>
      <c r="CD121" s="242">
        <f t="shared" si="1419"/>
        <v>0</v>
      </c>
      <c r="CE121" s="242">
        <f t="shared" si="1419"/>
        <v>0</v>
      </c>
      <c r="CF121" s="242">
        <f t="shared" si="1419"/>
        <v>0</v>
      </c>
      <c r="CG121" s="242">
        <f t="shared" si="1419"/>
        <v>0</v>
      </c>
      <c r="CH121" s="242">
        <f t="shared" si="1419"/>
        <v>0</v>
      </c>
      <c r="CI121" s="242">
        <f t="shared" si="1419"/>
        <v>0</v>
      </c>
      <c r="CJ121" s="242">
        <f t="shared" si="1419"/>
        <v>0</v>
      </c>
      <c r="CK121" s="242">
        <f t="shared" si="1419"/>
        <v>0</v>
      </c>
      <c r="CL121" s="242">
        <f t="shared" si="1419"/>
        <v>0</v>
      </c>
      <c r="CM121" s="242">
        <f t="shared" si="1419"/>
        <v>0</v>
      </c>
      <c r="CN121" s="242">
        <f t="shared" si="1419"/>
        <v>0</v>
      </c>
      <c r="CO121" s="242">
        <f t="shared" si="1419"/>
        <v>0</v>
      </c>
      <c r="CP121" s="242">
        <f t="shared" si="1419"/>
        <v>0</v>
      </c>
      <c r="CQ121" s="242">
        <f t="shared" si="1419"/>
        <v>0</v>
      </c>
      <c r="CR121" s="242">
        <f t="shared" si="1419"/>
        <v>0</v>
      </c>
      <c r="CS121" s="242">
        <f t="shared" si="1419"/>
        <v>0</v>
      </c>
      <c r="CT121" s="242">
        <f t="shared" si="1419"/>
        <v>0</v>
      </c>
      <c r="CU121" s="242">
        <f t="shared" si="1419"/>
        <v>0</v>
      </c>
      <c r="CV121" s="242">
        <f t="shared" si="1419"/>
        <v>0</v>
      </c>
      <c r="CW121" s="242">
        <f t="shared" si="1419"/>
        <v>0</v>
      </c>
      <c r="CX121" s="242">
        <f t="shared" si="1419"/>
        <v>0</v>
      </c>
      <c r="CY121" s="242">
        <f t="shared" si="1419"/>
        <v>0</v>
      </c>
      <c r="CZ121" s="242">
        <f t="shared" si="1419"/>
        <v>0</v>
      </c>
      <c r="DA121" s="242">
        <f t="shared" si="1419"/>
        <v>0</v>
      </c>
      <c r="DB121" s="242">
        <f t="shared" si="1419"/>
        <v>0</v>
      </c>
      <c r="DC121" s="242">
        <f t="shared" si="1419"/>
        <v>0</v>
      </c>
      <c r="DD121" s="242">
        <f t="shared" si="1419"/>
        <v>0</v>
      </c>
      <c r="DE121" s="242">
        <f t="shared" si="1419"/>
        <v>0</v>
      </c>
      <c r="DF121" s="242">
        <f t="shared" si="1419"/>
        <v>0</v>
      </c>
      <c r="DG121" s="242">
        <f t="shared" si="1419"/>
        <v>0</v>
      </c>
      <c r="DH121" s="242">
        <f t="shared" si="1419"/>
        <v>0</v>
      </c>
      <c r="DI121" s="242">
        <f t="shared" si="1419"/>
        <v>0</v>
      </c>
      <c r="DJ121" s="242">
        <f t="shared" si="1419"/>
        <v>0</v>
      </c>
      <c r="DK121" s="242">
        <f t="shared" si="1419"/>
        <v>0</v>
      </c>
      <c r="DL121" s="242">
        <f t="shared" si="1419"/>
        <v>0</v>
      </c>
      <c r="DM121" s="242">
        <f t="shared" si="1419"/>
        <v>0</v>
      </c>
      <c r="DN121" s="242">
        <f t="shared" si="1419"/>
        <v>0</v>
      </c>
      <c r="DO121" s="242">
        <f t="shared" si="1419"/>
        <v>0</v>
      </c>
      <c r="DP121" s="242">
        <f t="shared" si="1419"/>
        <v>0</v>
      </c>
      <c r="DQ121" s="242">
        <f t="shared" si="1419"/>
        <v>0</v>
      </c>
      <c r="DR121" s="242">
        <f t="shared" si="1419"/>
        <v>0</v>
      </c>
      <c r="DS121" s="242">
        <f t="shared" si="1419"/>
        <v>0</v>
      </c>
      <c r="DT121" s="242">
        <f t="shared" si="1419"/>
        <v>0</v>
      </c>
      <c r="DU121" s="242">
        <f t="shared" si="1419"/>
        <v>0</v>
      </c>
      <c r="DV121" s="242">
        <f t="shared" si="1419"/>
        <v>0</v>
      </c>
      <c r="DW121" s="242">
        <f t="shared" si="1419"/>
        <v>0</v>
      </c>
      <c r="DX121" s="242">
        <f t="shared" si="1419"/>
        <v>0</v>
      </c>
      <c r="DY121" s="242">
        <f t="shared" si="1419"/>
        <v>0</v>
      </c>
      <c r="DZ121" s="242">
        <f t="shared" si="1419"/>
        <v>0</v>
      </c>
      <c r="EA121" s="242">
        <f t="shared" si="1419"/>
        <v>0</v>
      </c>
      <c r="EB121" s="242">
        <f t="shared" si="1419"/>
        <v>0</v>
      </c>
      <c r="EC121" s="242">
        <f t="shared" si="1419"/>
        <v>0</v>
      </c>
      <c r="ED121" s="242">
        <f t="shared" si="1419"/>
        <v>0</v>
      </c>
      <c r="EE121" s="242">
        <f t="shared" si="1419"/>
        <v>0</v>
      </c>
      <c r="EF121" s="242">
        <f t="shared" si="1419"/>
        <v>0</v>
      </c>
      <c r="EG121" s="242">
        <f t="shared" si="1419"/>
        <v>0</v>
      </c>
      <c r="EH121" s="242">
        <f t="shared" si="1419"/>
        <v>0</v>
      </c>
      <c r="EI121" s="242">
        <f t="shared" si="1419"/>
        <v>0</v>
      </c>
      <c r="EJ121" s="242">
        <f t="shared" si="1419"/>
        <v>0</v>
      </c>
      <c r="EK121" s="242">
        <f t="shared" si="1419"/>
        <v>0</v>
      </c>
      <c r="EL121" s="242">
        <f t="shared" si="1419"/>
        <v>0</v>
      </c>
      <c r="EM121" s="242">
        <f t="shared" ref="EM121:ET121" si="1420">-EM116</f>
        <v>0</v>
      </c>
      <c r="EN121" s="242">
        <f t="shared" si="1420"/>
        <v>0</v>
      </c>
      <c r="EO121" s="242">
        <f t="shared" si="1420"/>
        <v>0</v>
      </c>
      <c r="EP121" s="242">
        <f t="shared" si="1420"/>
        <v>0</v>
      </c>
      <c r="EQ121" s="242">
        <f t="shared" si="1420"/>
        <v>0</v>
      </c>
      <c r="ER121" s="242">
        <f t="shared" si="1420"/>
        <v>0</v>
      </c>
      <c r="ES121" s="242">
        <f t="shared" si="1420"/>
        <v>0</v>
      </c>
      <c r="ET121" s="242">
        <f t="shared" si="1420"/>
        <v>0</v>
      </c>
    </row>
    <row r="122" spans="2:150" x14ac:dyDescent="0.2">
      <c r="B122" t="s">
        <v>168</v>
      </c>
      <c r="F122" s="242">
        <f t="shared" ref="F122:AK122" ca="1" si="1421">-F108</f>
        <v>0</v>
      </c>
      <c r="G122" s="242">
        <f t="shared" ca="1" si="1421"/>
        <v>0</v>
      </c>
      <c r="H122" s="242">
        <f t="shared" ca="1" si="1421"/>
        <v>0</v>
      </c>
      <c r="I122" s="242">
        <f t="shared" ca="1" si="1421"/>
        <v>0</v>
      </c>
      <c r="J122" s="242">
        <f t="shared" ca="1" si="1421"/>
        <v>0</v>
      </c>
      <c r="K122" s="242">
        <f t="shared" ca="1" si="1421"/>
        <v>0</v>
      </c>
      <c r="L122" s="242">
        <f t="shared" ca="1" si="1421"/>
        <v>0</v>
      </c>
      <c r="M122" s="242">
        <f t="shared" ca="1" si="1421"/>
        <v>0</v>
      </c>
      <c r="N122" s="242">
        <f t="shared" ca="1" si="1421"/>
        <v>0</v>
      </c>
      <c r="O122" s="242">
        <f t="shared" ca="1" si="1421"/>
        <v>0</v>
      </c>
      <c r="P122" s="242">
        <f t="shared" ca="1" si="1421"/>
        <v>0</v>
      </c>
      <c r="Q122" s="242">
        <f t="shared" ca="1" si="1421"/>
        <v>0</v>
      </c>
      <c r="R122" s="242">
        <f t="shared" ca="1" si="1421"/>
        <v>0</v>
      </c>
      <c r="S122" s="242">
        <f t="shared" ca="1" si="1421"/>
        <v>0</v>
      </c>
      <c r="T122" s="242">
        <f t="shared" ca="1" si="1421"/>
        <v>0</v>
      </c>
      <c r="U122" s="242">
        <f t="shared" ca="1" si="1421"/>
        <v>0</v>
      </c>
      <c r="V122" s="242">
        <f t="shared" ca="1" si="1421"/>
        <v>0</v>
      </c>
      <c r="W122" s="242">
        <f t="shared" ca="1" si="1421"/>
        <v>0</v>
      </c>
      <c r="X122" s="242">
        <f t="shared" ca="1" si="1421"/>
        <v>1309346.0141211129</v>
      </c>
      <c r="Y122" s="242">
        <f t="shared" ca="1" si="1421"/>
        <v>1117234.2723802493</v>
      </c>
      <c r="Z122" s="242">
        <f t="shared" ca="1" si="1421"/>
        <v>1124216.9865826343</v>
      </c>
      <c r="AA122" s="242">
        <f t="shared" ca="1" si="1421"/>
        <v>1133430.8427487845</v>
      </c>
      <c r="AB122" s="242">
        <f t="shared" ca="1" si="1421"/>
        <v>1140514.7855159738</v>
      </c>
      <c r="AC122" s="242">
        <f t="shared" ca="1" si="1421"/>
        <v>1147643.0029254586</v>
      </c>
      <c r="AD122" s="242">
        <f t="shared" ca="1" si="1421"/>
        <v>1154815.7716937533</v>
      </c>
      <c r="AE122" s="242">
        <f t="shared" ca="1" si="1421"/>
        <v>1162033.3702668503</v>
      </c>
      <c r="AF122" s="242">
        <f t="shared" ca="1" si="1421"/>
        <v>1169296.0788310298</v>
      </c>
      <c r="AG122" s="242">
        <f t="shared" ca="1" si="1421"/>
        <v>1176604.1793237359</v>
      </c>
      <c r="AH122" s="242">
        <f t="shared" ca="1" si="1421"/>
        <v>1183957.9554445217</v>
      </c>
      <c r="AI122" s="242">
        <f t="shared" ca="1" si="1421"/>
        <v>1191357.6926660633</v>
      </c>
      <c r="AJ122" s="242">
        <f t="shared" ca="1" si="1421"/>
        <v>1198803.6782452399</v>
      </c>
      <c r="AK122" s="242">
        <f t="shared" ca="1" si="1421"/>
        <v>1206296.2012342869</v>
      </c>
      <c r="AL122" s="242">
        <f t="shared" ref="AL122:BQ122" ca="1" si="1422">-AL108</f>
        <v>1213835.552492016</v>
      </c>
      <c r="AM122" s="242">
        <f t="shared" ca="1" si="1422"/>
        <v>1221422.0246951061</v>
      </c>
      <c r="AN122" s="242">
        <f t="shared" ca="1" si="1422"/>
        <v>1229055.912349466</v>
      </c>
      <c r="AO122" s="242">
        <f t="shared" ca="1" si="1422"/>
        <v>135386.98808968262</v>
      </c>
      <c r="AP122" s="242">
        <f t="shared" ca="1" si="1422"/>
        <v>118297.9124369834</v>
      </c>
      <c r="AQ122" s="242">
        <f t="shared" ca="1" si="1422"/>
        <v>93484.806958564237</v>
      </c>
      <c r="AR122" s="242">
        <f t="shared" ca="1" si="1422"/>
        <v>75965.379570905105</v>
      </c>
      <c r="AS122" s="242">
        <f t="shared" ca="1" si="1422"/>
        <v>59500.101762073245</v>
      </c>
      <c r="AT122" s="242">
        <f t="shared" ca="1" si="1422"/>
        <v>43513.738966936216</v>
      </c>
      <c r="AU122" s="242">
        <f t="shared" ca="1" si="1422"/>
        <v>27427.461404329515</v>
      </c>
      <c r="AV122" s="242">
        <f t="shared" ca="1" si="1422"/>
        <v>13471.313483933714</v>
      </c>
      <c r="AW122" s="242">
        <f t="shared" ca="1" si="1422"/>
        <v>13555.509193224425</v>
      </c>
      <c r="AX122" s="242">
        <f t="shared" ca="1" si="1422"/>
        <v>13640.231125697872</v>
      </c>
      <c r="AY122" s="242">
        <f t="shared" ca="1" si="1422"/>
        <v>13725.482570248685</v>
      </c>
      <c r="AZ122" s="242">
        <f t="shared" ca="1" si="1422"/>
        <v>13811.266836327297</v>
      </c>
      <c r="BA122" s="242">
        <f t="shared" ca="1" si="1422"/>
        <v>13836.21302906808</v>
      </c>
      <c r="BB122" s="242">
        <f t="shared" ca="1" si="1422"/>
        <v>9110.3087460042443</v>
      </c>
      <c r="BC122" s="242">
        <f t="shared" ca="1" si="1422"/>
        <v>9167.2481756783382</v>
      </c>
      <c r="BD122" s="242">
        <f t="shared" ca="1" si="1422"/>
        <v>9224.5434767864353</v>
      </c>
      <c r="BE122" s="242">
        <f t="shared" ca="1" si="1422"/>
        <v>9282.1968735249538</v>
      </c>
      <c r="BF122" s="242">
        <f t="shared" ca="1" si="1422"/>
        <v>9340.2106039912906</v>
      </c>
      <c r="BG122" s="242">
        <f t="shared" ca="1" si="1422"/>
        <v>9398.5869202709291</v>
      </c>
      <c r="BH122" s="242">
        <f t="shared" ca="1" si="1422"/>
        <v>9457.3280885250133</v>
      </c>
      <c r="BI122" s="242">
        <f t="shared" ca="1" si="1422"/>
        <v>9516.4363890781824</v>
      </c>
      <c r="BJ122" s="242">
        <f t="shared" ca="1" si="1422"/>
        <v>9575.9141165069595</v>
      </c>
      <c r="BK122" s="242">
        <f t="shared" ca="1" si="1422"/>
        <v>9635.7635797290422</v>
      </c>
      <c r="BL122" s="242">
        <f t="shared" ca="1" si="1422"/>
        <v>9695.9871020927385</v>
      </c>
      <c r="BM122" s="242">
        <f t="shared" ca="1" si="1422"/>
        <v>9693.3715697174193</v>
      </c>
      <c r="BN122" s="242">
        <f t="shared" ca="1" si="1422"/>
        <v>4797.20310906737</v>
      </c>
      <c r="BO122" s="242">
        <f t="shared" ca="1" si="1422"/>
        <v>4827.1856284769601</v>
      </c>
      <c r="BP122" s="242">
        <f t="shared" ca="1" si="1422"/>
        <v>4857.3555386280641</v>
      </c>
      <c r="BQ122" s="242">
        <f t="shared" ca="1" si="1422"/>
        <v>4887.7140107124287</v>
      </c>
      <c r="BR122" s="242">
        <f t="shared" ref="BR122:BZ122" ca="1" si="1423">-BR108</f>
        <v>4918.262223241647</v>
      </c>
      <c r="BS122" s="242">
        <f t="shared" ca="1" si="1423"/>
        <v>4949.0013620930258</v>
      </c>
      <c r="BT122" s="242">
        <f t="shared" ca="1" si="1423"/>
        <v>4979.9326205557445</v>
      </c>
      <c r="BU122" s="242">
        <f t="shared" ca="1" si="1423"/>
        <v>5011.0571993770427</v>
      </c>
      <c r="BV122" s="242">
        <f t="shared" ca="1" si="1423"/>
        <v>5042.3763068084372</v>
      </c>
      <c r="BW122" s="242">
        <f t="shared" ca="1" si="1423"/>
        <v>5073.8911586534523</v>
      </c>
      <c r="BX122" s="242">
        <f t="shared" ca="1" si="1423"/>
        <v>5105.6029783142731</v>
      </c>
      <c r="BY122" s="242">
        <f t="shared" ca="1" si="1423"/>
        <v>5072.400818116701</v>
      </c>
      <c r="BZ122" s="242">
        <f t="shared" ca="1" si="1423"/>
        <v>0</v>
      </c>
      <c r="CA122" s="242">
        <f t="shared" ref="CA122:EL122" ca="1" si="1424">-CA108</f>
        <v>0</v>
      </c>
      <c r="CB122" s="242">
        <f t="shared" ca="1" si="1424"/>
        <v>0</v>
      </c>
      <c r="CC122" s="242">
        <f t="shared" ca="1" si="1424"/>
        <v>0</v>
      </c>
      <c r="CD122" s="242">
        <f t="shared" ca="1" si="1424"/>
        <v>0</v>
      </c>
      <c r="CE122" s="242">
        <f t="shared" ca="1" si="1424"/>
        <v>0</v>
      </c>
      <c r="CF122" s="242">
        <f t="shared" ca="1" si="1424"/>
        <v>0</v>
      </c>
      <c r="CG122" s="242">
        <f t="shared" ca="1" si="1424"/>
        <v>0</v>
      </c>
      <c r="CH122" s="242">
        <f t="shared" ca="1" si="1424"/>
        <v>0</v>
      </c>
      <c r="CI122" s="242">
        <f t="shared" ca="1" si="1424"/>
        <v>0</v>
      </c>
      <c r="CJ122" s="242">
        <f t="shared" ca="1" si="1424"/>
        <v>0</v>
      </c>
      <c r="CK122" s="242">
        <f t="shared" ca="1" si="1424"/>
        <v>0</v>
      </c>
      <c r="CL122" s="242">
        <f t="shared" ca="1" si="1424"/>
        <v>0</v>
      </c>
      <c r="CM122" s="242">
        <f t="shared" ca="1" si="1424"/>
        <v>0</v>
      </c>
      <c r="CN122" s="242">
        <f t="shared" ca="1" si="1424"/>
        <v>0</v>
      </c>
      <c r="CO122" s="242">
        <f t="shared" ca="1" si="1424"/>
        <v>0</v>
      </c>
      <c r="CP122" s="242">
        <f t="shared" ca="1" si="1424"/>
        <v>0</v>
      </c>
      <c r="CQ122" s="242">
        <f t="shared" ca="1" si="1424"/>
        <v>0</v>
      </c>
      <c r="CR122" s="242">
        <f t="shared" ca="1" si="1424"/>
        <v>0</v>
      </c>
      <c r="CS122" s="242">
        <f t="shared" ca="1" si="1424"/>
        <v>0</v>
      </c>
      <c r="CT122" s="242">
        <f t="shared" ca="1" si="1424"/>
        <v>0</v>
      </c>
      <c r="CU122" s="242">
        <f t="shared" ca="1" si="1424"/>
        <v>0</v>
      </c>
      <c r="CV122" s="242">
        <f t="shared" ca="1" si="1424"/>
        <v>0</v>
      </c>
      <c r="CW122" s="242">
        <f t="shared" ca="1" si="1424"/>
        <v>0</v>
      </c>
      <c r="CX122" s="242">
        <f t="shared" ca="1" si="1424"/>
        <v>0</v>
      </c>
      <c r="CY122" s="242">
        <f t="shared" ca="1" si="1424"/>
        <v>0</v>
      </c>
      <c r="CZ122" s="242">
        <f t="shared" ca="1" si="1424"/>
        <v>0</v>
      </c>
      <c r="DA122" s="242">
        <f t="shared" ca="1" si="1424"/>
        <v>0</v>
      </c>
      <c r="DB122" s="242">
        <f t="shared" ca="1" si="1424"/>
        <v>0</v>
      </c>
      <c r="DC122" s="242">
        <f t="shared" ca="1" si="1424"/>
        <v>0</v>
      </c>
      <c r="DD122" s="242">
        <f t="shared" ca="1" si="1424"/>
        <v>0</v>
      </c>
      <c r="DE122" s="242">
        <f t="shared" ca="1" si="1424"/>
        <v>0</v>
      </c>
      <c r="DF122" s="242">
        <f t="shared" ca="1" si="1424"/>
        <v>0</v>
      </c>
      <c r="DG122" s="242">
        <f t="shared" ca="1" si="1424"/>
        <v>0</v>
      </c>
      <c r="DH122" s="242">
        <f t="shared" ca="1" si="1424"/>
        <v>0</v>
      </c>
      <c r="DI122" s="242">
        <f t="shared" ca="1" si="1424"/>
        <v>0</v>
      </c>
      <c r="DJ122" s="242">
        <f t="shared" ca="1" si="1424"/>
        <v>0</v>
      </c>
      <c r="DK122" s="242">
        <f t="shared" ca="1" si="1424"/>
        <v>0</v>
      </c>
      <c r="DL122" s="242">
        <f t="shared" ca="1" si="1424"/>
        <v>0</v>
      </c>
      <c r="DM122" s="242">
        <f t="shared" ca="1" si="1424"/>
        <v>0</v>
      </c>
      <c r="DN122" s="242">
        <f t="shared" ca="1" si="1424"/>
        <v>0</v>
      </c>
      <c r="DO122" s="242">
        <f t="shared" ca="1" si="1424"/>
        <v>0</v>
      </c>
      <c r="DP122" s="242">
        <f t="shared" ca="1" si="1424"/>
        <v>0</v>
      </c>
      <c r="DQ122" s="242">
        <f t="shared" ca="1" si="1424"/>
        <v>0</v>
      </c>
      <c r="DR122" s="242">
        <f t="shared" ca="1" si="1424"/>
        <v>0</v>
      </c>
      <c r="DS122" s="242">
        <f t="shared" ca="1" si="1424"/>
        <v>0</v>
      </c>
      <c r="DT122" s="242">
        <f t="shared" ca="1" si="1424"/>
        <v>0</v>
      </c>
      <c r="DU122" s="242">
        <f t="shared" ca="1" si="1424"/>
        <v>0</v>
      </c>
      <c r="DV122" s="242">
        <f t="shared" ca="1" si="1424"/>
        <v>0</v>
      </c>
      <c r="DW122" s="242">
        <f t="shared" ca="1" si="1424"/>
        <v>0</v>
      </c>
      <c r="DX122" s="242">
        <f t="shared" ca="1" si="1424"/>
        <v>0</v>
      </c>
      <c r="DY122" s="242">
        <f t="shared" ca="1" si="1424"/>
        <v>0</v>
      </c>
      <c r="DZ122" s="242">
        <f t="shared" ca="1" si="1424"/>
        <v>0</v>
      </c>
      <c r="EA122" s="242">
        <f t="shared" ca="1" si="1424"/>
        <v>0</v>
      </c>
      <c r="EB122" s="242">
        <f t="shared" ca="1" si="1424"/>
        <v>0</v>
      </c>
      <c r="EC122" s="242">
        <f t="shared" ca="1" si="1424"/>
        <v>0</v>
      </c>
      <c r="ED122" s="242">
        <f t="shared" ca="1" si="1424"/>
        <v>0</v>
      </c>
      <c r="EE122" s="242">
        <f t="shared" ca="1" si="1424"/>
        <v>0</v>
      </c>
      <c r="EF122" s="242">
        <f t="shared" ca="1" si="1424"/>
        <v>0</v>
      </c>
      <c r="EG122" s="242">
        <f t="shared" ca="1" si="1424"/>
        <v>0</v>
      </c>
      <c r="EH122" s="242">
        <f t="shared" ca="1" si="1424"/>
        <v>0</v>
      </c>
      <c r="EI122" s="242">
        <f t="shared" ca="1" si="1424"/>
        <v>0</v>
      </c>
      <c r="EJ122" s="242">
        <f t="shared" ca="1" si="1424"/>
        <v>0</v>
      </c>
      <c r="EK122" s="242">
        <f t="shared" ca="1" si="1424"/>
        <v>0</v>
      </c>
      <c r="EL122" s="242">
        <f t="shared" ca="1" si="1424"/>
        <v>0</v>
      </c>
      <c r="EM122" s="242">
        <f t="shared" ref="EM122:ET122" ca="1" si="1425">-EM108</f>
        <v>0</v>
      </c>
      <c r="EN122" s="242">
        <f t="shared" ca="1" si="1425"/>
        <v>0</v>
      </c>
      <c r="EO122" s="242">
        <f t="shared" ca="1" si="1425"/>
        <v>0</v>
      </c>
      <c r="EP122" s="242">
        <f t="shared" ca="1" si="1425"/>
        <v>0</v>
      </c>
      <c r="EQ122" s="242">
        <f t="shared" ca="1" si="1425"/>
        <v>0</v>
      </c>
      <c r="ER122" s="242">
        <f t="shared" ca="1" si="1425"/>
        <v>0</v>
      </c>
      <c r="ES122" s="242">
        <f t="shared" ca="1" si="1425"/>
        <v>0</v>
      </c>
      <c r="ET122" s="242">
        <f t="shared" ca="1" si="1425"/>
        <v>0</v>
      </c>
    </row>
    <row r="123" spans="2:150" x14ac:dyDescent="0.2">
      <c r="B123" t="s">
        <v>174</v>
      </c>
      <c r="F123" s="242">
        <f>F120*Assumptions!$Q$14/12</f>
        <v>0</v>
      </c>
      <c r="G123" s="242">
        <f ca="1">G120*Assumptions!$Q$14/12</f>
        <v>0</v>
      </c>
      <c r="H123" s="242">
        <f ca="1">H120*Assumptions!$Q$14/12</f>
        <v>0</v>
      </c>
      <c r="I123" s="242">
        <f ca="1">I120*Assumptions!$Q$14/12</f>
        <v>0</v>
      </c>
      <c r="J123" s="242">
        <f ca="1">J120*Assumptions!$Q$14/12</f>
        <v>0</v>
      </c>
      <c r="K123" s="242">
        <f ca="1">K120*Assumptions!$Q$14/12</f>
        <v>0</v>
      </c>
      <c r="L123" s="242">
        <f ca="1">L120*Assumptions!$Q$14/12</f>
        <v>0</v>
      </c>
      <c r="M123" s="242">
        <f ca="1">M120*Assumptions!$Q$14/12</f>
        <v>0</v>
      </c>
      <c r="N123" s="242">
        <f ca="1">N120*Assumptions!$Q$14/12</f>
        <v>0</v>
      </c>
      <c r="O123" s="242">
        <f ca="1">O120*Assumptions!$Q$14/12</f>
        <v>0</v>
      </c>
      <c r="P123" s="242">
        <f ca="1">P120*Assumptions!$Q$14/12</f>
        <v>0</v>
      </c>
      <c r="Q123" s="242">
        <f ca="1">Q120*Assumptions!$Q$14/12</f>
        <v>0</v>
      </c>
      <c r="R123" s="242">
        <f ca="1">R120*Assumptions!$Q$14/12</f>
        <v>0</v>
      </c>
      <c r="S123" s="242">
        <f ca="1">S120*Assumptions!$Q$14/12</f>
        <v>0</v>
      </c>
      <c r="T123" s="242">
        <f ca="1">T120*Assumptions!$Q$14/12</f>
        <v>0</v>
      </c>
      <c r="U123" s="242">
        <f ca="1">U120*Assumptions!$Q$14/12</f>
        <v>0</v>
      </c>
      <c r="V123" s="242">
        <f ca="1">V120*Assumptions!$Q$14/12</f>
        <v>0</v>
      </c>
      <c r="W123" s="242">
        <f ca="1">W120*Assumptions!$Q$14/12</f>
        <v>0</v>
      </c>
      <c r="X123" s="242">
        <f ca="1">X120*Assumptions!$Q$14/12</f>
        <v>0</v>
      </c>
      <c r="Y123" s="242">
        <f ca="1">Y120*Assumptions!$Q$14/12</f>
        <v>8183.412588264232</v>
      </c>
      <c r="Z123" s="242">
        <f ca="1">Z120*Assumptions!$Q$14/12</f>
        <v>15166.126790648601</v>
      </c>
      <c r="AA123" s="242">
        <f ca="1">AA120*Assumptions!$Q$14/12</f>
        <v>33129.982956798405</v>
      </c>
      <c r="AB123" s="242">
        <f ca="1">AB120*Assumptions!$Q$14/12</f>
        <v>40213.925723987166</v>
      </c>
      <c r="AC123" s="242">
        <f ca="1">AC120*Assumptions!$Q$14/12</f>
        <v>47342.143133471422</v>
      </c>
      <c r="AD123" s="242">
        <f ca="1">AD120*Assumptions!$Q$14/12</f>
        <v>54514.911901765503</v>
      </c>
      <c r="AE123" s="242">
        <f ca="1">AE120*Assumptions!$Q$14/12</f>
        <v>61732.510474862</v>
      </c>
      <c r="AF123" s="242">
        <f ca="1">AF120*Assumptions!$Q$14/12</f>
        <v>68995.21903904085</v>
      </c>
      <c r="AG123" s="242">
        <f ca="1">AG120*Assumptions!$Q$14/12</f>
        <v>76303.319531746398</v>
      </c>
      <c r="AH123" s="242">
        <f ca="1">AH120*Assumptions!$Q$14/12</f>
        <v>83657.095652531905</v>
      </c>
      <c r="AI123" s="242">
        <f ca="1">AI120*Assumptions!$Q$14/12</f>
        <v>91056.832874072847</v>
      </c>
      <c r="AJ123" s="242">
        <f ca="1">AJ120*Assumptions!$Q$14/12</f>
        <v>98502.818453248954</v>
      </c>
      <c r="AK123" s="242">
        <f ca="1">AK120*Assumptions!$Q$14/12</f>
        <v>105995.34144229548</v>
      </c>
      <c r="AL123" s="242">
        <f ca="1">AL120*Assumptions!$Q$14/12</f>
        <v>113534.69270002394</v>
      </c>
      <c r="AM123" s="242">
        <f ca="1">AM120*Assumptions!$Q$14/12</f>
        <v>121121.16490311378</v>
      </c>
      <c r="AN123" s="242">
        <f ca="1">AN120*Assumptions!$Q$14/12</f>
        <v>128755.05255747329</v>
      </c>
      <c r="AO123" s="242">
        <f ca="1">AO120*Assumptions!$Q$14/12</f>
        <v>136436.65200967295</v>
      </c>
      <c r="AP123" s="242">
        <f ca="1">AP120*Assumptions!$Q$14/12</f>
        <v>137282.82068524932</v>
      </c>
      <c r="AQ123" s="242">
        <f ca="1">AQ120*Assumptions!$Q$14/12</f>
        <v>138022.18263799665</v>
      </c>
      <c r="AR123" s="242">
        <f ca="1">AR120*Assumptions!$Q$14/12</f>
        <v>138606.462681504</v>
      </c>
      <c r="AS123" s="242">
        <f ca="1">AS120*Assumptions!$Q$14/12</f>
        <v>139081.24630383871</v>
      </c>
      <c r="AT123" s="242">
        <f ca="1">AT120*Assumptions!$Q$14/12</f>
        <v>139453.12193986835</v>
      </c>
      <c r="AU123" s="242">
        <f ca="1">AU120*Assumptions!$Q$14/12</f>
        <v>139725.08280842839</v>
      </c>
      <c r="AV123" s="242">
        <f ca="1">AV120*Assumptions!$Q$14/12</f>
        <v>139896.5044422221</v>
      </c>
      <c r="AW123" s="242">
        <f ca="1">AW120*Assumptions!$Q$14/12</f>
        <v>139980.70015151319</v>
      </c>
      <c r="AX123" s="242">
        <f ca="1">AX120*Assumptions!$Q$14/12</f>
        <v>140065.42208398695</v>
      </c>
      <c r="AY123" s="242">
        <f ca="1">AY120*Assumptions!$Q$14/12</f>
        <v>140150.67352853838</v>
      </c>
      <c r="AZ123" s="242">
        <f ca="1">AZ120*Assumptions!$Q$14/12</f>
        <v>140236.4577946176</v>
      </c>
      <c r="BA123" s="242">
        <f ca="1">BA120*Assumptions!$Q$14/12</f>
        <v>140322.77821235923</v>
      </c>
      <c r="BB123" s="242">
        <f ca="1">BB120*Assumptions!$Q$14/12</f>
        <v>140409.25454380465</v>
      </c>
      <c r="BC123" s="242">
        <f ca="1">BC120*Assumptions!$Q$14/12</f>
        <v>140466.19397347982</v>
      </c>
      <c r="BD123" s="242">
        <f ca="1">BD120*Assumptions!$Q$14/12</f>
        <v>140523.48927458937</v>
      </c>
      <c r="BE123" s="242">
        <f ca="1">BE120*Assumptions!$Q$14/12</f>
        <v>140581.14267132941</v>
      </c>
      <c r="BF123" s="242">
        <f ca="1">BF120*Assumptions!$Q$14/12</f>
        <v>140639.15640179755</v>
      </c>
      <c r="BG123" s="242">
        <f ca="1">BG120*Assumptions!$Q$14/12</f>
        <v>140697.53271807925</v>
      </c>
      <c r="BH123" s="242">
        <f ca="1">BH120*Assumptions!$Q$14/12</f>
        <v>140756.27388633564</v>
      </c>
      <c r="BI123" s="242">
        <f ca="1">BI120*Assumptions!$Q$14/12</f>
        <v>140815.38218689131</v>
      </c>
      <c r="BJ123" s="242">
        <f ca="1">BJ120*Assumptions!$Q$14/12</f>
        <v>140874.85991432288</v>
      </c>
      <c r="BK123" s="242">
        <f ca="1">BK120*Assumptions!$Q$14/12</f>
        <v>140934.7093775481</v>
      </c>
      <c r="BL123" s="242">
        <f ca="1">BL120*Assumptions!$Q$14/12</f>
        <v>140994.93289991529</v>
      </c>
      <c r="BM123" s="242">
        <f ca="1">BM120*Assumptions!$Q$14/12</f>
        <v>141055.53281929376</v>
      </c>
      <c r="BN123" s="242">
        <f ca="1">BN120*Assumptions!$Q$14/12</f>
        <v>141116.11639159106</v>
      </c>
      <c r="BO123" s="242">
        <f ca="1">BO120*Assumptions!$Q$14/12</f>
        <v>141146.09891100533</v>
      </c>
      <c r="BP123" s="242">
        <f ca="1">BP120*Assumptions!$Q$14/12</f>
        <v>141176.26882116121</v>
      </c>
      <c r="BQ123" s="242">
        <f ca="1">BQ120*Assumptions!$Q$14/12</f>
        <v>141206.62729325073</v>
      </c>
      <c r="BR123" s="242">
        <f ca="1">BR120*Assumptions!$Q$14/12</f>
        <v>141237.17550578556</v>
      </c>
      <c r="BS123" s="242">
        <f ca="1">BS120*Assumptions!$Q$14/12</f>
        <v>141267.91464464308</v>
      </c>
      <c r="BT123" s="242">
        <f ca="1">BT120*Assumptions!$Q$14/12</f>
        <v>141298.84590311223</v>
      </c>
      <c r="BU123" s="242">
        <f ca="1">BU120*Assumptions!$Q$14/12</f>
        <v>141329.97048194028</v>
      </c>
      <c r="BV123" s="242">
        <f ca="1">BV120*Assumptions!$Q$14/12</f>
        <v>141361.28958937916</v>
      </c>
      <c r="BW123" s="242">
        <f ca="1">BW120*Assumptions!$Q$14/12</f>
        <v>141392.80444123197</v>
      </c>
      <c r="BX123" s="242">
        <f ca="1">BX120*Assumptions!$Q$14/12</f>
        <v>141424.51626090097</v>
      </c>
      <c r="BY123" s="242">
        <f ca="1">BY120*Assumptions!$Q$14/12</f>
        <v>141456.42627943461</v>
      </c>
      <c r="BZ123" s="242">
        <f ca="1">BZ120*Assumptions!$Q$14/12</f>
        <v>141488.12878452265</v>
      </c>
      <c r="CA123" s="242">
        <f ca="1">CA120*Assumptions!$Q$14/12</f>
        <v>141488.12878450289</v>
      </c>
      <c r="CB123" s="242">
        <f ca="1">CB120*Assumptions!$Q$14/12</f>
        <v>141488.12878448892</v>
      </c>
      <c r="CC123" s="242">
        <f ca="1">CC120*Assumptions!$Q$14/12</f>
        <v>141488.12878448152</v>
      </c>
      <c r="CD123" s="242">
        <f ca="1">CD120*Assumptions!$Q$14/12</f>
        <v>141488.12878448141</v>
      </c>
      <c r="CE123" s="242">
        <f ca="1">CE120*Assumptions!$Q$14/12</f>
        <v>141488.12878448903</v>
      </c>
      <c r="CF123" s="242">
        <f ca="1">CF120*Assumptions!$Q$14/12</f>
        <v>141488.12878450536</v>
      </c>
      <c r="CG123" s="242">
        <f ca="1">CG120*Assumptions!$Q$14/12</f>
        <v>141488.12878453088</v>
      </c>
      <c r="CH123" s="242">
        <f ca="1">CH120*Assumptions!$Q$14/12</f>
        <v>141488.12878456651</v>
      </c>
      <c r="CI123" s="242">
        <f ca="1">CI120*Assumptions!$Q$14/12</f>
        <v>141488.1287846131</v>
      </c>
      <c r="CJ123" s="242">
        <f ca="1">CJ120*Assumptions!$Q$14/12</f>
        <v>141488.12878467151</v>
      </c>
      <c r="CK123" s="242">
        <f ca="1">CK120*Assumptions!$Q$14/12</f>
        <v>141488.12878447681</v>
      </c>
      <c r="CL123" s="242">
        <f ca="1">CL120*Assumptions!$Q$14/12</f>
        <v>0</v>
      </c>
      <c r="CM123" s="242">
        <f ca="1">CM120*Assumptions!$Q$14/12</f>
        <v>0</v>
      </c>
      <c r="CN123" s="242">
        <f ca="1">CN120*Assumptions!$Q$14/12</f>
        <v>0</v>
      </c>
      <c r="CO123" s="242">
        <f ca="1">CO120*Assumptions!$Q$14/12</f>
        <v>0</v>
      </c>
      <c r="CP123" s="242">
        <f ca="1">CP120*Assumptions!$Q$14/12</f>
        <v>0</v>
      </c>
      <c r="CQ123" s="242">
        <f ca="1">CQ120*Assumptions!$Q$14/12</f>
        <v>0</v>
      </c>
      <c r="CR123" s="242">
        <f ca="1">CR120*Assumptions!$Q$14/12</f>
        <v>0</v>
      </c>
      <c r="CS123" s="242">
        <f ca="1">CS120*Assumptions!$Q$14/12</f>
        <v>0</v>
      </c>
      <c r="CT123" s="242">
        <f ca="1">CT120*Assumptions!$Q$14/12</f>
        <v>0</v>
      </c>
      <c r="CU123" s="242">
        <f ca="1">CU120*Assumptions!$Q$14/12</f>
        <v>0</v>
      </c>
      <c r="CV123" s="242">
        <f ca="1">CV120*Assumptions!$Q$14/12</f>
        <v>0</v>
      </c>
      <c r="CW123" s="242">
        <f ca="1">CW120*Assumptions!$Q$14/12</f>
        <v>0</v>
      </c>
      <c r="CX123" s="242">
        <f ca="1">CX120*Assumptions!$Q$14/12</f>
        <v>0</v>
      </c>
      <c r="CY123" s="242">
        <f ca="1">CY120*Assumptions!$Q$14/12</f>
        <v>0</v>
      </c>
      <c r="CZ123" s="242">
        <f ca="1">CZ120*Assumptions!$Q$14/12</f>
        <v>0</v>
      </c>
      <c r="DA123" s="242">
        <f ca="1">DA120*Assumptions!$Q$14/12</f>
        <v>0</v>
      </c>
      <c r="DB123" s="242">
        <f ca="1">DB120*Assumptions!$Q$14/12</f>
        <v>0</v>
      </c>
      <c r="DC123" s="242">
        <f ca="1">DC120*Assumptions!$Q$14/12</f>
        <v>0</v>
      </c>
      <c r="DD123" s="242">
        <f ca="1">DD120*Assumptions!$Q$14/12</f>
        <v>0</v>
      </c>
      <c r="DE123" s="242">
        <f ca="1">DE120*Assumptions!$Q$14/12</f>
        <v>0</v>
      </c>
      <c r="DF123" s="242">
        <f ca="1">DF120*Assumptions!$Q$14/12</f>
        <v>0</v>
      </c>
      <c r="DG123" s="242">
        <f ca="1">DG120*Assumptions!$Q$14/12</f>
        <v>0</v>
      </c>
      <c r="DH123" s="242">
        <f ca="1">DH120*Assumptions!$Q$14/12</f>
        <v>0</v>
      </c>
      <c r="DI123" s="242">
        <f ca="1">DI120*Assumptions!$Q$14/12</f>
        <v>0</v>
      </c>
      <c r="DJ123" s="242">
        <f ca="1">DJ120*Assumptions!$Q$14/12</f>
        <v>0</v>
      </c>
      <c r="DK123" s="242">
        <f ca="1">DK120*Assumptions!$Q$14/12</f>
        <v>0</v>
      </c>
      <c r="DL123" s="242">
        <f ca="1">DL120*Assumptions!$Q$14/12</f>
        <v>0</v>
      </c>
      <c r="DM123" s="242">
        <f ca="1">DM120*Assumptions!$Q$14/12</f>
        <v>0</v>
      </c>
      <c r="DN123" s="242">
        <f ca="1">DN120*Assumptions!$Q$14/12</f>
        <v>0</v>
      </c>
      <c r="DO123" s="242">
        <f ca="1">DO120*Assumptions!$Q$14/12</f>
        <v>0</v>
      </c>
      <c r="DP123" s="242">
        <f ca="1">DP120*Assumptions!$Q$14/12</f>
        <v>0</v>
      </c>
      <c r="DQ123" s="242">
        <f ca="1">DQ120*Assumptions!$Q$14/12</f>
        <v>0</v>
      </c>
      <c r="DR123" s="242">
        <f ca="1">DR120*Assumptions!$Q$14/12</f>
        <v>0</v>
      </c>
      <c r="DS123" s="242">
        <f ca="1">DS120*Assumptions!$Q$14/12</f>
        <v>0</v>
      </c>
      <c r="DT123" s="242">
        <f ca="1">DT120*Assumptions!$Q$14/12</f>
        <v>0</v>
      </c>
      <c r="DU123" s="242">
        <f ca="1">DU120*Assumptions!$Q$14/12</f>
        <v>0</v>
      </c>
      <c r="DV123" s="242">
        <f ca="1">DV120*Assumptions!$Q$14/12</f>
        <v>0</v>
      </c>
      <c r="DW123" s="242">
        <f ca="1">DW120*Assumptions!$Q$14/12</f>
        <v>0</v>
      </c>
      <c r="DX123" s="242">
        <f ca="1">DX120*Assumptions!$Q$14/12</f>
        <v>0</v>
      </c>
      <c r="DY123" s="242">
        <f ca="1">DY120*Assumptions!$Q$14/12</f>
        <v>0</v>
      </c>
      <c r="DZ123" s="242">
        <f ca="1">DZ120*Assumptions!$Q$14/12</f>
        <v>0</v>
      </c>
      <c r="EA123" s="242">
        <f ca="1">EA120*Assumptions!$Q$14/12</f>
        <v>0</v>
      </c>
      <c r="EB123" s="242">
        <f ca="1">EB120*Assumptions!$Q$14/12</f>
        <v>0</v>
      </c>
      <c r="EC123" s="242">
        <f ca="1">EC120*Assumptions!$Q$14/12</f>
        <v>0</v>
      </c>
      <c r="ED123" s="242">
        <f ca="1">ED120*Assumptions!$Q$14/12</f>
        <v>0</v>
      </c>
      <c r="EE123" s="242">
        <f ca="1">EE120*Assumptions!$Q$14/12</f>
        <v>0</v>
      </c>
      <c r="EF123" s="242">
        <f ca="1">EF120*Assumptions!$Q$14/12</f>
        <v>0</v>
      </c>
      <c r="EG123" s="242">
        <f ca="1">EG120*Assumptions!$Q$14/12</f>
        <v>0</v>
      </c>
      <c r="EH123" s="242">
        <f ca="1">EH120*Assumptions!$Q$14/12</f>
        <v>0</v>
      </c>
      <c r="EI123" s="242">
        <f ca="1">EI120*Assumptions!$Q$14/12</f>
        <v>0</v>
      </c>
      <c r="EJ123" s="242">
        <f ca="1">EJ120*Assumptions!$Q$14/12</f>
        <v>0</v>
      </c>
      <c r="EK123" s="242">
        <f ca="1">EK120*Assumptions!$Q$14/12</f>
        <v>0</v>
      </c>
      <c r="EL123" s="242">
        <f ca="1">EL120*Assumptions!$Q$14/12</f>
        <v>0</v>
      </c>
      <c r="EM123" s="242">
        <f ca="1">EM120*Assumptions!$Q$14/12</f>
        <v>0</v>
      </c>
      <c r="EN123" s="242">
        <f ca="1">EN120*Assumptions!$Q$14/12</f>
        <v>0</v>
      </c>
      <c r="EO123" s="242">
        <f ca="1">EO120*Assumptions!$Q$14/12</f>
        <v>0</v>
      </c>
      <c r="EP123" s="242">
        <f ca="1">EP120*Assumptions!$Q$14/12</f>
        <v>0</v>
      </c>
      <c r="EQ123" s="242">
        <f ca="1">EQ120*Assumptions!$Q$14/12</f>
        <v>0</v>
      </c>
      <c r="ER123" s="242">
        <f ca="1">ER120*Assumptions!$Q$14/12</f>
        <v>0</v>
      </c>
      <c r="ES123" s="242">
        <f ca="1">ES120*Assumptions!$Q$14/12</f>
        <v>0</v>
      </c>
      <c r="ET123" s="242">
        <f ca="1">ET120*Assumptions!$Q$14/12</f>
        <v>0</v>
      </c>
    </row>
    <row r="124" spans="2:150" x14ac:dyDescent="0.2">
      <c r="B124" t="s">
        <v>189</v>
      </c>
      <c r="F124" s="242">
        <f t="shared" ref="F124:AK124" si="1426">-IF((F63+F73)&lt;0,0,MIN(F63+F73+F140,F123))</f>
        <v>0</v>
      </c>
      <c r="G124" s="242">
        <f t="shared" ca="1" si="1426"/>
        <v>0</v>
      </c>
      <c r="H124" s="242">
        <f t="shared" ca="1" si="1426"/>
        <v>0</v>
      </c>
      <c r="I124" s="242">
        <f t="shared" ca="1" si="1426"/>
        <v>0</v>
      </c>
      <c r="J124" s="242">
        <f t="shared" ca="1" si="1426"/>
        <v>0</v>
      </c>
      <c r="K124" s="242">
        <f t="shared" ca="1" si="1426"/>
        <v>0</v>
      </c>
      <c r="L124" s="242">
        <f t="shared" ca="1" si="1426"/>
        <v>0</v>
      </c>
      <c r="M124" s="242">
        <f t="shared" ca="1" si="1426"/>
        <v>0</v>
      </c>
      <c r="N124" s="242">
        <f t="shared" ca="1" si="1426"/>
        <v>0</v>
      </c>
      <c r="O124" s="242">
        <f t="shared" ca="1" si="1426"/>
        <v>0</v>
      </c>
      <c r="P124" s="242">
        <f t="shared" ca="1" si="1426"/>
        <v>0</v>
      </c>
      <c r="Q124" s="242">
        <f t="shared" ca="1" si="1426"/>
        <v>0</v>
      </c>
      <c r="R124" s="242">
        <f t="shared" ca="1" si="1426"/>
        <v>0</v>
      </c>
      <c r="S124" s="242">
        <f t="shared" ca="1" si="1426"/>
        <v>0</v>
      </c>
      <c r="T124" s="242">
        <f t="shared" ca="1" si="1426"/>
        <v>0</v>
      </c>
      <c r="U124" s="242">
        <f t="shared" ca="1" si="1426"/>
        <v>0</v>
      </c>
      <c r="V124" s="242">
        <f t="shared" ca="1" si="1426"/>
        <v>0</v>
      </c>
      <c r="W124" s="242">
        <f t="shared" ca="1" si="1426"/>
        <v>0</v>
      </c>
      <c r="X124" s="242">
        <f t="shared" ca="1" si="1426"/>
        <v>0</v>
      </c>
      <c r="Y124" s="242">
        <f t="shared" ca="1" si="1426"/>
        <v>0</v>
      </c>
      <c r="Z124" s="242">
        <f t="shared" ca="1" si="1426"/>
        <v>0</v>
      </c>
      <c r="AA124" s="242">
        <f t="shared" ca="1" si="1426"/>
        <v>0</v>
      </c>
      <c r="AB124" s="242">
        <f t="shared" ca="1" si="1426"/>
        <v>0</v>
      </c>
      <c r="AC124" s="242">
        <f t="shared" ca="1" si="1426"/>
        <v>0</v>
      </c>
      <c r="AD124" s="242">
        <f t="shared" ca="1" si="1426"/>
        <v>0</v>
      </c>
      <c r="AE124" s="242">
        <f t="shared" ca="1" si="1426"/>
        <v>0</v>
      </c>
      <c r="AF124" s="242">
        <f t="shared" ca="1" si="1426"/>
        <v>0</v>
      </c>
      <c r="AG124" s="242">
        <f t="shared" ca="1" si="1426"/>
        <v>0</v>
      </c>
      <c r="AH124" s="242">
        <f t="shared" ca="1" si="1426"/>
        <v>0</v>
      </c>
      <c r="AI124" s="242">
        <f t="shared" ca="1" si="1426"/>
        <v>0</v>
      </c>
      <c r="AJ124" s="242">
        <f t="shared" ca="1" si="1426"/>
        <v>0</v>
      </c>
      <c r="AK124" s="242">
        <f t="shared" ca="1" si="1426"/>
        <v>0</v>
      </c>
      <c r="AL124" s="242">
        <f t="shared" ref="AL124:BQ124" ca="1" si="1427">-IF((AL63+AL73)&lt;0,0,MIN(AL63+AL73+AL140,AL123))</f>
        <v>0</v>
      </c>
      <c r="AM124" s="242">
        <f t="shared" ca="1" si="1427"/>
        <v>0</v>
      </c>
      <c r="AN124" s="242">
        <f t="shared" ca="1" si="1427"/>
        <v>0</v>
      </c>
      <c r="AO124" s="242">
        <f t="shared" ca="1" si="1427"/>
        <v>-1049.6639200053687</v>
      </c>
      <c r="AP124" s="242">
        <f t="shared" ca="1" si="1427"/>
        <v>-18984.908248281281</v>
      </c>
      <c r="AQ124" s="242">
        <f t="shared" ca="1" si="1427"/>
        <v>-44537.375679447956</v>
      </c>
      <c r="AR124" s="242">
        <f t="shared" ca="1" si="1427"/>
        <v>-62641.083110614651</v>
      </c>
      <c r="AS124" s="242">
        <f t="shared" ca="1" si="1427"/>
        <v>-79581.144541781308</v>
      </c>
      <c r="AT124" s="242">
        <f t="shared" ca="1" si="1427"/>
        <v>-95939.382972948006</v>
      </c>
      <c r="AU124" s="242">
        <f t="shared" ca="1" si="1427"/>
        <v>-112297.6214041147</v>
      </c>
      <c r="AV124" s="242">
        <f t="shared" ca="1" si="1427"/>
        <v>-126425.1909583041</v>
      </c>
      <c r="AW124" s="242">
        <f t="shared" ca="1" si="1427"/>
        <v>-126425.1909583041</v>
      </c>
      <c r="AX124" s="242">
        <f t="shared" ca="1" si="1427"/>
        <v>-126425.1909583041</v>
      </c>
      <c r="AY124" s="242">
        <f t="shared" ca="1" si="1427"/>
        <v>-126425.1909583041</v>
      </c>
      <c r="AZ124" s="242">
        <f t="shared" ca="1" si="1427"/>
        <v>-126425.1909583041</v>
      </c>
      <c r="BA124" s="242">
        <f t="shared" ca="1" si="1427"/>
        <v>-126486.56518330412</v>
      </c>
      <c r="BB124" s="242">
        <f t="shared" ca="1" si="1427"/>
        <v>-131298.94579781231</v>
      </c>
      <c r="BC124" s="242">
        <f t="shared" ca="1" si="1427"/>
        <v>-131298.94579781231</v>
      </c>
      <c r="BD124" s="242">
        <f t="shared" ca="1" si="1427"/>
        <v>-131298.94579781231</v>
      </c>
      <c r="BE124" s="242">
        <f t="shared" ca="1" si="1427"/>
        <v>-131298.94579781231</v>
      </c>
      <c r="BF124" s="242">
        <f t="shared" ca="1" si="1427"/>
        <v>-131298.94579781231</v>
      </c>
      <c r="BG124" s="242">
        <f t="shared" ca="1" si="1427"/>
        <v>-131298.94579781231</v>
      </c>
      <c r="BH124" s="242">
        <f t="shared" ca="1" si="1427"/>
        <v>-131298.94579781231</v>
      </c>
      <c r="BI124" s="242">
        <f t="shared" ca="1" si="1427"/>
        <v>-131298.94579781231</v>
      </c>
      <c r="BJ124" s="242">
        <f t="shared" ca="1" si="1427"/>
        <v>-131298.94579781231</v>
      </c>
      <c r="BK124" s="242">
        <f t="shared" ca="1" si="1427"/>
        <v>-131298.94579781231</v>
      </c>
      <c r="BL124" s="242">
        <f t="shared" ca="1" si="1427"/>
        <v>-131298.94579781231</v>
      </c>
      <c r="BM124" s="242">
        <f t="shared" ca="1" si="1427"/>
        <v>-131362.16124956231</v>
      </c>
      <c r="BN124" s="242">
        <f t="shared" ca="1" si="1427"/>
        <v>-136318.9132825057</v>
      </c>
      <c r="BO124" s="242">
        <f t="shared" ca="1" si="1427"/>
        <v>-136318.9132825057</v>
      </c>
      <c r="BP124" s="242">
        <f t="shared" ca="1" si="1427"/>
        <v>-136318.9132825057</v>
      </c>
      <c r="BQ124" s="242">
        <f t="shared" ca="1" si="1427"/>
        <v>-136318.9132825057</v>
      </c>
      <c r="BR124" s="242">
        <f t="shared" ref="BR124:CW124" ca="1" si="1428">-IF((BR63+BR73)&lt;0,0,MIN(BR63+BR73+BR140,BR123))</f>
        <v>-136318.9132825057</v>
      </c>
      <c r="BS124" s="242">
        <f t="shared" ca="1" si="1428"/>
        <v>-136318.9132825057</v>
      </c>
      <c r="BT124" s="242">
        <f t="shared" ca="1" si="1428"/>
        <v>-136318.9132825057</v>
      </c>
      <c r="BU124" s="242">
        <f t="shared" ca="1" si="1428"/>
        <v>-136318.9132825057</v>
      </c>
      <c r="BV124" s="242">
        <f t="shared" ca="1" si="1428"/>
        <v>-136318.9132825057</v>
      </c>
      <c r="BW124" s="242">
        <f t="shared" ca="1" si="1428"/>
        <v>-136318.9132825057</v>
      </c>
      <c r="BX124" s="242">
        <f t="shared" ca="1" si="1428"/>
        <v>-136318.9132825057</v>
      </c>
      <c r="BY124" s="242">
        <f t="shared" ca="1" si="1428"/>
        <v>-136384.02519780819</v>
      </c>
      <c r="BZ124" s="242">
        <f t="shared" ca="1" si="1428"/>
        <v>-141488.12878452265</v>
      </c>
      <c r="CA124" s="242">
        <f t="shared" ca="1" si="1428"/>
        <v>-141488.12878450289</v>
      </c>
      <c r="CB124" s="242">
        <f t="shared" ca="1" si="1428"/>
        <v>-141488.12878448892</v>
      </c>
      <c r="CC124" s="242">
        <f t="shared" ca="1" si="1428"/>
        <v>-141488.12878448152</v>
      </c>
      <c r="CD124" s="242">
        <f t="shared" ca="1" si="1428"/>
        <v>-141488.12878448141</v>
      </c>
      <c r="CE124" s="242">
        <f t="shared" ca="1" si="1428"/>
        <v>-141488.12878448903</v>
      </c>
      <c r="CF124" s="242">
        <f t="shared" ca="1" si="1428"/>
        <v>-141488.12878450536</v>
      </c>
      <c r="CG124" s="242">
        <f t="shared" ca="1" si="1428"/>
        <v>-141488.12878453088</v>
      </c>
      <c r="CH124" s="242">
        <f t="shared" ca="1" si="1428"/>
        <v>-141488.12878456651</v>
      </c>
      <c r="CI124" s="242">
        <f t="shared" ca="1" si="1428"/>
        <v>-141488.1287846131</v>
      </c>
      <c r="CJ124" s="242">
        <f t="shared" ca="1" si="1428"/>
        <v>-141488.12878467151</v>
      </c>
      <c r="CK124" s="242">
        <f t="shared" ca="1" si="1428"/>
        <v>-141488.12878447681</v>
      </c>
      <c r="CL124" s="242">
        <f t="shared" ca="1" si="1428"/>
        <v>0</v>
      </c>
      <c r="CM124" s="242">
        <f t="shared" ca="1" si="1428"/>
        <v>0</v>
      </c>
      <c r="CN124" s="242">
        <f t="shared" ca="1" si="1428"/>
        <v>0</v>
      </c>
      <c r="CO124" s="242">
        <f t="shared" ca="1" si="1428"/>
        <v>0</v>
      </c>
      <c r="CP124" s="242">
        <f t="shared" ca="1" si="1428"/>
        <v>0</v>
      </c>
      <c r="CQ124" s="242">
        <f t="shared" ca="1" si="1428"/>
        <v>0</v>
      </c>
      <c r="CR124" s="242">
        <f t="shared" ca="1" si="1428"/>
        <v>0</v>
      </c>
      <c r="CS124" s="242">
        <f t="shared" ca="1" si="1428"/>
        <v>0</v>
      </c>
      <c r="CT124" s="242">
        <f t="shared" ca="1" si="1428"/>
        <v>0</v>
      </c>
      <c r="CU124" s="242">
        <f t="shared" ca="1" si="1428"/>
        <v>0</v>
      </c>
      <c r="CV124" s="242">
        <f t="shared" ca="1" si="1428"/>
        <v>0</v>
      </c>
      <c r="CW124" s="242">
        <f t="shared" ca="1" si="1428"/>
        <v>0</v>
      </c>
      <c r="CX124" s="242">
        <f t="shared" ref="CX124:EC124" ca="1" si="1429">-IF((CX63+CX73)&lt;0,0,MIN(CX63+CX73+CX140,CX123))</f>
        <v>0</v>
      </c>
      <c r="CY124" s="242">
        <f t="shared" ca="1" si="1429"/>
        <v>0</v>
      </c>
      <c r="CZ124" s="242">
        <f t="shared" ca="1" si="1429"/>
        <v>0</v>
      </c>
      <c r="DA124" s="242">
        <f t="shared" ca="1" si="1429"/>
        <v>0</v>
      </c>
      <c r="DB124" s="242">
        <f t="shared" ca="1" si="1429"/>
        <v>0</v>
      </c>
      <c r="DC124" s="242">
        <f t="shared" ca="1" si="1429"/>
        <v>0</v>
      </c>
      <c r="DD124" s="242">
        <f t="shared" ca="1" si="1429"/>
        <v>0</v>
      </c>
      <c r="DE124" s="242">
        <f t="shared" ca="1" si="1429"/>
        <v>0</v>
      </c>
      <c r="DF124" s="242">
        <f t="shared" ca="1" si="1429"/>
        <v>0</v>
      </c>
      <c r="DG124" s="242">
        <f t="shared" ca="1" si="1429"/>
        <v>0</v>
      </c>
      <c r="DH124" s="242">
        <f t="shared" ca="1" si="1429"/>
        <v>0</v>
      </c>
      <c r="DI124" s="242">
        <f t="shared" ca="1" si="1429"/>
        <v>0</v>
      </c>
      <c r="DJ124" s="242">
        <f t="shared" ca="1" si="1429"/>
        <v>0</v>
      </c>
      <c r="DK124" s="242">
        <f t="shared" ca="1" si="1429"/>
        <v>0</v>
      </c>
      <c r="DL124" s="242">
        <f t="shared" ca="1" si="1429"/>
        <v>0</v>
      </c>
      <c r="DM124" s="242">
        <f t="shared" ca="1" si="1429"/>
        <v>0</v>
      </c>
      <c r="DN124" s="242">
        <f t="shared" ca="1" si="1429"/>
        <v>0</v>
      </c>
      <c r="DO124" s="242">
        <f t="shared" ca="1" si="1429"/>
        <v>0</v>
      </c>
      <c r="DP124" s="242">
        <f t="shared" ca="1" si="1429"/>
        <v>0</v>
      </c>
      <c r="DQ124" s="242">
        <f t="shared" ca="1" si="1429"/>
        <v>0</v>
      </c>
      <c r="DR124" s="242">
        <f t="shared" ca="1" si="1429"/>
        <v>0</v>
      </c>
      <c r="DS124" s="242">
        <f t="shared" ca="1" si="1429"/>
        <v>0</v>
      </c>
      <c r="DT124" s="242">
        <f t="shared" ca="1" si="1429"/>
        <v>0</v>
      </c>
      <c r="DU124" s="242">
        <f t="shared" ca="1" si="1429"/>
        <v>0</v>
      </c>
      <c r="DV124" s="242">
        <f t="shared" ca="1" si="1429"/>
        <v>0</v>
      </c>
      <c r="DW124" s="242">
        <f t="shared" ca="1" si="1429"/>
        <v>0</v>
      </c>
      <c r="DX124" s="242">
        <f t="shared" ca="1" si="1429"/>
        <v>0</v>
      </c>
      <c r="DY124" s="242">
        <f t="shared" ca="1" si="1429"/>
        <v>0</v>
      </c>
      <c r="DZ124" s="242">
        <f t="shared" ca="1" si="1429"/>
        <v>0</v>
      </c>
      <c r="EA124" s="242">
        <f t="shared" ca="1" si="1429"/>
        <v>0</v>
      </c>
      <c r="EB124" s="242">
        <f t="shared" ca="1" si="1429"/>
        <v>0</v>
      </c>
      <c r="EC124" s="242">
        <f t="shared" ca="1" si="1429"/>
        <v>0</v>
      </c>
      <c r="ED124" s="242">
        <f t="shared" ref="ED124:ET124" ca="1" si="1430">-IF((ED63+ED73)&lt;0,0,MIN(ED63+ED73+ED140,ED123))</f>
        <v>0</v>
      </c>
      <c r="EE124" s="242">
        <f t="shared" ca="1" si="1430"/>
        <v>0</v>
      </c>
      <c r="EF124" s="242">
        <f t="shared" ca="1" si="1430"/>
        <v>0</v>
      </c>
      <c r="EG124" s="242">
        <f t="shared" ca="1" si="1430"/>
        <v>0</v>
      </c>
      <c r="EH124" s="242">
        <f t="shared" ca="1" si="1430"/>
        <v>0</v>
      </c>
      <c r="EI124" s="242">
        <f t="shared" ca="1" si="1430"/>
        <v>0</v>
      </c>
      <c r="EJ124" s="242">
        <f t="shared" ca="1" si="1430"/>
        <v>0</v>
      </c>
      <c r="EK124" s="242">
        <f t="shared" ca="1" si="1430"/>
        <v>0</v>
      </c>
      <c r="EL124" s="242">
        <f t="shared" ca="1" si="1430"/>
        <v>0</v>
      </c>
      <c r="EM124" s="242">
        <f t="shared" ca="1" si="1430"/>
        <v>0</v>
      </c>
      <c r="EN124" s="242">
        <f t="shared" ca="1" si="1430"/>
        <v>0</v>
      </c>
      <c r="EO124" s="242">
        <f t="shared" ca="1" si="1430"/>
        <v>0</v>
      </c>
      <c r="EP124" s="242">
        <f t="shared" ca="1" si="1430"/>
        <v>0</v>
      </c>
      <c r="EQ124" s="242">
        <f t="shared" ca="1" si="1430"/>
        <v>0</v>
      </c>
      <c r="ER124" s="242">
        <f t="shared" ca="1" si="1430"/>
        <v>0</v>
      </c>
      <c r="ES124" s="242">
        <f t="shared" ca="1" si="1430"/>
        <v>0</v>
      </c>
      <c r="ET124" s="242">
        <f t="shared" ca="1" si="1430"/>
        <v>0</v>
      </c>
    </row>
    <row r="125" spans="2:150" x14ac:dyDescent="0.2">
      <c r="B125" t="s">
        <v>134</v>
      </c>
      <c r="F125" s="242">
        <f>SUM(F123:F124)</f>
        <v>0</v>
      </c>
      <c r="G125" s="242">
        <f t="shared" ref="G125:U125" ca="1" si="1431">SUM(G123:G124)</f>
        <v>0</v>
      </c>
      <c r="H125" s="242">
        <f t="shared" ca="1" si="1431"/>
        <v>0</v>
      </c>
      <c r="I125" s="242">
        <f t="shared" ca="1" si="1431"/>
        <v>0</v>
      </c>
      <c r="J125" s="242">
        <f t="shared" ca="1" si="1431"/>
        <v>0</v>
      </c>
      <c r="K125" s="242">
        <f t="shared" ca="1" si="1431"/>
        <v>0</v>
      </c>
      <c r="L125" s="242">
        <f t="shared" ca="1" si="1431"/>
        <v>0</v>
      </c>
      <c r="M125" s="242">
        <f t="shared" ca="1" si="1431"/>
        <v>0</v>
      </c>
      <c r="N125" s="242">
        <f t="shared" ca="1" si="1431"/>
        <v>0</v>
      </c>
      <c r="O125" s="242">
        <f t="shared" ca="1" si="1431"/>
        <v>0</v>
      </c>
      <c r="P125" s="242">
        <f t="shared" ca="1" si="1431"/>
        <v>0</v>
      </c>
      <c r="Q125" s="242">
        <f t="shared" ca="1" si="1431"/>
        <v>0</v>
      </c>
      <c r="R125" s="242">
        <f t="shared" ca="1" si="1431"/>
        <v>0</v>
      </c>
      <c r="S125" s="242">
        <f t="shared" ca="1" si="1431"/>
        <v>0</v>
      </c>
      <c r="T125" s="242">
        <f t="shared" ca="1" si="1431"/>
        <v>0</v>
      </c>
      <c r="U125" s="242">
        <f t="shared" ca="1" si="1431"/>
        <v>0</v>
      </c>
      <c r="V125" s="242">
        <f t="shared" ref="V125:BZ125" ca="1" si="1432">SUM(V123:V124)</f>
        <v>0</v>
      </c>
      <c r="W125" s="242">
        <f t="shared" ca="1" si="1432"/>
        <v>0</v>
      </c>
      <c r="X125" s="242">
        <f t="shared" ca="1" si="1432"/>
        <v>0</v>
      </c>
      <c r="Y125" s="242">
        <f t="shared" ca="1" si="1432"/>
        <v>8183.412588264232</v>
      </c>
      <c r="Z125" s="242">
        <f t="shared" ca="1" si="1432"/>
        <v>15166.126790648601</v>
      </c>
      <c r="AA125" s="242">
        <f t="shared" ca="1" si="1432"/>
        <v>33129.982956798405</v>
      </c>
      <c r="AB125" s="242">
        <f t="shared" ca="1" si="1432"/>
        <v>40213.925723987166</v>
      </c>
      <c r="AC125" s="242">
        <f t="shared" ca="1" si="1432"/>
        <v>47342.143133471422</v>
      </c>
      <c r="AD125" s="242">
        <f t="shared" ca="1" si="1432"/>
        <v>54514.911901765503</v>
      </c>
      <c r="AE125" s="242">
        <f t="shared" ca="1" si="1432"/>
        <v>61732.510474862</v>
      </c>
      <c r="AF125" s="242">
        <f t="shared" ca="1" si="1432"/>
        <v>68995.21903904085</v>
      </c>
      <c r="AG125" s="242">
        <f t="shared" ca="1" si="1432"/>
        <v>76303.319531746398</v>
      </c>
      <c r="AH125" s="242">
        <f t="shared" ca="1" si="1432"/>
        <v>83657.095652531905</v>
      </c>
      <c r="AI125" s="242">
        <f t="shared" ca="1" si="1432"/>
        <v>91056.832874072847</v>
      </c>
      <c r="AJ125" s="242">
        <f t="shared" ca="1" si="1432"/>
        <v>98502.818453248954</v>
      </c>
      <c r="AK125" s="242">
        <f t="shared" ca="1" si="1432"/>
        <v>105995.34144229548</v>
      </c>
      <c r="AL125" s="242">
        <f t="shared" ca="1" si="1432"/>
        <v>113534.69270002394</v>
      </c>
      <c r="AM125" s="242">
        <f t="shared" ca="1" si="1432"/>
        <v>121121.16490311378</v>
      </c>
      <c r="AN125" s="242">
        <f t="shared" ca="1" si="1432"/>
        <v>128755.05255747329</v>
      </c>
      <c r="AO125" s="242">
        <f t="shared" ca="1" si="1432"/>
        <v>135386.98808966757</v>
      </c>
      <c r="AP125" s="242">
        <f t="shared" ca="1" si="1432"/>
        <v>118297.91243696804</v>
      </c>
      <c r="AQ125" s="242">
        <f t="shared" ca="1" si="1432"/>
        <v>93484.806958548696</v>
      </c>
      <c r="AR125" s="242">
        <f t="shared" ca="1" si="1432"/>
        <v>75965.379570889345</v>
      </c>
      <c r="AS125" s="242">
        <f t="shared" ca="1" si="1432"/>
        <v>59500.101762057398</v>
      </c>
      <c r="AT125" s="242">
        <f t="shared" ca="1" si="1432"/>
        <v>43513.73896692034</v>
      </c>
      <c r="AU125" s="242">
        <f t="shared" ca="1" si="1432"/>
        <v>27427.461404313683</v>
      </c>
      <c r="AV125" s="242">
        <f t="shared" ca="1" si="1432"/>
        <v>13471.313483917998</v>
      </c>
      <c r="AW125" s="242">
        <f t="shared" ca="1" si="1432"/>
        <v>13555.509193209087</v>
      </c>
      <c r="AX125" s="242">
        <f t="shared" ca="1" si="1432"/>
        <v>13640.231125682854</v>
      </c>
      <c r="AY125" s="242">
        <f t="shared" ca="1" si="1432"/>
        <v>13725.482570234279</v>
      </c>
      <c r="AZ125" s="242">
        <f t="shared" ca="1" si="1432"/>
        <v>13811.266836313502</v>
      </c>
      <c r="BA125" s="242">
        <f t="shared" ca="1" si="1432"/>
        <v>13836.213029055114</v>
      </c>
      <c r="BB125" s="242">
        <f t="shared" ca="1" si="1432"/>
        <v>9110.3087459923408</v>
      </c>
      <c r="BC125" s="242">
        <f t="shared" ca="1" si="1432"/>
        <v>9167.2481756675115</v>
      </c>
      <c r="BD125" s="242">
        <f t="shared" ca="1" si="1432"/>
        <v>9224.5434767770639</v>
      </c>
      <c r="BE125" s="242">
        <f t="shared" ca="1" si="1432"/>
        <v>9282.1968735170958</v>
      </c>
      <c r="BF125" s="242">
        <f t="shared" ca="1" si="1432"/>
        <v>9340.210603985237</v>
      </c>
      <c r="BG125" s="242">
        <f t="shared" ca="1" si="1432"/>
        <v>9398.5869202669419</v>
      </c>
      <c r="BH125" s="242">
        <f t="shared" ca="1" si="1432"/>
        <v>9457.3280885233253</v>
      </c>
      <c r="BI125" s="242">
        <f t="shared" ca="1" si="1432"/>
        <v>9516.4363890789973</v>
      </c>
      <c r="BJ125" s="242">
        <f t="shared" ca="1" si="1432"/>
        <v>9575.9141165105684</v>
      </c>
      <c r="BK125" s="242">
        <f t="shared" ca="1" si="1432"/>
        <v>9635.7635797357943</v>
      </c>
      <c r="BL125" s="242">
        <f t="shared" ca="1" si="1432"/>
        <v>9695.987102102983</v>
      </c>
      <c r="BM125" s="242">
        <f t="shared" ca="1" si="1432"/>
        <v>9693.3715697314474</v>
      </c>
      <c r="BN125" s="242">
        <f t="shared" ca="1" si="1432"/>
        <v>4797.2031090853561</v>
      </c>
      <c r="BO125" s="242">
        <f t="shared" ca="1" si="1432"/>
        <v>4827.185628499632</v>
      </c>
      <c r="BP125" s="242">
        <f t="shared" ca="1" si="1432"/>
        <v>4857.355538655509</v>
      </c>
      <c r="BQ125" s="242">
        <f t="shared" ca="1" si="1432"/>
        <v>4887.714010745025</v>
      </c>
      <c r="BR125" s="242">
        <f t="shared" ca="1" si="1432"/>
        <v>4918.2622232798603</v>
      </c>
      <c r="BS125" s="242">
        <f t="shared" ca="1" si="1432"/>
        <v>4949.0013621373801</v>
      </c>
      <c r="BT125" s="242">
        <f t="shared" ca="1" si="1432"/>
        <v>4979.9326206065307</v>
      </c>
      <c r="BU125" s="242">
        <f t="shared" ca="1" si="1432"/>
        <v>5011.057199434581</v>
      </c>
      <c r="BV125" s="242">
        <f t="shared" ca="1" si="1432"/>
        <v>5042.3763068734552</v>
      </c>
      <c r="BW125" s="242">
        <f t="shared" ca="1" si="1432"/>
        <v>5073.8911587262701</v>
      </c>
      <c r="BX125" s="242">
        <f t="shared" ca="1" si="1432"/>
        <v>5105.602978395269</v>
      </c>
      <c r="BY125" s="242">
        <f t="shared" ca="1" si="1432"/>
        <v>5072.4010816264199</v>
      </c>
      <c r="BZ125" s="242">
        <f t="shared" ca="1" si="1432"/>
        <v>0</v>
      </c>
      <c r="CA125" s="242">
        <f t="shared" ref="CA125:EL125" ca="1" si="1433">SUM(CA123:CA124)</f>
        <v>0</v>
      </c>
      <c r="CB125" s="242">
        <f t="shared" ca="1" si="1433"/>
        <v>0</v>
      </c>
      <c r="CC125" s="242">
        <f t="shared" ca="1" si="1433"/>
        <v>0</v>
      </c>
      <c r="CD125" s="242">
        <f t="shared" ca="1" si="1433"/>
        <v>0</v>
      </c>
      <c r="CE125" s="242">
        <f t="shared" ca="1" si="1433"/>
        <v>0</v>
      </c>
      <c r="CF125" s="242">
        <f t="shared" ca="1" si="1433"/>
        <v>0</v>
      </c>
      <c r="CG125" s="242">
        <f t="shared" ca="1" si="1433"/>
        <v>0</v>
      </c>
      <c r="CH125" s="242">
        <f t="shared" ca="1" si="1433"/>
        <v>0</v>
      </c>
      <c r="CI125" s="242">
        <f t="shared" ca="1" si="1433"/>
        <v>0</v>
      </c>
      <c r="CJ125" s="242">
        <f t="shared" ca="1" si="1433"/>
        <v>0</v>
      </c>
      <c r="CK125" s="242">
        <f t="shared" ca="1" si="1433"/>
        <v>0</v>
      </c>
      <c r="CL125" s="242">
        <f t="shared" ca="1" si="1433"/>
        <v>0</v>
      </c>
      <c r="CM125" s="242">
        <f t="shared" ca="1" si="1433"/>
        <v>0</v>
      </c>
      <c r="CN125" s="242">
        <f t="shared" ca="1" si="1433"/>
        <v>0</v>
      </c>
      <c r="CO125" s="242">
        <f t="shared" ca="1" si="1433"/>
        <v>0</v>
      </c>
      <c r="CP125" s="242">
        <f t="shared" ca="1" si="1433"/>
        <v>0</v>
      </c>
      <c r="CQ125" s="242">
        <f t="shared" ca="1" si="1433"/>
        <v>0</v>
      </c>
      <c r="CR125" s="242">
        <f t="shared" ca="1" si="1433"/>
        <v>0</v>
      </c>
      <c r="CS125" s="242">
        <f t="shared" ca="1" si="1433"/>
        <v>0</v>
      </c>
      <c r="CT125" s="242">
        <f t="shared" ca="1" si="1433"/>
        <v>0</v>
      </c>
      <c r="CU125" s="242">
        <f t="shared" ca="1" si="1433"/>
        <v>0</v>
      </c>
      <c r="CV125" s="242">
        <f t="shared" ca="1" si="1433"/>
        <v>0</v>
      </c>
      <c r="CW125" s="242">
        <f t="shared" ca="1" si="1433"/>
        <v>0</v>
      </c>
      <c r="CX125" s="242">
        <f t="shared" ca="1" si="1433"/>
        <v>0</v>
      </c>
      <c r="CY125" s="242">
        <f t="shared" ca="1" si="1433"/>
        <v>0</v>
      </c>
      <c r="CZ125" s="242">
        <f t="shared" ca="1" si="1433"/>
        <v>0</v>
      </c>
      <c r="DA125" s="242">
        <f t="shared" ca="1" si="1433"/>
        <v>0</v>
      </c>
      <c r="DB125" s="242">
        <f t="shared" ca="1" si="1433"/>
        <v>0</v>
      </c>
      <c r="DC125" s="242">
        <f t="shared" ca="1" si="1433"/>
        <v>0</v>
      </c>
      <c r="DD125" s="242">
        <f t="shared" ca="1" si="1433"/>
        <v>0</v>
      </c>
      <c r="DE125" s="242">
        <f t="shared" ca="1" si="1433"/>
        <v>0</v>
      </c>
      <c r="DF125" s="242">
        <f t="shared" ca="1" si="1433"/>
        <v>0</v>
      </c>
      <c r="DG125" s="242">
        <f t="shared" ca="1" si="1433"/>
        <v>0</v>
      </c>
      <c r="DH125" s="242">
        <f t="shared" ca="1" si="1433"/>
        <v>0</v>
      </c>
      <c r="DI125" s="242">
        <f t="shared" ca="1" si="1433"/>
        <v>0</v>
      </c>
      <c r="DJ125" s="242">
        <f t="shared" ca="1" si="1433"/>
        <v>0</v>
      </c>
      <c r="DK125" s="242">
        <f t="shared" ca="1" si="1433"/>
        <v>0</v>
      </c>
      <c r="DL125" s="242">
        <f t="shared" ca="1" si="1433"/>
        <v>0</v>
      </c>
      <c r="DM125" s="242">
        <f t="shared" ca="1" si="1433"/>
        <v>0</v>
      </c>
      <c r="DN125" s="242">
        <f t="shared" ca="1" si="1433"/>
        <v>0</v>
      </c>
      <c r="DO125" s="242">
        <f t="shared" ca="1" si="1433"/>
        <v>0</v>
      </c>
      <c r="DP125" s="242">
        <f t="shared" ca="1" si="1433"/>
        <v>0</v>
      </c>
      <c r="DQ125" s="242">
        <f t="shared" ca="1" si="1433"/>
        <v>0</v>
      </c>
      <c r="DR125" s="242">
        <f t="shared" ca="1" si="1433"/>
        <v>0</v>
      </c>
      <c r="DS125" s="242">
        <f t="shared" ca="1" si="1433"/>
        <v>0</v>
      </c>
      <c r="DT125" s="242">
        <f t="shared" ca="1" si="1433"/>
        <v>0</v>
      </c>
      <c r="DU125" s="242">
        <f t="shared" ca="1" si="1433"/>
        <v>0</v>
      </c>
      <c r="DV125" s="242">
        <f t="shared" ca="1" si="1433"/>
        <v>0</v>
      </c>
      <c r="DW125" s="242">
        <f t="shared" ca="1" si="1433"/>
        <v>0</v>
      </c>
      <c r="DX125" s="242">
        <f t="shared" ca="1" si="1433"/>
        <v>0</v>
      </c>
      <c r="DY125" s="242">
        <f t="shared" ca="1" si="1433"/>
        <v>0</v>
      </c>
      <c r="DZ125" s="242">
        <f t="shared" ca="1" si="1433"/>
        <v>0</v>
      </c>
      <c r="EA125" s="242">
        <f t="shared" ca="1" si="1433"/>
        <v>0</v>
      </c>
      <c r="EB125" s="242">
        <f t="shared" ca="1" si="1433"/>
        <v>0</v>
      </c>
      <c r="EC125" s="242">
        <f t="shared" ca="1" si="1433"/>
        <v>0</v>
      </c>
      <c r="ED125" s="242">
        <f t="shared" ca="1" si="1433"/>
        <v>0</v>
      </c>
      <c r="EE125" s="242">
        <f t="shared" ca="1" si="1433"/>
        <v>0</v>
      </c>
      <c r="EF125" s="242">
        <f t="shared" ca="1" si="1433"/>
        <v>0</v>
      </c>
      <c r="EG125" s="242">
        <f t="shared" ca="1" si="1433"/>
        <v>0</v>
      </c>
      <c r="EH125" s="242">
        <f t="shared" ca="1" si="1433"/>
        <v>0</v>
      </c>
      <c r="EI125" s="242">
        <f t="shared" ca="1" si="1433"/>
        <v>0</v>
      </c>
      <c r="EJ125" s="242">
        <f t="shared" ca="1" si="1433"/>
        <v>0</v>
      </c>
      <c r="EK125" s="242">
        <f t="shared" ca="1" si="1433"/>
        <v>0</v>
      </c>
      <c r="EL125" s="242">
        <f t="shared" ca="1" si="1433"/>
        <v>0</v>
      </c>
      <c r="EM125" s="242">
        <f t="shared" ref="EM125:ET125" ca="1" si="1434">SUM(EM123:EM124)</f>
        <v>0</v>
      </c>
      <c r="EN125" s="242">
        <f t="shared" ca="1" si="1434"/>
        <v>0</v>
      </c>
      <c r="EO125" s="242">
        <f t="shared" ca="1" si="1434"/>
        <v>0</v>
      </c>
      <c r="EP125" s="242">
        <f t="shared" ca="1" si="1434"/>
        <v>0</v>
      </c>
      <c r="EQ125" s="242">
        <f t="shared" ca="1" si="1434"/>
        <v>0</v>
      </c>
      <c r="ER125" s="242">
        <f t="shared" ca="1" si="1434"/>
        <v>0</v>
      </c>
      <c r="ES125" s="242">
        <f t="shared" ca="1" si="1434"/>
        <v>0</v>
      </c>
      <c r="ET125" s="242">
        <f t="shared" ca="1" si="1434"/>
        <v>0</v>
      </c>
    </row>
    <row r="126" spans="2:150" x14ac:dyDescent="0.2">
      <c r="B126" t="s">
        <v>285</v>
      </c>
      <c r="F126" s="242">
        <f>-IF(AND(Assumptions!$Q$33="Yes",F$6=Assumptions!$P$36),F120+F121+F122,0)</f>
        <v>0</v>
      </c>
      <c r="G126" s="242">
        <f>-IF(AND(Assumptions!$Q$33="Yes",G6=Assumptions!$P$36),G120+G121+G122,0)</f>
        <v>0</v>
      </c>
      <c r="H126" s="242">
        <f>-IF(AND(Assumptions!$Q$33="Yes",H6=Assumptions!$P$36),H120+H121+H122,0)</f>
        <v>0</v>
      </c>
      <c r="I126" s="242">
        <f>-IF(AND(Assumptions!$Q$33="Yes",I6=Assumptions!$P$36),I120+I121+I122,0)</f>
        <v>0</v>
      </c>
      <c r="J126" s="242">
        <f>-IF(AND(Assumptions!$Q$33="Yes",J6=Assumptions!$P$36),J120+J121+J122,0)</f>
        <v>0</v>
      </c>
      <c r="K126" s="242">
        <f>-IF(AND(Assumptions!$Q$33="Yes",K6=Assumptions!$P$36),K120+K121+K122,0)</f>
        <v>0</v>
      </c>
      <c r="L126" s="242">
        <f>-IF(AND(Assumptions!$Q$33="Yes",L6=Assumptions!$P$36),L120+L121+L122,0)</f>
        <v>0</v>
      </c>
      <c r="M126" s="242">
        <f>-IF(AND(Assumptions!$Q$33="Yes",M6=Assumptions!$P$36),M120+M121+M122,0)</f>
        <v>0</v>
      </c>
      <c r="N126" s="242">
        <f>-IF(AND(Assumptions!$Q$33="Yes",N6=Assumptions!$P$36),N120+N121+N122,0)</f>
        <v>0</v>
      </c>
      <c r="O126" s="242">
        <f>-IF(AND(Assumptions!$Q$33="Yes",O6=Assumptions!$P$36),O120+O121+O122,0)</f>
        <v>0</v>
      </c>
      <c r="P126" s="242">
        <f>-IF(AND(Assumptions!$Q$33="Yes",P6=Assumptions!$P$36),P120+P121+P122,0)</f>
        <v>0</v>
      </c>
      <c r="Q126" s="242">
        <f>-IF(AND(Assumptions!$Q$33="Yes",Q6=Assumptions!$P$36),Q120+Q121+Q122,0)</f>
        <v>0</v>
      </c>
      <c r="R126" s="242">
        <f>-IF(AND(Assumptions!$Q$33="Yes",R6=Assumptions!$P$36),R120+R121+R122,0)</f>
        <v>0</v>
      </c>
      <c r="S126" s="242">
        <f>-IF(AND(Assumptions!$Q$33="Yes",S6=Assumptions!$P$36),S120+S121+S122,0)</f>
        <v>0</v>
      </c>
      <c r="T126" s="242">
        <f>-IF(AND(Assumptions!$Q$33="Yes",T6=Assumptions!$P$36),T120+T121+T122,0)</f>
        <v>0</v>
      </c>
      <c r="U126" s="242">
        <f>-IF(AND(Assumptions!$Q$33="Yes",U6=Assumptions!$P$36),U120+U121+U122,0)</f>
        <v>0</v>
      </c>
      <c r="V126" s="242">
        <f>-IF(AND(Assumptions!$Q$33="Yes",V6=Assumptions!$P$36),V120+V121+V122,0)</f>
        <v>0</v>
      </c>
      <c r="W126" s="242">
        <f>-IF(AND(Assumptions!$Q$33="Yes",W6=Assumptions!$P$36),W120+W121+W122,0)</f>
        <v>0</v>
      </c>
      <c r="X126" s="242">
        <f>-IF(AND(Assumptions!$Q$33="Yes",X6=Assumptions!$P$36),X120+X121+X122,0)</f>
        <v>0</v>
      </c>
      <c r="Y126" s="242">
        <f>-IF(AND(Assumptions!$Q$33="Yes",Y6=Assumptions!$P$36),Y120+Y121+Y122,0)</f>
        <v>0</v>
      </c>
      <c r="Z126" s="242">
        <f>-IF(AND(Assumptions!$Q$33="Yes",Z6=Assumptions!$P$36),Z120+Z121+Z122,0)</f>
        <v>0</v>
      </c>
      <c r="AA126" s="242">
        <f>-IF(AND(Assumptions!$Q$33="Yes",AA6=Assumptions!$P$36),AA120+AA121+AA122,0)</f>
        <v>0</v>
      </c>
      <c r="AB126" s="242">
        <f>-IF(AND(Assumptions!$Q$33="Yes",AB6=Assumptions!$P$36),AB120+AB121+AB122,0)</f>
        <v>0</v>
      </c>
      <c r="AC126" s="242">
        <f>-IF(AND(Assumptions!$Q$33="Yes",AC6=Assumptions!$P$36),AC120+AC121+AC122,0)</f>
        <v>0</v>
      </c>
      <c r="AD126" s="242">
        <f>-IF(AND(Assumptions!$Q$33="Yes",AD6=Assumptions!$P$36),AD120+AD121+AD122,0)</f>
        <v>0</v>
      </c>
      <c r="AE126" s="242">
        <f>-IF(AND(Assumptions!$Q$33="Yes",AE6=Assumptions!$P$36),AE120+AE121+AE122,0)</f>
        <v>0</v>
      </c>
      <c r="AF126" s="242">
        <f>-IF(AND(Assumptions!$Q$33="Yes",AF6=Assumptions!$P$36),AF120+AF121+AF122,0)</f>
        <v>0</v>
      </c>
      <c r="AG126" s="242">
        <f>-IF(AND(Assumptions!$Q$33="Yes",AG6=Assumptions!$P$36),AG120+AG121+AG122,0)</f>
        <v>0</v>
      </c>
      <c r="AH126" s="242">
        <f>-IF(AND(Assumptions!$Q$33="Yes",AH6=Assumptions!$P$36),AH120+AH121+AH122,0)</f>
        <v>0</v>
      </c>
      <c r="AI126" s="242">
        <f>-IF(AND(Assumptions!$Q$33="Yes",AI6=Assumptions!$P$36),AI120+AI121+AI122,0)</f>
        <v>0</v>
      </c>
      <c r="AJ126" s="242">
        <f>-IF(AND(Assumptions!$Q$33="Yes",AJ6=Assumptions!$P$36),AJ120+AJ121+AJ122,0)</f>
        <v>0</v>
      </c>
      <c r="AK126" s="242">
        <f>-IF(AND(Assumptions!$Q$33="Yes",AK6=Assumptions!$P$36),AK120+AK121+AK122,0)</f>
        <v>0</v>
      </c>
      <c r="AL126" s="242">
        <f>-IF(AND(Assumptions!$Q$33="Yes",AL6=Assumptions!$P$36),AL120+AL121+AL122,0)</f>
        <v>0</v>
      </c>
      <c r="AM126" s="242">
        <f>-IF(AND(Assumptions!$Q$33="Yes",AM6=Assumptions!$P$36),AM120+AM121+AM122,0)</f>
        <v>0</v>
      </c>
      <c r="AN126" s="242">
        <f>-IF(AND(Assumptions!$Q$33="Yes",AN6=Assumptions!$P$36),AN120+AN121+AN122,0)</f>
        <v>0</v>
      </c>
      <c r="AO126" s="242">
        <f>-IF(AND(Assumptions!$Q$33="Yes",AO6=Assumptions!$P$36),AO120+AO121+AO122,0)</f>
        <v>0</v>
      </c>
      <c r="AP126" s="242">
        <f>-IF(AND(Assumptions!$Q$33="Yes",AP6=Assumptions!$P$36),AP120+AP121+AP122,0)</f>
        <v>0</v>
      </c>
      <c r="AQ126" s="242">
        <f>-IF(AND(Assumptions!$Q$33="Yes",AQ6=Assumptions!$P$36),AQ120+AQ121+AQ122,0)</f>
        <v>0</v>
      </c>
      <c r="AR126" s="242">
        <f>-IF(AND(Assumptions!$Q$33="Yes",AR6=Assumptions!$P$36),AR120+AR121+AR122,0)</f>
        <v>0</v>
      </c>
      <c r="AS126" s="242">
        <f>-IF(AND(Assumptions!$Q$33="Yes",AS6=Assumptions!$P$36),AS120+AS121+AS122,0)</f>
        <v>0</v>
      </c>
      <c r="AT126" s="242">
        <f>-IF(AND(Assumptions!$Q$33="Yes",AT6=Assumptions!$P$36),AT120+AT121+AT122,0)</f>
        <v>0</v>
      </c>
      <c r="AU126" s="242">
        <f>-IF(AND(Assumptions!$Q$33="Yes",AU6=Assumptions!$P$36),AU120+AU121+AU122,0)</f>
        <v>0</v>
      </c>
      <c r="AV126" s="242">
        <f>-IF(AND(Assumptions!$Q$33="Yes",AV6=Assumptions!$P$36),AV120+AV121+AV122,0)</f>
        <v>0</v>
      </c>
      <c r="AW126" s="242">
        <f>-IF(AND(Assumptions!$Q$33="Yes",AW6=Assumptions!$P$36),AW120+AW121+AW122,0)</f>
        <v>0</v>
      </c>
      <c r="AX126" s="242">
        <f>-IF(AND(Assumptions!$Q$33="Yes",AX6=Assumptions!$P$36),AX120+AX121+AX122,0)</f>
        <v>0</v>
      </c>
      <c r="AY126" s="242">
        <f>-IF(AND(Assumptions!$Q$33="Yes",AY6=Assumptions!$P$36),AY120+AY121+AY122,0)</f>
        <v>0</v>
      </c>
      <c r="AZ126" s="242">
        <f>-IF(AND(Assumptions!$Q$33="Yes",AZ6=Assumptions!$P$36),AZ120+AZ121+AZ122,0)</f>
        <v>0</v>
      </c>
      <c r="BA126" s="242">
        <f>-IF(AND(Assumptions!$Q$33="Yes",BA6=Assumptions!$P$36),BA120+BA121+BA122,0)</f>
        <v>0</v>
      </c>
      <c r="BB126" s="242">
        <f>-IF(AND(Assumptions!$Q$33="Yes",BB6=Assumptions!$P$36),BB120+BB121+BB122,0)</f>
        <v>0</v>
      </c>
      <c r="BC126" s="242">
        <f>-IF(AND(Assumptions!$Q$33="Yes",BC6=Assumptions!$P$36),BC120+BC121+BC122,0)</f>
        <v>0</v>
      </c>
      <c r="BD126" s="242">
        <f>-IF(AND(Assumptions!$Q$33="Yes",BD6=Assumptions!$P$36),BD120+BD121+BD122,0)</f>
        <v>0</v>
      </c>
      <c r="BE126" s="242">
        <f>-IF(AND(Assumptions!$Q$33="Yes",BE6=Assumptions!$P$36),BE120+BE121+BE122,0)</f>
        <v>0</v>
      </c>
      <c r="BF126" s="242">
        <f>-IF(AND(Assumptions!$Q$33="Yes",BF6=Assumptions!$P$36),BF120+BF121+BF122,0)</f>
        <v>0</v>
      </c>
      <c r="BG126" s="242">
        <f>-IF(AND(Assumptions!$Q$33="Yes",BG6=Assumptions!$P$36),BG120+BG121+BG122,0)</f>
        <v>0</v>
      </c>
      <c r="BH126" s="242">
        <f>-IF(AND(Assumptions!$Q$33="Yes",BH6=Assumptions!$P$36),BH120+BH121+BH122,0)</f>
        <v>0</v>
      </c>
      <c r="BI126" s="242">
        <f>-IF(AND(Assumptions!$Q$33="Yes",BI6=Assumptions!$P$36),BI120+BI121+BI122,0)</f>
        <v>0</v>
      </c>
      <c r="BJ126" s="242">
        <f>-IF(AND(Assumptions!$Q$33="Yes",BJ6=Assumptions!$P$36),BJ120+BJ121+BJ122,0)</f>
        <v>0</v>
      </c>
      <c r="BK126" s="242">
        <f>-IF(AND(Assumptions!$Q$33="Yes",BK6=Assumptions!$P$36),BK120+BK121+BK122,0)</f>
        <v>0</v>
      </c>
      <c r="BL126" s="242">
        <f>-IF(AND(Assumptions!$Q$33="Yes",BL6=Assumptions!$P$36),BL120+BL121+BL122,0)</f>
        <v>0</v>
      </c>
      <c r="BM126" s="242">
        <f>-IF(AND(Assumptions!$Q$33="Yes",BM6=Assumptions!$P$36),BM120+BM121+BM122,0)</f>
        <v>0</v>
      </c>
      <c r="BN126" s="242">
        <f>-IF(AND(Assumptions!$Q$33="Yes",BN6=Assumptions!$P$36),BN120+BN121+BN122,0)</f>
        <v>0</v>
      </c>
      <c r="BO126" s="242">
        <f>-IF(AND(Assumptions!$Q$33="Yes",BO6=Assumptions!$P$36),BO120+BO121+BO122,0)</f>
        <v>0</v>
      </c>
      <c r="BP126" s="242">
        <f>-IF(AND(Assumptions!$Q$33="Yes",BP6=Assumptions!$P$36),BP120+BP121+BP122,0)</f>
        <v>0</v>
      </c>
      <c r="BQ126" s="242">
        <f>-IF(AND(Assumptions!$Q$33="Yes",BQ6=Assumptions!$P$36),BQ120+BQ121+BQ122,0)</f>
        <v>0</v>
      </c>
      <c r="BR126" s="242">
        <f>-IF(AND(Assumptions!$Q$33="Yes",BR6=Assumptions!$P$36),BR120+BR121+BR122,0)</f>
        <v>0</v>
      </c>
      <c r="BS126" s="242">
        <f>-IF(AND(Assumptions!$Q$33="Yes",BS6=Assumptions!$P$36),BS120+BS121+BS122,0)</f>
        <v>0</v>
      </c>
      <c r="BT126" s="242">
        <f>-IF(AND(Assumptions!$Q$33="Yes",BT6=Assumptions!$P$36),BT120+BT121+BT122,0)</f>
        <v>0</v>
      </c>
      <c r="BU126" s="242">
        <f>-IF(AND(Assumptions!$Q$33="Yes",BU6=Assumptions!$P$36),BU120+BU121+BU122,0)</f>
        <v>0</v>
      </c>
      <c r="BV126" s="242">
        <f>-IF(AND(Assumptions!$Q$33="Yes",BV6=Assumptions!$P$36),BV120+BV121+BV122,0)</f>
        <v>0</v>
      </c>
      <c r="BW126" s="242">
        <f>-IF(AND(Assumptions!$Q$33="Yes",BW6=Assumptions!$P$36),BW120+BW121+BW122,0)</f>
        <v>0</v>
      </c>
      <c r="BX126" s="242">
        <f>-IF(AND(Assumptions!$Q$33="Yes",BX6=Assumptions!$P$36),BX120+BX121+BX122,0)</f>
        <v>0</v>
      </c>
      <c r="BY126" s="242">
        <f>-IF(AND(Assumptions!$Q$33="Yes",BY6=Assumptions!$P$36),BY120+BY121+BY122,0)</f>
        <v>0</v>
      </c>
      <c r="BZ126" s="242">
        <f>-IF(AND(Assumptions!$Q$33="Yes",BZ6=Assumptions!$P$36),BZ120+BZ121+BZ122,0)</f>
        <v>0</v>
      </c>
      <c r="CA126" s="242">
        <f>-IF(AND(Assumptions!$Q$33="Yes",CA6=Assumptions!$P$36),CA120+CA121+CA122,0)</f>
        <v>0</v>
      </c>
      <c r="CB126" s="242">
        <f>-IF(AND(Assumptions!$Q$33="Yes",CB6=Assumptions!$P$36),CB120+CB121+CB122,0)</f>
        <v>0</v>
      </c>
      <c r="CC126" s="242">
        <f>-IF(AND(Assumptions!$Q$33="Yes",CC6=Assumptions!$P$36),CC120+CC121+CC122,0)</f>
        <v>0</v>
      </c>
      <c r="CD126" s="242">
        <f>-IF(AND(Assumptions!$Q$33="Yes",CD6=Assumptions!$P$36),CD120+CD121+CD122,0)</f>
        <v>0</v>
      </c>
      <c r="CE126" s="242">
        <f>-IF(AND(Assumptions!$Q$33="Yes",CE6=Assumptions!$P$36),CE120+CE121+CE122,0)</f>
        <v>0</v>
      </c>
      <c r="CF126" s="242">
        <f>-IF(AND(Assumptions!$Q$33="Yes",CF6=Assumptions!$P$36),CF120+CF121+CF122,0)</f>
        <v>0</v>
      </c>
      <c r="CG126" s="242">
        <f>-IF(AND(Assumptions!$Q$33="Yes",CG6=Assumptions!$P$36),CG120+CG121+CG122,0)</f>
        <v>0</v>
      </c>
      <c r="CH126" s="242">
        <f>-IF(AND(Assumptions!$Q$33="Yes",CH6=Assumptions!$P$36),CH120+CH121+CH122,0)</f>
        <v>0</v>
      </c>
      <c r="CI126" s="242">
        <f>-IF(AND(Assumptions!$Q$33="Yes",CI6=Assumptions!$P$36),CI120+CI121+CI122,0)</f>
        <v>0</v>
      </c>
      <c r="CJ126" s="242">
        <f>-IF(AND(Assumptions!$Q$33="Yes",CJ6=Assumptions!$P$36),CJ120+CJ121+CJ122,0)</f>
        <v>0</v>
      </c>
      <c r="CK126" s="242">
        <f>-IF(AND(Assumptions!$Q$33="Yes",CK6=Assumptions!$P$36),CK120+CK121+CK122,0)</f>
        <v>0</v>
      </c>
      <c r="CL126" s="242">
        <f>-IF(AND(Assumptions!$Q$33="Yes",CL6=Assumptions!$P$36),CL120+CL121+CL122,0)</f>
        <v>0</v>
      </c>
      <c r="CM126" s="242">
        <f>-IF(AND(Assumptions!$Q$33="Yes",CM6=Assumptions!$P$36),CM120+CM121+CM122,0)</f>
        <v>0</v>
      </c>
      <c r="CN126" s="242">
        <f>-IF(AND(Assumptions!$Q$33="Yes",CN6=Assumptions!$P$36),CN120+CN121+CN122,0)</f>
        <v>0</v>
      </c>
      <c r="CO126" s="242">
        <f>-IF(AND(Assumptions!$Q$33="Yes",CO6=Assumptions!$P$36),CO120+CO121+CO122,0)</f>
        <v>0</v>
      </c>
      <c r="CP126" s="242">
        <f>-IF(AND(Assumptions!$Q$33="Yes",CP6=Assumptions!$P$36),CP120+CP121+CP122,0)</f>
        <v>0</v>
      </c>
      <c r="CQ126" s="242">
        <f>-IF(AND(Assumptions!$Q$33="Yes",CQ6=Assumptions!$P$36),CQ120+CQ121+CQ122,0)</f>
        <v>0</v>
      </c>
      <c r="CR126" s="242">
        <f>-IF(AND(Assumptions!$Q$33="Yes",CR6=Assumptions!$P$36),CR120+CR121+CR122,0)</f>
        <v>0</v>
      </c>
      <c r="CS126" s="242">
        <f>-IF(AND(Assumptions!$Q$33="Yes",CS6=Assumptions!$P$36),CS120+CS121+CS122,0)</f>
        <v>0</v>
      </c>
      <c r="CT126" s="242">
        <f>-IF(AND(Assumptions!$Q$33="Yes",CT6=Assumptions!$P$36),CT120+CT121+CT122,0)</f>
        <v>0</v>
      </c>
      <c r="CU126" s="242">
        <f>-IF(AND(Assumptions!$Q$33="Yes",CU6=Assumptions!$P$36),CU120+CU121+CU122,0)</f>
        <v>0</v>
      </c>
      <c r="CV126" s="242">
        <f>-IF(AND(Assumptions!$Q$33="Yes",CV6=Assumptions!$P$36),CV120+CV121+CV122,0)</f>
        <v>0</v>
      </c>
      <c r="CW126" s="242">
        <f>-IF(AND(Assumptions!$Q$33="Yes",CW6=Assumptions!$P$36),CW120+CW121+CW122,0)</f>
        <v>0</v>
      </c>
      <c r="CX126" s="242">
        <f>-IF(AND(Assumptions!$Q$33="Yes",CX6=Assumptions!$P$36),CX120+CX121+CX122,0)</f>
        <v>0</v>
      </c>
      <c r="CY126" s="242">
        <f>-IF(AND(Assumptions!$Q$33="Yes",CY6=Assumptions!$P$36),CY120+CY121+CY122,0)</f>
        <v>0</v>
      </c>
      <c r="CZ126" s="242">
        <f>-IF(AND(Assumptions!$Q$33="Yes",CZ6=Assumptions!$P$36),CZ120+CZ121+CZ122,0)</f>
        <v>0</v>
      </c>
      <c r="DA126" s="242">
        <f>-IF(AND(Assumptions!$Q$33="Yes",DA6=Assumptions!$P$36),DA120+DA121+DA122,0)</f>
        <v>0</v>
      </c>
      <c r="DB126" s="242">
        <f>-IF(AND(Assumptions!$Q$33="Yes",DB6=Assumptions!$P$36),DB120+DB121+DB122,0)</f>
        <v>0</v>
      </c>
      <c r="DC126" s="242">
        <f>-IF(AND(Assumptions!$Q$33="Yes",DC6=Assumptions!$P$36),DC120+DC121+DC122,0)</f>
        <v>0</v>
      </c>
      <c r="DD126" s="242">
        <f>-IF(AND(Assumptions!$Q$33="Yes",DD6=Assumptions!$P$36),DD120+DD121+DD122,0)</f>
        <v>0</v>
      </c>
      <c r="DE126" s="242">
        <f>-IF(AND(Assumptions!$Q$33="Yes",DE6=Assumptions!$P$36),DE120+DE121+DE122,0)</f>
        <v>0</v>
      </c>
      <c r="DF126" s="242">
        <f>-IF(AND(Assumptions!$Q$33="Yes",DF6=Assumptions!$P$36),DF120+DF121+DF122,0)</f>
        <v>0</v>
      </c>
      <c r="DG126" s="242">
        <f>-IF(AND(Assumptions!$Q$33="Yes",DG6=Assumptions!$P$36),DG120+DG121+DG122,0)</f>
        <v>0</v>
      </c>
      <c r="DH126" s="242">
        <f>-IF(AND(Assumptions!$Q$33="Yes",DH6=Assumptions!$P$36),DH120+DH121+DH122,0)</f>
        <v>0</v>
      </c>
      <c r="DI126" s="242">
        <f>-IF(AND(Assumptions!$Q$33="Yes",DI6=Assumptions!$P$36),DI120+DI121+DI122,0)</f>
        <v>0</v>
      </c>
      <c r="DJ126" s="242">
        <f>-IF(AND(Assumptions!$Q$33="Yes",DJ6=Assumptions!$P$36),DJ120+DJ121+DJ122,0)</f>
        <v>0</v>
      </c>
      <c r="DK126" s="242">
        <f>-IF(AND(Assumptions!$Q$33="Yes",DK6=Assumptions!$P$36),DK120+DK121+DK122,0)</f>
        <v>0</v>
      </c>
      <c r="DL126" s="242">
        <f>-IF(AND(Assumptions!$Q$33="Yes",DL6=Assumptions!$P$36),DL120+DL121+DL122,0)</f>
        <v>0</v>
      </c>
      <c r="DM126" s="242">
        <f>-IF(AND(Assumptions!$Q$33="Yes",DM6=Assumptions!$P$36),DM120+DM121+DM122,0)</f>
        <v>0</v>
      </c>
      <c r="DN126" s="242">
        <f>-IF(AND(Assumptions!$Q$33="Yes",DN6=Assumptions!$P$36),DN120+DN121+DN122,0)</f>
        <v>0</v>
      </c>
      <c r="DO126" s="242">
        <f>-IF(AND(Assumptions!$Q$33="Yes",DO6=Assumptions!$P$36),DO120+DO121+DO122,0)</f>
        <v>0</v>
      </c>
      <c r="DP126" s="242">
        <f>-IF(AND(Assumptions!$Q$33="Yes",DP6=Assumptions!$P$36),DP120+DP121+DP122,0)</f>
        <v>0</v>
      </c>
      <c r="DQ126" s="242">
        <f>-IF(AND(Assumptions!$Q$33="Yes",DQ6=Assumptions!$P$36),DQ120+DQ121+DQ122,0)</f>
        <v>0</v>
      </c>
      <c r="DR126" s="242">
        <f>-IF(AND(Assumptions!$Q$33="Yes",DR6=Assumptions!$P$36),DR120+DR121+DR122,0)</f>
        <v>0</v>
      </c>
      <c r="DS126" s="242">
        <f>-IF(AND(Assumptions!$Q$33="Yes",DS6=Assumptions!$P$36),DS120+DS121+DS122,0)</f>
        <v>0</v>
      </c>
      <c r="DT126" s="242">
        <f>-IF(AND(Assumptions!$Q$33="Yes",DT6=Assumptions!$P$36),DT120+DT121+DT122,0)</f>
        <v>0</v>
      </c>
      <c r="DU126" s="242">
        <f>-IF(AND(Assumptions!$Q$33="Yes",DU6=Assumptions!$P$36),DU120+DU121+DU122,0)</f>
        <v>0</v>
      </c>
      <c r="DV126" s="242">
        <f>-IF(AND(Assumptions!$Q$33="Yes",DV6=Assumptions!$P$36),DV120+DV121+DV122,0)</f>
        <v>0</v>
      </c>
      <c r="DW126" s="242">
        <f>-IF(AND(Assumptions!$Q$33="Yes",DW6=Assumptions!$P$36),DW120+DW121+DW122,0)</f>
        <v>0</v>
      </c>
      <c r="DX126" s="242">
        <f>-IF(AND(Assumptions!$Q$33="Yes",DX6=Assumptions!$P$36),DX120+DX121+DX122,0)</f>
        <v>0</v>
      </c>
      <c r="DY126" s="242">
        <f>-IF(AND(Assumptions!$Q$33="Yes",DY6=Assumptions!$P$36),DY120+DY121+DY122,0)</f>
        <v>0</v>
      </c>
      <c r="DZ126" s="242">
        <f>-IF(AND(Assumptions!$Q$33="Yes",DZ6=Assumptions!$P$36),DZ120+DZ121+DZ122,0)</f>
        <v>0</v>
      </c>
      <c r="EA126" s="242">
        <f>-IF(AND(Assumptions!$Q$33="Yes",EA6=Assumptions!$P$36),EA120+EA121+EA122,0)</f>
        <v>0</v>
      </c>
      <c r="EB126" s="242">
        <f>-IF(AND(Assumptions!$Q$33="Yes",EB6=Assumptions!$P$36),EB120+EB121+EB122,0)</f>
        <v>0</v>
      </c>
      <c r="EC126" s="242">
        <f>-IF(AND(Assumptions!$Q$33="Yes",EC6=Assumptions!$P$36),EC120+EC121+EC122,0)</f>
        <v>0</v>
      </c>
      <c r="ED126" s="242">
        <f>-IF(AND(Assumptions!$Q$33="Yes",ED6=Assumptions!$P$36),ED120+ED121+ED122,0)</f>
        <v>0</v>
      </c>
      <c r="EE126" s="242">
        <f>-IF(AND(Assumptions!$Q$33="Yes",EE6=Assumptions!$P$36),EE120+EE121+EE122,0)</f>
        <v>0</v>
      </c>
      <c r="EF126" s="242">
        <f>-IF(AND(Assumptions!$Q$33="Yes",EF6=Assumptions!$P$36),EF120+EF121+EF122,0)</f>
        <v>0</v>
      </c>
      <c r="EG126" s="242">
        <f>-IF(AND(Assumptions!$Q$33="Yes",EG6=Assumptions!$P$36),EG120+EG121+EG122,0)</f>
        <v>0</v>
      </c>
      <c r="EH126" s="242">
        <f>-IF(AND(Assumptions!$Q$33="Yes",EH6=Assumptions!$P$36),EH120+EH121+EH122,0)</f>
        <v>0</v>
      </c>
      <c r="EI126" s="242">
        <f>-IF(AND(Assumptions!$Q$33="Yes",EI6=Assumptions!$P$36),EI120+EI121+EI122,0)</f>
        <v>0</v>
      </c>
      <c r="EJ126" s="242">
        <f>-IF(AND(Assumptions!$Q$33="Yes",EJ6=Assumptions!$P$36),EJ120+EJ121+EJ122,0)</f>
        <v>0</v>
      </c>
      <c r="EK126" s="242">
        <f>-IF(AND(Assumptions!$Q$33="Yes",EK6=Assumptions!$P$36),EK120+EK121+EK122,0)</f>
        <v>0</v>
      </c>
      <c r="EL126" s="242">
        <f>-IF(AND(Assumptions!$Q$33="Yes",EL6=Assumptions!$P$36),EL120+EL121+EL122,0)</f>
        <v>0</v>
      </c>
      <c r="EM126" s="242">
        <f>-IF(AND(Assumptions!$Q$33="Yes",EM6=Assumptions!$P$36),EM120+EM121+EM122,0)</f>
        <v>0</v>
      </c>
      <c r="EN126" s="242">
        <f>-IF(AND(Assumptions!$Q$33="Yes",EN6=Assumptions!$P$36),EN120+EN121+EN122,0)</f>
        <v>0</v>
      </c>
      <c r="EO126" s="242">
        <f>-IF(AND(Assumptions!$Q$33="Yes",EO6=Assumptions!$P$36),EO120+EO121+EO122,0)</f>
        <v>0</v>
      </c>
      <c r="EP126" s="242">
        <f>-IF(AND(Assumptions!$Q$33="Yes",EP6=Assumptions!$P$36),EP120+EP121+EP122,0)</f>
        <v>0</v>
      </c>
      <c r="EQ126" s="242">
        <f>-IF(AND(Assumptions!$Q$33="Yes",EQ6=Assumptions!$P$36),EQ120+EQ121+EQ122,0)</f>
        <v>0</v>
      </c>
      <c r="ER126" s="242">
        <f>-IF(AND(Assumptions!$Q$33="Yes",ER6=Assumptions!$P$36),ER120+ER121+ER122,0)</f>
        <v>0</v>
      </c>
      <c r="ES126" s="242">
        <f>-IF(AND(Assumptions!$Q$33="Yes",ES6=Assumptions!$P$36),ES120+ES121+ES122,0)</f>
        <v>0</v>
      </c>
      <c r="ET126" s="242">
        <f>-IF(AND(Assumptions!$Q$33="Yes",ET6=Assumptions!$P$36),ET120+ET121+ET122,0)</f>
        <v>0</v>
      </c>
    </row>
    <row r="127" spans="2:150" x14ac:dyDescent="0.2">
      <c r="B127" t="s">
        <v>175</v>
      </c>
      <c r="F127" s="242">
        <f t="shared" ref="F127:AK127" ca="1" si="1435">-MIN(F120+F122,F84)</f>
        <v>0</v>
      </c>
      <c r="G127" s="242">
        <f t="shared" ca="1" si="1435"/>
        <v>0</v>
      </c>
      <c r="H127" s="242">
        <f t="shared" ca="1" si="1435"/>
        <v>0</v>
      </c>
      <c r="I127" s="242">
        <f t="shared" ca="1" si="1435"/>
        <v>0</v>
      </c>
      <c r="J127" s="242">
        <f t="shared" ca="1" si="1435"/>
        <v>0</v>
      </c>
      <c r="K127" s="242">
        <f t="shared" ca="1" si="1435"/>
        <v>0</v>
      </c>
      <c r="L127" s="242">
        <f t="shared" ca="1" si="1435"/>
        <v>0</v>
      </c>
      <c r="M127" s="242">
        <f t="shared" ca="1" si="1435"/>
        <v>0</v>
      </c>
      <c r="N127" s="242">
        <f t="shared" ca="1" si="1435"/>
        <v>0</v>
      </c>
      <c r="O127" s="242">
        <f t="shared" ca="1" si="1435"/>
        <v>0</v>
      </c>
      <c r="P127" s="242">
        <f t="shared" ca="1" si="1435"/>
        <v>0</v>
      </c>
      <c r="Q127" s="242">
        <f t="shared" ca="1" si="1435"/>
        <v>0</v>
      </c>
      <c r="R127" s="242">
        <f t="shared" ca="1" si="1435"/>
        <v>0</v>
      </c>
      <c r="S127" s="242">
        <f t="shared" ca="1" si="1435"/>
        <v>0</v>
      </c>
      <c r="T127" s="242">
        <f t="shared" ca="1" si="1435"/>
        <v>0</v>
      </c>
      <c r="U127" s="242">
        <f t="shared" ca="1" si="1435"/>
        <v>0</v>
      </c>
      <c r="V127" s="242">
        <f t="shared" ca="1" si="1435"/>
        <v>0</v>
      </c>
      <c r="W127" s="242">
        <f t="shared" ca="1" si="1435"/>
        <v>0</v>
      </c>
      <c r="X127" s="242">
        <f t="shared" ca="1" si="1435"/>
        <v>0</v>
      </c>
      <c r="Y127" s="242">
        <f t="shared" ca="1" si="1435"/>
        <v>0</v>
      </c>
      <c r="Z127" s="242">
        <f t="shared" ca="1" si="1435"/>
        <v>0</v>
      </c>
      <c r="AA127" s="242">
        <f t="shared" ca="1" si="1435"/>
        <v>0</v>
      </c>
      <c r="AB127" s="242">
        <f t="shared" ca="1" si="1435"/>
        <v>0</v>
      </c>
      <c r="AC127" s="242">
        <f t="shared" ca="1" si="1435"/>
        <v>0</v>
      </c>
      <c r="AD127" s="242">
        <f t="shared" ca="1" si="1435"/>
        <v>0</v>
      </c>
      <c r="AE127" s="242">
        <f t="shared" ca="1" si="1435"/>
        <v>0</v>
      </c>
      <c r="AF127" s="242">
        <f t="shared" ca="1" si="1435"/>
        <v>0</v>
      </c>
      <c r="AG127" s="242">
        <f t="shared" ca="1" si="1435"/>
        <v>0</v>
      </c>
      <c r="AH127" s="242">
        <f t="shared" ca="1" si="1435"/>
        <v>0</v>
      </c>
      <c r="AI127" s="242">
        <f t="shared" ca="1" si="1435"/>
        <v>0</v>
      </c>
      <c r="AJ127" s="242">
        <f t="shared" ca="1" si="1435"/>
        <v>0</v>
      </c>
      <c r="AK127" s="242">
        <f t="shared" ca="1" si="1435"/>
        <v>0</v>
      </c>
      <c r="AL127" s="242">
        <f t="shared" ref="AL127:BQ127" ca="1" si="1436">-MIN(AL120+AL122,AL84)</f>
        <v>0</v>
      </c>
      <c r="AM127" s="242">
        <f t="shared" ca="1" si="1436"/>
        <v>0</v>
      </c>
      <c r="AN127" s="242">
        <f t="shared" ca="1" si="1436"/>
        <v>0</v>
      </c>
      <c r="AO127" s="242">
        <f t="shared" ca="1" si="1436"/>
        <v>0</v>
      </c>
      <c r="AP127" s="242">
        <f t="shared" ca="1" si="1436"/>
        <v>0</v>
      </c>
      <c r="AQ127" s="242">
        <f t="shared" ca="1" si="1436"/>
        <v>0</v>
      </c>
      <c r="AR127" s="242">
        <f t="shared" ca="1" si="1436"/>
        <v>0</v>
      </c>
      <c r="AS127" s="242">
        <f t="shared" ca="1" si="1436"/>
        <v>0</v>
      </c>
      <c r="AT127" s="242">
        <f t="shared" ca="1" si="1436"/>
        <v>0</v>
      </c>
      <c r="AU127" s="242">
        <f t="shared" ca="1" si="1436"/>
        <v>0</v>
      </c>
      <c r="AV127" s="242">
        <f t="shared" ca="1" si="1436"/>
        <v>0</v>
      </c>
      <c r="AW127" s="242">
        <f t="shared" ca="1" si="1436"/>
        <v>0</v>
      </c>
      <c r="AX127" s="242">
        <f t="shared" ca="1" si="1436"/>
        <v>0</v>
      </c>
      <c r="AY127" s="242">
        <f t="shared" ca="1" si="1436"/>
        <v>0</v>
      </c>
      <c r="AZ127" s="242">
        <f t="shared" ca="1" si="1436"/>
        <v>0</v>
      </c>
      <c r="BA127" s="242">
        <f t="shared" ca="1" si="1436"/>
        <v>0</v>
      </c>
      <c r="BB127" s="242">
        <f t="shared" ca="1" si="1436"/>
        <v>0</v>
      </c>
      <c r="BC127" s="242">
        <f t="shared" ca="1" si="1436"/>
        <v>0</v>
      </c>
      <c r="BD127" s="242">
        <f t="shared" ca="1" si="1436"/>
        <v>0</v>
      </c>
      <c r="BE127" s="242">
        <f t="shared" ca="1" si="1436"/>
        <v>0</v>
      </c>
      <c r="BF127" s="242">
        <f t="shared" ca="1" si="1436"/>
        <v>0</v>
      </c>
      <c r="BG127" s="242">
        <f t="shared" ca="1" si="1436"/>
        <v>0</v>
      </c>
      <c r="BH127" s="242">
        <f t="shared" ca="1" si="1436"/>
        <v>0</v>
      </c>
      <c r="BI127" s="242">
        <f t="shared" ca="1" si="1436"/>
        <v>0</v>
      </c>
      <c r="BJ127" s="242">
        <f t="shared" ca="1" si="1436"/>
        <v>0</v>
      </c>
      <c r="BK127" s="242">
        <f t="shared" ca="1" si="1436"/>
        <v>0</v>
      </c>
      <c r="BL127" s="242">
        <f t="shared" ca="1" si="1436"/>
        <v>0</v>
      </c>
      <c r="BM127" s="242">
        <f t="shared" ca="1" si="1436"/>
        <v>0</v>
      </c>
      <c r="BN127" s="242">
        <f t="shared" ca="1" si="1436"/>
        <v>0</v>
      </c>
      <c r="BO127" s="242">
        <f t="shared" ca="1" si="1436"/>
        <v>0</v>
      </c>
      <c r="BP127" s="242">
        <f t="shared" ca="1" si="1436"/>
        <v>0</v>
      </c>
      <c r="BQ127" s="242">
        <f t="shared" ca="1" si="1436"/>
        <v>0</v>
      </c>
      <c r="BR127" s="242">
        <f t="shared" ref="BR127:BZ127" ca="1" si="1437">-MIN(BR120+BR122,BR84)</f>
        <v>0</v>
      </c>
      <c r="BS127" s="242">
        <f t="shared" ca="1" si="1437"/>
        <v>0</v>
      </c>
      <c r="BT127" s="242">
        <f t="shared" ca="1" si="1437"/>
        <v>0</v>
      </c>
      <c r="BU127" s="242">
        <f t="shared" ca="1" si="1437"/>
        <v>0</v>
      </c>
      <c r="BV127" s="242">
        <f t="shared" ca="1" si="1437"/>
        <v>0</v>
      </c>
      <c r="BW127" s="242">
        <f t="shared" ca="1" si="1437"/>
        <v>0</v>
      </c>
      <c r="BX127" s="242">
        <f t="shared" ca="1" si="1437"/>
        <v>0</v>
      </c>
      <c r="BY127" s="242">
        <f t="shared" ca="1" si="1437"/>
        <v>0</v>
      </c>
      <c r="BZ127" s="242">
        <f t="shared" ca="1" si="1437"/>
        <v>0</v>
      </c>
      <c r="CA127" s="242">
        <f t="shared" ref="CA127:EL127" ca="1" si="1438">-MIN(CA120+CA122,CA84)</f>
        <v>0</v>
      </c>
      <c r="CB127" s="242">
        <f t="shared" ca="1" si="1438"/>
        <v>0</v>
      </c>
      <c r="CC127" s="242">
        <f t="shared" ca="1" si="1438"/>
        <v>0</v>
      </c>
      <c r="CD127" s="242">
        <f t="shared" ca="1" si="1438"/>
        <v>0</v>
      </c>
      <c r="CE127" s="242">
        <f t="shared" ca="1" si="1438"/>
        <v>0</v>
      </c>
      <c r="CF127" s="242">
        <f t="shared" ca="1" si="1438"/>
        <v>0</v>
      </c>
      <c r="CG127" s="242">
        <f t="shared" ca="1" si="1438"/>
        <v>0</v>
      </c>
      <c r="CH127" s="242">
        <f t="shared" ca="1" si="1438"/>
        <v>0</v>
      </c>
      <c r="CI127" s="242">
        <f t="shared" ca="1" si="1438"/>
        <v>0</v>
      </c>
      <c r="CJ127" s="242">
        <f t="shared" ca="1" si="1438"/>
        <v>0</v>
      </c>
      <c r="CK127" s="242">
        <f t="shared" ca="1" si="1438"/>
        <v>-22638100.605516288</v>
      </c>
      <c r="CL127" s="242">
        <f t="shared" ca="1" si="1438"/>
        <v>0</v>
      </c>
      <c r="CM127" s="242">
        <f t="shared" ca="1" si="1438"/>
        <v>0</v>
      </c>
      <c r="CN127" s="242">
        <f t="shared" ca="1" si="1438"/>
        <v>0</v>
      </c>
      <c r="CO127" s="242">
        <f t="shared" ca="1" si="1438"/>
        <v>0</v>
      </c>
      <c r="CP127" s="242">
        <f t="shared" ca="1" si="1438"/>
        <v>0</v>
      </c>
      <c r="CQ127" s="242">
        <f t="shared" ca="1" si="1438"/>
        <v>0</v>
      </c>
      <c r="CR127" s="242">
        <f t="shared" ca="1" si="1438"/>
        <v>0</v>
      </c>
      <c r="CS127" s="242">
        <f t="shared" ca="1" si="1438"/>
        <v>0</v>
      </c>
      <c r="CT127" s="242">
        <f t="shared" ca="1" si="1438"/>
        <v>0</v>
      </c>
      <c r="CU127" s="242">
        <f t="shared" ca="1" si="1438"/>
        <v>0</v>
      </c>
      <c r="CV127" s="242">
        <f t="shared" ca="1" si="1438"/>
        <v>0</v>
      </c>
      <c r="CW127" s="242">
        <f t="shared" ca="1" si="1438"/>
        <v>0</v>
      </c>
      <c r="CX127" s="242">
        <f t="shared" ca="1" si="1438"/>
        <v>0</v>
      </c>
      <c r="CY127" s="242">
        <f t="shared" ca="1" si="1438"/>
        <v>0</v>
      </c>
      <c r="CZ127" s="242">
        <f t="shared" ca="1" si="1438"/>
        <v>0</v>
      </c>
      <c r="DA127" s="242">
        <f t="shared" ca="1" si="1438"/>
        <v>0</v>
      </c>
      <c r="DB127" s="242">
        <f t="shared" ca="1" si="1438"/>
        <v>0</v>
      </c>
      <c r="DC127" s="242">
        <f t="shared" ca="1" si="1438"/>
        <v>0</v>
      </c>
      <c r="DD127" s="242">
        <f t="shared" ca="1" si="1438"/>
        <v>0</v>
      </c>
      <c r="DE127" s="242">
        <f t="shared" ca="1" si="1438"/>
        <v>0</v>
      </c>
      <c r="DF127" s="242">
        <f t="shared" ca="1" si="1438"/>
        <v>0</v>
      </c>
      <c r="DG127" s="242">
        <f t="shared" ca="1" si="1438"/>
        <v>0</v>
      </c>
      <c r="DH127" s="242">
        <f t="shared" ca="1" si="1438"/>
        <v>0</v>
      </c>
      <c r="DI127" s="242">
        <f t="shared" ca="1" si="1438"/>
        <v>0</v>
      </c>
      <c r="DJ127" s="242">
        <f t="shared" ca="1" si="1438"/>
        <v>0</v>
      </c>
      <c r="DK127" s="242">
        <f t="shared" ca="1" si="1438"/>
        <v>0</v>
      </c>
      <c r="DL127" s="242">
        <f t="shared" ca="1" si="1438"/>
        <v>0</v>
      </c>
      <c r="DM127" s="242">
        <f t="shared" ca="1" si="1438"/>
        <v>0</v>
      </c>
      <c r="DN127" s="242">
        <f t="shared" ca="1" si="1438"/>
        <v>0</v>
      </c>
      <c r="DO127" s="242">
        <f t="shared" ca="1" si="1438"/>
        <v>0</v>
      </c>
      <c r="DP127" s="242">
        <f t="shared" ca="1" si="1438"/>
        <v>0</v>
      </c>
      <c r="DQ127" s="242">
        <f t="shared" ca="1" si="1438"/>
        <v>0</v>
      </c>
      <c r="DR127" s="242">
        <f t="shared" ca="1" si="1438"/>
        <v>0</v>
      </c>
      <c r="DS127" s="242">
        <f t="shared" ca="1" si="1438"/>
        <v>0</v>
      </c>
      <c r="DT127" s="242">
        <f t="shared" ca="1" si="1438"/>
        <v>0</v>
      </c>
      <c r="DU127" s="242">
        <f t="shared" ca="1" si="1438"/>
        <v>0</v>
      </c>
      <c r="DV127" s="242">
        <f t="shared" ca="1" si="1438"/>
        <v>0</v>
      </c>
      <c r="DW127" s="242">
        <f t="shared" ca="1" si="1438"/>
        <v>0</v>
      </c>
      <c r="DX127" s="242">
        <f t="shared" ca="1" si="1438"/>
        <v>0</v>
      </c>
      <c r="DY127" s="242">
        <f t="shared" ca="1" si="1438"/>
        <v>0</v>
      </c>
      <c r="DZ127" s="242">
        <f t="shared" ca="1" si="1438"/>
        <v>0</v>
      </c>
      <c r="EA127" s="242">
        <f t="shared" ca="1" si="1438"/>
        <v>0</v>
      </c>
      <c r="EB127" s="242">
        <f t="shared" ca="1" si="1438"/>
        <v>0</v>
      </c>
      <c r="EC127" s="242">
        <f t="shared" ca="1" si="1438"/>
        <v>0</v>
      </c>
      <c r="ED127" s="242">
        <f t="shared" ca="1" si="1438"/>
        <v>0</v>
      </c>
      <c r="EE127" s="242">
        <f t="shared" ca="1" si="1438"/>
        <v>0</v>
      </c>
      <c r="EF127" s="242">
        <f t="shared" ca="1" si="1438"/>
        <v>0</v>
      </c>
      <c r="EG127" s="242">
        <f t="shared" ca="1" si="1438"/>
        <v>0</v>
      </c>
      <c r="EH127" s="242">
        <f t="shared" ca="1" si="1438"/>
        <v>0</v>
      </c>
      <c r="EI127" s="242">
        <f t="shared" ca="1" si="1438"/>
        <v>0</v>
      </c>
      <c r="EJ127" s="242">
        <f t="shared" ca="1" si="1438"/>
        <v>0</v>
      </c>
      <c r="EK127" s="242">
        <f t="shared" ca="1" si="1438"/>
        <v>0</v>
      </c>
      <c r="EL127" s="242">
        <f t="shared" ca="1" si="1438"/>
        <v>0</v>
      </c>
      <c r="EM127" s="242">
        <f t="shared" ref="EM127:ET127" ca="1" si="1439">-MIN(EM120+EM122,EM84)</f>
        <v>0</v>
      </c>
      <c r="EN127" s="242">
        <f t="shared" ca="1" si="1439"/>
        <v>0</v>
      </c>
      <c r="EO127" s="242">
        <f t="shared" ca="1" si="1439"/>
        <v>0</v>
      </c>
      <c r="EP127" s="242">
        <f t="shared" ca="1" si="1439"/>
        <v>0</v>
      </c>
      <c r="EQ127" s="242">
        <f t="shared" ca="1" si="1439"/>
        <v>0</v>
      </c>
      <c r="ER127" s="242">
        <f t="shared" ca="1" si="1439"/>
        <v>0</v>
      </c>
      <c r="ES127" s="242">
        <f t="shared" ca="1" si="1439"/>
        <v>0</v>
      </c>
      <c r="ET127" s="242">
        <f t="shared" ca="1" si="1439"/>
        <v>0</v>
      </c>
    </row>
    <row r="128" spans="2:150" x14ac:dyDescent="0.2">
      <c r="B128" s="98" t="s">
        <v>169</v>
      </c>
      <c r="C128" s="98"/>
      <c r="D128" s="97"/>
      <c r="E128" s="98"/>
      <c r="F128" s="251">
        <f t="shared" ref="F128:BA128" ca="1" si="1440">F120+F121+F122+F126+F127</f>
        <v>0</v>
      </c>
      <c r="G128" s="251">
        <f t="shared" ca="1" si="1440"/>
        <v>0</v>
      </c>
      <c r="H128" s="251">
        <f t="shared" ca="1" si="1440"/>
        <v>0</v>
      </c>
      <c r="I128" s="251">
        <f t="shared" ca="1" si="1440"/>
        <v>0</v>
      </c>
      <c r="J128" s="251">
        <f t="shared" ca="1" si="1440"/>
        <v>0</v>
      </c>
      <c r="K128" s="251">
        <f t="shared" ca="1" si="1440"/>
        <v>0</v>
      </c>
      <c r="L128" s="251">
        <f t="shared" ca="1" si="1440"/>
        <v>0</v>
      </c>
      <c r="M128" s="251">
        <f t="shared" ca="1" si="1440"/>
        <v>0</v>
      </c>
      <c r="N128" s="251">
        <f t="shared" ca="1" si="1440"/>
        <v>0</v>
      </c>
      <c r="O128" s="251">
        <f t="shared" ca="1" si="1440"/>
        <v>0</v>
      </c>
      <c r="P128" s="251">
        <f t="shared" ca="1" si="1440"/>
        <v>0</v>
      </c>
      <c r="Q128" s="251">
        <f t="shared" ca="1" si="1440"/>
        <v>0</v>
      </c>
      <c r="R128" s="251">
        <f t="shared" ca="1" si="1440"/>
        <v>0</v>
      </c>
      <c r="S128" s="251">
        <f t="shared" ca="1" si="1440"/>
        <v>0</v>
      </c>
      <c r="T128" s="251">
        <f t="shared" ca="1" si="1440"/>
        <v>0</v>
      </c>
      <c r="U128" s="251">
        <f t="shared" ca="1" si="1440"/>
        <v>0</v>
      </c>
      <c r="V128" s="251">
        <f t="shared" ca="1" si="1440"/>
        <v>0</v>
      </c>
      <c r="W128" s="251">
        <f t="shared" ca="1" si="1440"/>
        <v>0</v>
      </c>
      <c r="X128" s="251">
        <f t="shared" ca="1" si="1440"/>
        <v>1309346.0141211129</v>
      </c>
      <c r="Y128" s="251">
        <f t="shared" ca="1" si="1440"/>
        <v>2426580.2865025261</v>
      </c>
      <c r="Z128" s="251">
        <f t="shared" ca="1" si="1440"/>
        <v>5300797.27308641</v>
      </c>
      <c r="AA128" s="251">
        <f t="shared" ca="1" si="1440"/>
        <v>6434228.11583653</v>
      </c>
      <c r="AB128" s="251">
        <f t="shared" ca="1" si="1440"/>
        <v>7574742.9013539199</v>
      </c>
      <c r="AC128" s="251">
        <f t="shared" ca="1" si="1440"/>
        <v>8722385.9042808861</v>
      </c>
      <c r="AD128" s="251">
        <f t="shared" ca="1" si="1440"/>
        <v>9877201.6759762336</v>
      </c>
      <c r="AE128" s="251">
        <f t="shared" ca="1" si="1440"/>
        <v>11039235.04624477</v>
      </c>
      <c r="AF128" s="251">
        <f t="shared" ca="1" si="1440"/>
        <v>12208531.125077566</v>
      </c>
      <c r="AG128" s="251">
        <f t="shared" ca="1" si="1440"/>
        <v>13385135.304403162</v>
      </c>
      <c r="AH128" s="251">
        <f t="shared" ca="1" si="1440"/>
        <v>14569093.259849627</v>
      </c>
      <c r="AI128" s="251">
        <f t="shared" ca="1" si="1440"/>
        <v>15760450.95251772</v>
      </c>
      <c r="AJ128" s="251">
        <f t="shared" ca="1" si="1440"/>
        <v>16959254.630765073</v>
      </c>
      <c r="AK128" s="251">
        <f t="shared" ca="1" si="1440"/>
        <v>18165550.832001567</v>
      </c>
      <c r="AL128" s="251">
        <f t="shared" ca="1" si="1440"/>
        <v>19379386.384495847</v>
      </c>
      <c r="AM128" s="251">
        <f t="shared" ca="1" si="1440"/>
        <v>20600808.409193311</v>
      </c>
      <c r="AN128" s="251">
        <f t="shared" ca="1" si="1440"/>
        <v>21829864.321545191</v>
      </c>
      <c r="AO128" s="251">
        <f t="shared" ca="1" si="1440"/>
        <v>21965251.309637357</v>
      </c>
      <c r="AP128" s="251">
        <f t="shared" ca="1" si="1440"/>
        <v>22083549.222076874</v>
      </c>
      <c r="AQ128" s="251">
        <f t="shared" ca="1" si="1440"/>
        <v>22177034.029038027</v>
      </c>
      <c r="AR128" s="251">
        <f t="shared" ca="1" si="1440"/>
        <v>22252999.408611547</v>
      </c>
      <c r="AS128" s="251">
        <f t="shared" ca="1" si="1440"/>
        <v>22312499.510376271</v>
      </c>
      <c r="AT128" s="251">
        <f t="shared" ca="1" si="1440"/>
        <v>22356013.249345869</v>
      </c>
      <c r="AU128" s="251">
        <f t="shared" ca="1" si="1440"/>
        <v>22383440.710752875</v>
      </c>
      <c r="AV128" s="251">
        <f t="shared" ca="1" si="1440"/>
        <v>22396912.024239469</v>
      </c>
      <c r="AW128" s="251">
        <f t="shared" ca="1" si="1440"/>
        <v>22410467.533435334</v>
      </c>
      <c r="AX128" s="251">
        <f t="shared" ca="1" si="1440"/>
        <v>22424107.764563613</v>
      </c>
      <c r="AY128" s="251">
        <f t="shared" ca="1" si="1440"/>
        <v>22437833.247136392</v>
      </c>
      <c r="AZ128" s="251">
        <f t="shared" ca="1" si="1440"/>
        <v>22451644.513975143</v>
      </c>
      <c r="BA128" s="251">
        <f t="shared" ca="1" si="1440"/>
        <v>22465480.727006547</v>
      </c>
      <c r="BB128" s="251">
        <f ca="1">BB120+BB121+BB122+BB126+BB127</f>
        <v>22474591.035754748</v>
      </c>
      <c r="BC128" s="251">
        <f t="shared" ref="BC128:BZ128" ca="1" si="1441">BC120+BC121+BC122+BC126+BC127</f>
        <v>22483758.283932451</v>
      </c>
      <c r="BD128" s="251">
        <f t="shared" ca="1" si="1441"/>
        <v>22492982.827411089</v>
      </c>
      <c r="BE128" s="251">
        <f t="shared" ca="1" si="1441"/>
        <v>22502265.024286229</v>
      </c>
      <c r="BF128" s="251">
        <f t="shared" ca="1" si="1441"/>
        <v>22511605.234891597</v>
      </c>
      <c r="BG128" s="251">
        <f t="shared" ca="1" si="1441"/>
        <v>22521003.821812954</v>
      </c>
      <c r="BH128" s="251">
        <f t="shared" ca="1" si="1441"/>
        <v>22530461.149902228</v>
      </c>
      <c r="BI128" s="251">
        <f t="shared" ca="1" si="1441"/>
        <v>22539977.586291689</v>
      </c>
      <c r="BJ128" s="251">
        <f t="shared" ca="1" si="1441"/>
        <v>22549553.500408169</v>
      </c>
      <c r="BK128" s="251">
        <f t="shared" ca="1" si="1441"/>
        <v>22559189.263987426</v>
      </c>
      <c r="BL128" s="251">
        <f t="shared" ca="1" si="1441"/>
        <v>22568885.251088537</v>
      </c>
      <c r="BM128" s="251">
        <f t="shared" ca="1" si="1441"/>
        <v>22578578.622656722</v>
      </c>
      <c r="BN128" s="251">
        <f t="shared" ca="1" si="1441"/>
        <v>22583375.825763639</v>
      </c>
      <c r="BO128" s="251">
        <f t="shared" ca="1" si="1441"/>
        <v>22588203.01138933</v>
      </c>
      <c r="BP128" s="251">
        <f t="shared" ca="1" si="1441"/>
        <v>22593060.366924424</v>
      </c>
      <c r="BQ128" s="251">
        <f t="shared" ca="1" si="1441"/>
        <v>22597948.080930829</v>
      </c>
      <c r="BR128" s="251">
        <f t="shared" ca="1" si="1441"/>
        <v>22602866.343148932</v>
      </c>
      <c r="BS128" s="251">
        <f t="shared" ca="1" si="1441"/>
        <v>22607815.344504986</v>
      </c>
      <c r="BT128" s="251">
        <f t="shared" ca="1" si="1441"/>
        <v>22612795.277118511</v>
      </c>
      <c r="BU128" s="251">
        <f t="shared" ca="1" si="1441"/>
        <v>22617806.334309824</v>
      </c>
      <c r="BV128" s="251">
        <f t="shared" ca="1" si="1441"/>
        <v>22622848.710607477</v>
      </c>
      <c r="BW128" s="251">
        <f t="shared" ca="1" si="1441"/>
        <v>22627922.601755772</v>
      </c>
      <c r="BX128" s="251">
        <f t="shared" ca="1" si="1441"/>
        <v>22633028.204722472</v>
      </c>
      <c r="BY128" s="251">
        <f t="shared" ca="1" si="1441"/>
        <v>22638100.605527658</v>
      </c>
      <c r="BZ128" s="251">
        <f t="shared" ca="1" si="1441"/>
        <v>22638100.605523624</v>
      </c>
      <c r="CA128" s="251">
        <f t="shared" ref="CA128:EL128" ca="1" si="1442">CA120+CA121+CA122+CA126+CA127</f>
        <v>22638100.605520461</v>
      </c>
      <c r="CB128" s="251">
        <f t="shared" ca="1" si="1442"/>
        <v>22638100.605518229</v>
      </c>
      <c r="CC128" s="251">
        <f t="shared" ca="1" si="1442"/>
        <v>22638100.605517045</v>
      </c>
      <c r="CD128" s="251">
        <f t="shared" ca="1" si="1442"/>
        <v>22638100.605517026</v>
      </c>
      <c r="CE128" s="251">
        <f t="shared" ca="1" si="1442"/>
        <v>22638100.605518244</v>
      </c>
      <c r="CF128" s="251">
        <f t="shared" ca="1" si="1442"/>
        <v>22638100.605520859</v>
      </c>
      <c r="CG128" s="251">
        <f t="shared" ca="1" si="1442"/>
        <v>22638100.605524942</v>
      </c>
      <c r="CH128" s="251">
        <f t="shared" ca="1" si="1442"/>
        <v>22638100.605530642</v>
      </c>
      <c r="CI128" s="251">
        <f t="shared" ca="1" si="1442"/>
        <v>22638100.605538096</v>
      </c>
      <c r="CJ128" s="251">
        <f t="shared" ca="1" si="1442"/>
        <v>22638100.605547443</v>
      </c>
      <c r="CK128" s="251">
        <f t="shared" ca="1" si="1442"/>
        <v>0</v>
      </c>
      <c r="CL128" s="251">
        <f t="shared" ca="1" si="1442"/>
        <v>0</v>
      </c>
      <c r="CM128" s="251">
        <f t="shared" ca="1" si="1442"/>
        <v>0</v>
      </c>
      <c r="CN128" s="251">
        <f t="shared" ca="1" si="1442"/>
        <v>0</v>
      </c>
      <c r="CO128" s="251">
        <f t="shared" ca="1" si="1442"/>
        <v>0</v>
      </c>
      <c r="CP128" s="251">
        <f t="shared" ca="1" si="1442"/>
        <v>0</v>
      </c>
      <c r="CQ128" s="251">
        <f t="shared" ca="1" si="1442"/>
        <v>0</v>
      </c>
      <c r="CR128" s="251">
        <f t="shared" ca="1" si="1442"/>
        <v>0</v>
      </c>
      <c r="CS128" s="251">
        <f t="shared" ca="1" si="1442"/>
        <v>0</v>
      </c>
      <c r="CT128" s="251">
        <f t="shared" ca="1" si="1442"/>
        <v>0</v>
      </c>
      <c r="CU128" s="251">
        <f t="shared" ca="1" si="1442"/>
        <v>0</v>
      </c>
      <c r="CV128" s="251">
        <f t="shared" ca="1" si="1442"/>
        <v>0</v>
      </c>
      <c r="CW128" s="251">
        <f t="shared" ca="1" si="1442"/>
        <v>0</v>
      </c>
      <c r="CX128" s="251">
        <f t="shared" ca="1" si="1442"/>
        <v>0</v>
      </c>
      <c r="CY128" s="251">
        <f t="shared" ca="1" si="1442"/>
        <v>0</v>
      </c>
      <c r="CZ128" s="251">
        <f t="shared" ca="1" si="1442"/>
        <v>0</v>
      </c>
      <c r="DA128" s="251">
        <f t="shared" ca="1" si="1442"/>
        <v>0</v>
      </c>
      <c r="DB128" s="251">
        <f t="shared" ca="1" si="1442"/>
        <v>0</v>
      </c>
      <c r="DC128" s="251">
        <f t="shared" ca="1" si="1442"/>
        <v>0</v>
      </c>
      <c r="DD128" s="251">
        <f t="shared" ca="1" si="1442"/>
        <v>0</v>
      </c>
      <c r="DE128" s="251">
        <f t="shared" ca="1" si="1442"/>
        <v>0</v>
      </c>
      <c r="DF128" s="251">
        <f t="shared" ca="1" si="1442"/>
        <v>0</v>
      </c>
      <c r="DG128" s="251">
        <f t="shared" ca="1" si="1442"/>
        <v>0</v>
      </c>
      <c r="DH128" s="251">
        <f t="shared" ca="1" si="1442"/>
        <v>0</v>
      </c>
      <c r="DI128" s="251">
        <f t="shared" ca="1" si="1442"/>
        <v>0</v>
      </c>
      <c r="DJ128" s="251">
        <f t="shared" ca="1" si="1442"/>
        <v>0</v>
      </c>
      <c r="DK128" s="251">
        <f t="shared" ca="1" si="1442"/>
        <v>0</v>
      </c>
      <c r="DL128" s="251">
        <f t="shared" ca="1" si="1442"/>
        <v>0</v>
      </c>
      <c r="DM128" s="251">
        <f t="shared" ca="1" si="1442"/>
        <v>0</v>
      </c>
      <c r="DN128" s="251">
        <f t="shared" ca="1" si="1442"/>
        <v>0</v>
      </c>
      <c r="DO128" s="251">
        <f t="shared" ca="1" si="1442"/>
        <v>0</v>
      </c>
      <c r="DP128" s="251">
        <f t="shared" ca="1" si="1442"/>
        <v>0</v>
      </c>
      <c r="DQ128" s="251">
        <f t="shared" ca="1" si="1442"/>
        <v>0</v>
      </c>
      <c r="DR128" s="251">
        <f t="shared" ca="1" si="1442"/>
        <v>0</v>
      </c>
      <c r="DS128" s="251">
        <f t="shared" ca="1" si="1442"/>
        <v>0</v>
      </c>
      <c r="DT128" s="251">
        <f t="shared" ca="1" si="1442"/>
        <v>0</v>
      </c>
      <c r="DU128" s="251">
        <f t="shared" ca="1" si="1442"/>
        <v>0</v>
      </c>
      <c r="DV128" s="251">
        <f t="shared" ca="1" si="1442"/>
        <v>0</v>
      </c>
      <c r="DW128" s="251">
        <f t="shared" ca="1" si="1442"/>
        <v>0</v>
      </c>
      <c r="DX128" s="251">
        <f t="shared" ca="1" si="1442"/>
        <v>0</v>
      </c>
      <c r="DY128" s="251">
        <f t="shared" ca="1" si="1442"/>
        <v>0</v>
      </c>
      <c r="DZ128" s="251">
        <f t="shared" ca="1" si="1442"/>
        <v>0</v>
      </c>
      <c r="EA128" s="251">
        <f t="shared" ca="1" si="1442"/>
        <v>0</v>
      </c>
      <c r="EB128" s="251">
        <f t="shared" ca="1" si="1442"/>
        <v>0</v>
      </c>
      <c r="EC128" s="251">
        <f t="shared" ca="1" si="1442"/>
        <v>0</v>
      </c>
      <c r="ED128" s="251">
        <f t="shared" ca="1" si="1442"/>
        <v>0</v>
      </c>
      <c r="EE128" s="251">
        <f t="shared" ca="1" si="1442"/>
        <v>0</v>
      </c>
      <c r="EF128" s="251">
        <f t="shared" ca="1" si="1442"/>
        <v>0</v>
      </c>
      <c r="EG128" s="251">
        <f t="shared" ca="1" si="1442"/>
        <v>0</v>
      </c>
      <c r="EH128" s="251">
        <f t="shared" ca="1" si="1442"/>
        <v>0</v>
      </c>
      <c r="EI128" s="251">
        <f t="shared" ca="1" si="1442"/>
        <v>0</v>
      </c>
      <c r="EJ128" s="251">
        <f t="shared" ca="1" si="1442"/>
        <v>0</v>
      </c>
      <c r="EK128" s="251">
        <f t="shared" ca="1" si="1442"/>
        <v>0</v>
      </c>
      <c r="EL128" s="251">
        <f t="shared" ca="1" si="1442"/>
        <v>0</v>
      </c>
      <c r="EM128" s="251">
        <f t="shared" ref="EM128:ET128" ca="1" si="1443">EM120+EM121+EM122+EM126+EM127</f>
        <v>0</v>
      </c>
      <c r="EN128" s="251">
        <f t="shared" ca="1" si="1443"/>
        <v>0</v>
      </c>
      <c r="EO128" s="251">
        <f t="shared" ca="1" si="1443"/>
        <v>0</v>
      </c>
      <c r="EP128" s="251">
        <f t="shared" ca="1" si="1443"/>
        <v>0</v>
      </c>
      <c r="EQ128" s="251">
        <f t="shared" ca="1" si="1443"/>
        <v>0</v>
      </c>
      <c r="ER128" s="251">
        <f t="shared" ca="1" si="1443"/>
        <v>0</v>
      </c>
      <c r="ES128" s="251">
        <f t="shared" ca="1" si="1443"/>
        <v>0</v>
      </c>
      <c r="ET128" s="251">
        <f t="shared" ca="1" si="1443"/>
        <v>0</v>
      </c>
    </row>
    <row r="129" spans="2:150" x14ac:dyDescent="0.2"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36"/>
      <c r="DL129" s="36"/>
      <c r="DM129" s="36"/>
      <c r="DN129" s="36"/>
      <c r="DO129" s="36"/>
      <c r="DP129" s="36"/>
      <c r="DQ129" s="36"/>
      <c r="DR129" s="36"/>
      <c r="DS129" s="36"/>
      <c r="DT129" s="36"/>
      <c r="DU129" s="36"/>
      <c r="DV129" s="36"/>
      <c r="DW129" s="36"/>
      <c r="DX129" s="36"/>
      <c r="DY129" s="36"/>
      <c r="DZ129" s="36"/>
      <c r="EA129" s="36"/>
      <c r="EB129" s="36"/>
      <c r="EC129" s="36"/>
      <c r="ED129" s="36"/>
      <c r="EE129" s="36"/>
      <c r="EF129" s="36"/>
      <c r="EG129" s="36"/>
      <c r="EH129" s="36"/>
      <c r="EI129" s="36"/>
      <c r="EJ129" s="36"/>
      <c r="EK129" s="36"/>
      <c r="EL129" s="36"/>
      <c r="EM129" s="36"/>
      <c r="EN129" s="36"/>
      <c r="EO129" s="36"/>
      <c r="EP129" s="36"/>
      <c r="EQ129" s="36"/>
      <c r="ER129" s="36"/>
      <c r="ES129" s="36"/>
      <c r="ET129" s="36"/>
    </row>
    <row r="130" spans="2:150" x14ac:dyDescent="0.2">
      <c r="B130" s="83" t="s">
        <v>279</v>
      </c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/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</row>
    <row r="131" spans="2:150" x14ac:dyDescent="0.2">
      <c r="B131" t="s">
        <v>167</v>
      </c>
      <c r="F131" s="242">
        <f>E136</f>
        <v>0</v>
      </c>
      <c r="G131" s="242">
        <f t="shared" ref="G131:BR131" ca="1" si="1444">F136</f>
        <v>0</v>
      </c>
      <c r="H131" s="242">
        <f t="shared" ca="1" si="1444"/>
        <v>0</v>
      </c>
      <c r="I131" s="242">
        <f t="shared" ca="1" si="1444"/>
        <v>0</v>
      </c>
      <c r="J131" s="242">
        <f t="shared" ca="1" si="1444"/>
        <v>0</v>
      </c>
      <c r="K131" s="242">
        <f t="shared" ca="1" si="1444"/>
        <v>0</v>
      </c>
      <c r="L131" s="242">
        <f t="shared" ca="1" si="1444"/>
        <v>0</v>
      </c>
      <c r="M131" s="242">
        <f t="shared" ca="1" si="1444"/>
        <v>0</v>
      </c>
      <c r="N131" s="242">
        <f t="shared" ca="1" si="1444"/>
        <v>0</v>
      </c>
      <c r="O131" s="242">
        <f t="shared" ca="1" si="1444"/>
        <v>0</v>
      </c>
      <c r="P131" s="242">
        <f t="shared" ca="1" si="1444"/>
        <v>0</v>
      </c>
      <c r="Q131" s="242">
        <f t="shared" ca="1" si="1444"/>
        <v>0</v>
      </c>
      <c r="R131" s="242">
        <f t="shared" ca="1" si="1444"/>
        <v>0</v>
      </c>
      <c r="S131" s="242">
        <f t="shared" ca="1" si="1444"/>
        <v>0</v>
      </c>
      <c r="T131" s="242">
        <f t="shared" ca="1" si="1444"/>
        <v>0</v>
      </c>
      <c r="U131" s="242">
        <f t="shared" ca="1" si="1444"/>
        <v>0</v>
      </c>
      <c r="V131" s="242">
        <f t="shared" ca="1" si="1444"/>
        <v>0</v>
      </c>
      <c r="W131" s="242">
        <f t="shared" ca="1" si="1444"/>
        <v>0</v>
      </c>
      <c r="X131" s="242">
        <f t="shared" ca="1" si="1444"/>
        <v>0</v>
      </c>
      <c r="Y131" s="242">
        <f t="shared" ca="1" si="1444"/>
        <v>0</v>
      </c>
      <c r="Z131" s="242">
        <f t="shared" ca="1" si="1444"/>
        <v>0</v>
      </c>
      <c r="AA131" s="242">
        <f t="shared" ca="1" si="1444"/>
        <v>0</v>
      </c>
      <c r="AB131" s="242">
        <f t="shared" ca="1" si="1444"/>
        <v>0</v>
      </c>
      <c r="AC131" s="242">
        <f t="shared" ca="1" si="1444"/>
        <v>0</v>
      </c>
      <c r="AD131" s="242">
        <f t="shared" ca="1" si="1444"/>
        <v>0</v>
      </c>
      <c r="AE131" s="242">
        <f t="shared" ca="1" si="1444"/>
        <v>0</v>
      </c>
      <c r="AF131" s="242">
        <f t="shared" ca="1" si="1444"/>
        <v>0</v>
      </c>
      <c r="AG131" s="242">
        <f t="shared" ca="1" si="1444"/>
        <v>0</v>
      </c>
      <c r="AH131" s="242">
        <f t="shared" ca="1" si="1444"/>
        <v>0</v>
      </c>
      <c r="AI131" s="242">
        <f t="shared" ca="1" si="1444"/>
        <v>0</v>
      </c>
      <c r="AJ131" s="242">
        <f t="shared" ca="1" si="1444"/>
        <v>0</v>
      </c>
      <c r="AK131" s="242">
        <f t="shared" ca="1" si="1444"/>
        <v>0</v>
      </c>
      <c r="AL131" s="242">
        <f t="shared" ca="1" si="1444"/>
        <v>0</v>
      </c>
      <c r="AM131" s="242">
        <f t="shared" ca="1" si="1444"/>
        <v>0</v>
      </c>
      <c r="AN131" s="242">
        <f t="shared" ca="1" si="1444"/>
        <v>0</v>
      </c>
      <c r="AO131" s="242">
        <f t="shared" ca="1" si="1444"/>
        <v>0</v>
      </c>
      <c r="AP131" s="242">
        <f t="shared" ca="1" si="1444"/>
        <v>0</v>
      </c>
      <c r="AQ131" s="242">
        <f t="shared" ca="1" si="1444"/>
        <v>0</v>
      </c>
      <c r="AR131" s="242">
        <f t="shared" ca="1" si="1444"/>
        <v>0</v>
      </c>
      <c r="AS131" s="242">
        <f t="shared" ca="1" si="1444"/>
        <v>0</v>
      </c>
      <c r="AT131" s="242">
        <f t="shared" ca="1" si="1444"/>
        <v>0</v>
      </c>
      <c r="AU131" s="242">
        <f t="shared" ca="1" si="1444"/>
        <v>0</v>
      </c>
      <c r="AV131" s="242">
        <f t="shared" ca="1" si="1444"/>
        <v>0</v>
      </c>
      <c r="AW131" s="242">
        <f t="shared" ca="1" si="1444"/>
        <v>0</v>
      </c>
      <c r="AX131" s="242">
        <f t="shared" ca="1" si="1444"/>
        <v>0</v>
      </c>
      <c r="AY131" s="242">
        <f t="shared" ca="1" si="1444"/>
        <v>0</v>
      </c>
      <c r="AZ131" s="242">
        <f t="shared" ca="1" si="1444"/>
        <v>0</v>
      </c>
      <c r="BA131" s="242">
        <f t="shared" ca="1" si="1444"/>
        <v>0</v>
      </c>
      <c r="BB131" s="242">
        <f t="shared" ca="1" si="1444"/>
        <v>0</v>
      </c>
      <c r="BC131" s="242">
        <f t="shared" ca="1" si="1444"/>
        <v>0</v>
      </c>
      <c r="BD131" s="242">
        <f t="shared" ca="1" si="1444"/>
        <v>0</v>
      </c>
      <c r="BE131" s="242">
        <f t="shared" ca="1" si="1444"/>
        <v>0</v>
      </c>
      <c r="BF131" s="242">
        <f t="shared" ca="1" si="1444"/>
        <v>0</v>
      </c>
      <c r="BG131" s="242">
        <f t="shared" ca="1" si="1444"/>
        <v>0</v>
      </c>
      <c r="BH131" s="242">
        <f t="shared" ca="1" si="1444"/>
        <v>0</v>
      </c>
      <c r="BI131" s="242">
        <f t="shared" ca="1" si="1444"/>
        <v>0</v>
      </c>
      <c r="BJ131" s="242">
        <f t="shared" ca="1" si="1444"/>
        <v>0</v>
      </c>
      <c r="BK131" s="242">
        <f t="shared" ca="1" si="1444"/>
        <v>0</v>
      </c>
      <c r="BL131" s="242">
        <f t="shared" ca="1" si="1444"/>
        <v>0</v>
      </c>
      <c r="BM131" s="242">
        <f t="shared" ca="1" si="1444"/>
        <v>0</v>
      </c>
      <c r="BN131" s="242">
        <f t="shared" ca="1" si="1444"/>
        <v>0</v>
      </c>
      <c r="BO131" s="242">
        <f t="shared" ca="1" si="1444"/>
        <v>0</v>
      </c>
      <c r="BP131" s="242">
        <f t="shared" ca="1" si="1444"/>
        <v>0</v>
      </c>
      <c r="BQ131" s="242">
        <f t="shared" ca="1" si="1444"/>
        <v>0</v>
      </c>
      <c r="BR131" s="242">
        <f t="shared" ca="1" si="1444"/>
        <v>0</v>
      </c>
      <c r="BS131" s="242">
        <f t="shared" ref="BS131:BZ131" ca="1" si="1445">BR136</f>
        <v>0</v>
      </c>
      <c r="BT131" s="242">
        <f t="shared" ca="1" si="1445"/>
        <v>0</v>
      </c>
      <c r="BU131" s="242">
        <f t="shared" ca="1" si="1445"/>
        <v>0</v>
      </c>
      <c r="BV131" s="242">
        <f t="shared" ca="1" si="1445"/>
        <v>0</v>
      </c>
      <c r="BW131" s="242">
        <f t="shared" ca="1" si="1445"/>
        <v>0</v>
      </c>
      <c r="BX131" s="242">
        <f t="shared" ca="1" si="1445"/>
        <v>0</v>
      </c>
      <c r="BY131" s="242">
        <f t="shared" ca="1" si="1445"/>
        <v>0</v>
      </c>
      <c r="BZ131" s="242">
        <f t="shared" ca="1" si="1445"/>
        <v>0</v>
      </c>
      <c r="CA131" s="242">
        <f t="shared" ref="CA131" ca="1" si="1446">BZ136</f>
        <v>0</v>
      </c>
      <c r="CB131" s="242">
        <f t="shared" ref="CB131" ca="1" si="1447">CA136</f>
        <v>0</v>
      </c>
      <c r="CC131" s="242">
        <f t="shared" ref="CC131" ca="1" si="1448">CB136</f>
        <v>0</v>
      </c>
      <c r="CD131" s="242">
        <f t="shared" ref="CD131" ca="1" si="1449">CC136</f>
        <v>0</v>
      </c>
      <c r="CE131" s="242">
        <f t="shared" ref="CE131" ca="1" si="1450">CD136</f>
        <v>0</v>
      </c>
      <c r="CF131" s="242">
        <f t="shared" ref="CF131" ca="1" si="1451">CE136</f>
        <v>0</v>
      </c>
      <c r="CG131" s="242">
        <f t="shared" ref="CG131" ca="1" si="1452">CF136</f>
        <v>0</v>
      </c>
      <c r="CH131" s="242">
        <f t="shared" ref="CH131" ca="1" si="1453">CG136</f>
        <v>0</v>
      </c>
      <c r="CI131" s="242">
        <f t="shared" ref="CI131" ca="1" si="1454">CH136</f>
        <v>0</v>
      </c>
      <c r="CJ131" s="242">
        <f t="shared" ref="CJ131" ca="1" si="1455">CI136</f>
        <v>0</v>
      </c>
      <c r="CK131" s="242">
        <f t="shared" ref="CK131" ca="1" si="1456">CJ136</f>
        <v>0</v>
      </c>
      <c r="CL131" s="242">
        <f t="shared" ref="CL131" ca="1" si="1457">CK136</f>
        <v>0</v>
      </c>
      <c r="CM131" s="242">
        <f t="shared" ref="CM131" ca="1" si="1458">CL136</f>
        <v>0</v>
      </c>
      <c r="CN131" s="242">
        <f t="shared" ref="CN131" ca="1" si="1459">CM136</f>
        <v>0</v>
      </c>
      <c r="CO131" s="242">
        <f t="shared" ref="CO131" ca="1" si="1460">CN136</f>
        <v>0</v>
      </c>
      <c r="CP131" s="242">
        <f t="shared" ref="CP131" ca="1" si="1461">CO136</f>
        <v>0</v>
      </c>
      <c r="CQ131" s="242">
        <f t="shared" ref="CQ131" ca="1" si="1462">CP136</f>
        <v>0</v>
      </c>
      <c r="CR131" s="242">
        <f t="shared" ref="CR131" ca="1" si="1463">CQ136</f>
        <v>0</v>
      </c>
      <c r="CS131" s="242">
        <f t="shared" ref="CS131" ca="1" si="1464">CR136</f>
        <v>0</v>
      </c>
      <c r="CT131" s="242">
        <f t="shared" ref="CT131" ca="1" si="1465">CS136</f>
        <v>0</v>
      </c>
      <c r="CU131" s="242">
        <f t="shared" ref="CU131" ca="1" si="1466">CT136</f>
        <v>0</v>
      </c>
      <c r="CV131" s="242">
        <f t="shared" ref="CV131" ca="1" si="1467">CU136</f>
        <v>0</v>
      </c>
      <c r="CW131" s="242">
        <f t="shared" ref="CW131" ca="1" si="1468">CV136</f>
        <v>0</v>
      </c>
      <c r="CX131" s="242">
        <f t="shared" ref="CX131" ca="1" si="1469">CW136</f>
        <v>0</v>
      </c>
      <c r="CY131" s="242">
        <f t="shared" ref="CY131" ca="1" si="1470">CX136</f>
        <v>0</v>
      </c>
      <c r="CZ131" s="242">
        <f t="shared" ref="CZ131" ca="1" si="1471">CY136</f>
        <v>0</v>
      </c>
      <c r="DA131" s="242">
        <f t="shared" ref="DA131" ca="1" si="1472">CZ136</f>
        <v>0</v>
      </c>
      <c r="DB131" s="242">
        <f t="shared" ref="DB131" ca="1" si="1473">DA136</f>
        <v>0</v>
      </c>
      <c r="DC131" s="242">
        <f t="shared" ref="DC131" ca="1" si="1474">DB136</f>
        <v>0</v>
      </c>
      <c r="DD131" s="242">
        <f t="shared" ref="DD131" ca="1" si="1475">DC136</f>
        <v>0</v>
      </c>
      <c r="DE131" s="242">
        <f t="shared" ref="DE131" ca="1" si="1476">DD136</f>
        <v>0</v>
      </c>
      <c r="DF131" s="242">
        <f t="shared" ref="DF131" ca="1" si="1477">DE136</f>
        <v>0</v>
      </c>
      <c r="DG131" s="242">
        <f t="shared" ref="DG131" ca="1" si="1478">DF136</f>
        <v>0</v>
      </c>
      <c r="DH131" s="242">
        <f t="shared" ref="DH131" ca="1" si="1479">DG136</f>
        <v>0</v>
      </c>
      <c r="DI131" s="242">
        <f t="shared" ref="DI131" ca="1" si="1480">DH136</f>
        <v>0</v>
      </c>
      <c r="DJ131" s="242">
        <f t="shared" ref="DJ131" ca="1" si="1481">DI136</f>
        <v>0</v>
      </c>
      <c r="DK131" s="242">
        <f t="shared" ref="DK131" ca="1" si="1482">DJ136</f>
        <v>0</v>
      </c>
      <c r="DL131" s="242">
        <f t="shared" ref="DL131" ca="1" si="1483">DK136</f>
        <v>0</v>
      </c>
      <c r="DM131" s="242">
        <f t="shared" ref="DM131" ca="1" si="1484">DL136</f>
        <v>0</v>
      </c>
      <c r="DN131" s="242">
        <f t="shared" ref="DN131" ca="1" si="1485">DM136</f>
        <v>0</v>
      </c>
      <c r="DO131" s="242">
        <f t="shared" ref="DO131" ca="1" si="1486">DN136</f>
        <v>0</v>
      </c>
      <c r="DP131" s="242">
        <f t="shared" ref="DP131" ca="1" si="1487">DO136</f>
        <v>0</v>
      </c>
      <c r="DQ131" s="242">
        <f t="shared" ref="DQ131" ca="1" si="1488">DP136</f>
        <v>0</v>
      </c>
      <c r="DR131" s="242">
        <f t="shared" ref="DR131" ca="1" si="1489">DQ136</f>
        <v>0</v>
      </c>
      <c r="DS131" s="242">
        <f t="shared" ref="DS131" ca="1" si="1490">DR136</f>
        <v>0</v>
      </c>
      <c r="DT131" s="242">
        <f t="shared" ref="DT131" ca="1" si="1491">DS136</f>
        <v>0</v>
      </c>
      <c r="DU131" s="242">
        <f t="shared" ref="DU131" ca="1" si="1492">DT136</f>
        <v>0</v>
      </c>
      <c r="DV131" s="242">
        <f t="shared" ref="DV131" ca="1" si="1493">DU136</f>
        <v>0</v>
      </c>
      <c r="DW131" s="242">
        <f t="shared" ref="DW131" ca="1" si="1494">DV136</f>
        <v>0</v>
      </c>
      <c r="DX131" s="242">
        <f t="shared" ref="DX131" ca="1" si="1495">DW136</f>
        <v>0</v>
      </c>
      <c r="DY131" s="242">
        <f t="shared" ref="DY131" ca="1" si="1496">DX136</f>
        <v>0</v>
      </c>
      <c r="DZ131" s="242">
        <f t="shared" ref="DZ131" ca="1" si="1497">DY136</f>
        <v>0</v>
      </c>
      <c r="EA131" s="242">
        <f t="shared" ref="EA131" ca="1" si="1498">DZ136</f>
        <v>0</v>
      </c>
      <c r="EB131" s="242">
        <f t="shared" ref="EB131" ca="1" si="1499">EA136</f>
        <v>0</v>
      </c>
      <c r="EC131" s="242">
        <f t="shared" ref="EC131" ca="1" si="1500">EB136</f>
        <v>0</v>
      </c>
      <c r="ED131" s="242">
        <f t="shared" ref="ED131" ca="1" si="1501">EC136</f>
        <v>0</v>
      </c>
      <c r="EE131" s="242">
        <f t="shared" ref="EE131" ca="1" si="1502">ED136</f>
        <v>0</v>
      </c>
      <c r="EF131" s="242">
        <f t="shared" ref="EF131" ca="1" si="1503">EE136</f>
        <v>0</v>
      </c>
      <c r="EG131" s="242">
        <f t="shared" ref="EG131" ca="1" si="1504">EF136</f>
        <v>0</v>
      </c>
      <c r="EH131" s="242">
        <f t="shared" ref="EH131" ca="1" si="1505">EG136</f>
        <v>0</v>
      </c>
      <c r="EI131" s="242">
        <f t="shared" ref="EI131" ca="1" si="1506">EH136</f>
        <v>0</v>
      </c>
      <c r="EJ131" s="242">
        <f t="shared" ref="EJ131" ca="1" si="1507">EI136</f>
        <v>0</v>
      </c>
      <c r="EK131" s="242">
        <f t="shared" ref="EK131" ca="1" si="1508">EJ136</f>
        <v>0</v>
      </c>
      <c r="EL131" s="242">
        <f t="shared" ref="EL131" ca="1" si="1509">EK136</f>
        <v>0</v>
      </c>
      <c r="EM131" s="242">
        <f t="shared" ref="EM131" ca="1" si="1510">EL136</f>
        <v>0</v>
      </c>
      <c r="EN131" s="242">
        <f t="shared" ref="EN131" ca="1" si="1511">EM136</f>
        <v>0</v>
      </c>
      <c r="EO131" s="242">
        <f t="shared" ref="EO131" ca="1" si="1512">EN136</f>
        <v>0</v>
      </c>
      <c r="EP131" s="242">
        <f t="shared" ref="EP131" ca="1" si="1513">EO136</f>
        <v>0</v>
      </c>
      <c r="EQ131" s="242">
        <f t="shared" ref="EQ131" ca="1" si="1514">EP136</f>
        <v>0</v>
      </c>
      <c r="ER131" s="242">
        <f t="shared" ref="ER131" ca="1" si="1515">EQ136</f>
        <v>0</v>
      </c>
      <c r="ES131" s="242">
        <f t="shared" ref="ES131" ca="1" si="1516">ER136</f>
        <v>0</v>
      </c>
      <c r="ET131" s="242">
        <f t="shared" ref="ET131" ca="1" si="1517">ES136</f>
        <v>0</v>
      </c>
    </row>
    <row r="132" spans="2:150" x14ac:dyDescent="0.2">
      <c r="B132" t="s">
        <v>168</v>
      </c>
      <c r="F132" s="242">
        <f>-F95</f>
        <v>0</v>
      </c>
      <c r="G132" s="242">
        <f t="shared" ref="G132:BR132" si="1518">-G95</f>
        <v>0</v>
      </c>
      <c r="H132" s="242">
        <f t="shared" si="1518"/>
        <v>0</v>
      </c>
      <c r="I132" s="242">
        <f t="shared" si="1518"/>
        <v>0</v>
      </c>
      <c r="J132" s="242">
        <f t="shared" si="1518"/>
        <v>0</v>
      </c>
      <c r="K132" s="242">
        <f t="shared" si="1518"/>
        <v>0</v>
      </c>
      <c r="L132" s="242">
        <f t="shared" si="1518"/>
        <v>0</v>
      </c>
      <c r="M132" s="242">
        <f t="shared" si="1518"/>
        <v>0</v>
      </c>
      <c r="N132" s="242">
        <f t="shared" si="1518"/>
        <v>0</v>
      </c>
      <c r="O132" s="242">
        <f t="shared" si="1518"/>
        <v>0</v>
      </c>
      <c r="P132" s="242">
        <f t="shared" si="1518"/>
        <v>0</v>
      </c>
      <c r="Q132" s="242">
        <f t="shared" si="1518"/>
        <v>0</v>
      </c>
      <c r="R132" s="242">
        <f t="shared" ca="1" si="1518"/>
        <v>0</v>
      </c>
      <c r="S132" s="242">
        <f t="shared" ca="1" si="1518"/>
        <v>0</v>
      </c>
      <c r="T132" s="242">
        <f t="shared" ca="1" si="1518"/>
        <v>0</v>
      </c>
      <c r="U132" s="242">
        <f t="shared" ca="1" si="1518"/>
        <v>0</v>
      </c>
      <c r="V132" s="242">
        <f t="shared" ca="1" si="1518"/>
        <v>0</v>
      </c>
      <c r="W132" s="242">
        <f t="shared" ca="1" si="1518"/>
        <v>0</v>
      </c>
      <c r="X132" s="242">
        <f t="shared" ca="1" si="1518"/>
        <v>0</v>
      </c>
      <c r="Y132" s="242">
        <f t="shared" ca="1" si="1518"/>
        <v>0</v>
      </c>
      <c r="Z132" s="242">
        <f t="shared" ca="1" si="1518"/>
        <v>0</v>
      </c>
      <c r="AA132" s="242">
        <f t="shared" ca="1" si="1518"/>
        <v>0</v>
      </c>
      <c r="AB132" s="242">
        <f t="shared" ca="1" si="1518"/>
        <v>0</v>
      </c>
      <c r="AC132" s="242">
        <f t="shared" ca="1" si="1518"/>
        <v>0</v>
      </c>
      <c r="AD132" s="242">
        <f t="shared" ca="1" si="1518"/>
        <v>0</v>
      </c>
      <c r="AE132" s="242">
        <f t="shared" ca="1" si="1518"/>
        <v>0</v>
      </c>
      <c r="AF132" s="242">
        <f t="shared" ca="1" si="1518"/>
        <v>0</v>
      </c>
      <c r="AG132" s="242">
        <f t="shared" ca="1" si="1518"/>
        <v>0</v>
      </c>
      <c r="AH132" s="242">
        <f t="shared" ca="1" si="1518"/>
        <v>0</v>
      </c>
      <c r="AI132" s="242">
        <f t="shared" ca="1" si="1518"/>
        <v>0</v>
      </c>
      <c r="AJ132" s="242">
        <f t="shared" ca="1" si="1518"/>
        <v>0</v>
      </c>
      <c r="AK132" s="242">
        <f t="shared" ca="1" si="1518"/>
        <v>0</v>
      </c>
      <c r="AL132" s="242">
        <f t="shared" ca="1" si="1518"/>
        <v>0</v>
      </c>
      <c r="AM132" s="242">
        <f t="shared" ca="1" si="1518"/>
        <v>0</v>
      </c>
      <c r="AN132" s="242">
        <f t="shared" ca="1" si="1518"/>
        <v>0</v>
      </c>
      <c r="AO132" s="242">
        <f t="shared" ca="1" si="1518"/>
        <v>0</v>
      </c>
      <c r="AP132" s="242">
        <f t="shared" ca="1" si="1518"/>
        <v>0</v>
      </c>
      <c r="AQ132" s="242">
        <f t="shared" ca="1" si="1518"/>
        <v>0</v>
      </c>
      <c r="AR132" s="242">
        <f t="shared" ca="1" si="1518"/>
        <v>0</v>
      </c>
      <c r="AS132" s="242">
        <f t="shared" ca="1" si="1518"/>
        <v>0</v>
      </c>
      <c r="AT132" s="242">
        <f t="shared" ca="1" si="1518"/>
        <v>0</v>
      </c>
      <c r="AU132" s="242">
        <f t="shared" ca="1" si="1518"/>
        <v>0</v>
      </c>
      <c r="AV132" s="242">
        <f t="shared" ca="1" si="1518"/>
        <v>0</v>
      </c>
      <c r="AW132" s="242">
        <f t="shared" ca="1" si="1518"/>
        <v>0</v>
      </c>
      <c r="AX132" s="242">
        <f t="shared" ca="1" si="1518"/>
        <v>0</v>
      </c>
      <c r="AY132" s="242">
        <f t="shared" ca="1" si="1518"/>
        <v>0</v>
      </c>
      <c r="AZ132" s="242">
        <f t="shared" ca="1" si="1518"/>
        <v>0</v>
      </c>
      <c r="BA132" s="242">
        <f t="shared" ca="1" si="1518"/>
        <v>0</v>
      </c>
      <c r="BB132" s="242">
        <f t="shared" ca="1" si="1518"/>
        <v>0</v>
      </c>
      <c r="BC132" s="242">
        <f t="shared" ca="1" si="1518"/>
        <v>0</v>
      </c>
      <c r="BD132" s="242">
        <f t="shared" ca="1" si="1518"/>
        <v>0</v>
      </c>
      <c r="BE132" s="242">
        <f t="shared" ca="1" si="1518"/>
        <v>0</v>
      </c>
      <c r="BF132" s="242">
        <f t="shared" ca="1" si="1518"/>
        <v>0</v>
      </c>
      <c r="BG132" s="242">
        <f t="shared" ca="1" si="1518"/>
        <v>0</v>
      </c>
      <c r="BH132" s="242">
        <f t="shared" ca="1" si="1518"/>
        <v>0</v>
      </c>
      <c r="BI132" s="242">
        <f t="shared" ca="1" si="1518"/>
        <v>0</v>
      </c>
      <c r="BJ132" s="242">
        <f t="shared" ca="1" si="1518"/>
        <v>0</v>
      </c>
      <c r="BK132" s="242">
        <f t="shared" ca="1" si="1518"/>
        <v>0</v>
      </c>
      <c r="BL132" s="242">
        <f t="shared" ca="1" si="1518"/>
        <v>0</v>
      </c>
      <c r="BM132" s="242">
        <f t="shared" ca="1" si="1518"/>
        <v>0</v>
      </c>
      <c r="BN132" s="242">
        <f t="shared" ca="1" si="1518"/>
        <v>0</v>
      </c>
      <c r="BO132" s="242">
        <f t="shared" ca="1" si="1518"/>
        <v>0</v>
      </c>
      <c r="BP132" s="242">
        <f t="shared" ca="1" si="1518"/>
        <v>0</v>
      </c>
      <c r="BQ132" s="242">
        <f t="shared" ca="1" si="1518"/>
        <v>0</v>
      </c>
      <c r="BR132" s="242">
        <f t="shared" ca="1" si="1518"/>
        <v>0</v>
      </c>
      <c r="BS132" s="242">
        <f t="shared" ref="BS132:BZ132" ca="1" si="1519">-BS95</f>
        <v>0</v>
      </c>
      <c r="BT132" s="242">
        <f t="shared" ca="1" si="1519"/>
        <v>0</v>
      </c>
      <c r="BU132" s="242">
        <f t="shared" ca="1" si="1519"/>
        <v>0</v>
      </c>
      <c r="BV132" s="242">
        <f t="shared" ca="1" si="1519"/>
        <v>0</v>
      </c>
      <c r="BW132" s="242">
        <f t="shared" ca="1" si="1519"/>
        <v>0</v>
      </c>
      <c r="BX132" s="242">
        <f t="shared" ca="1" si="1519"/>
        <v>0</v>
      </c>
      <c r="BY132" s="242">
        <f t="shared" ca="1" si="1519"/>
        <v>0</v>
      </c>
      <c r="BZ132" s="242">
        <f t="shared" ca="1" si="1519"/>
        <v>0</v>
      </c>
      <c r="CA132" s="242">
        <f t="shared" ref="CA132:EL132" ca="1" si="1520">-CA95</f>
        <v>0</v>
      </c>
      <c r="CB132" s="242">
        <f t="shared" ca="1" si="1520"/>
        <v>0</v>
      </c>
      <c r="CC132" s="242">
        <f t="shared" ca="1" si="1520"/>
        <v>0</v>
      </c>
      <c r="CD132" s="242">
        <f t="shared" ca="1" si="1520"/>
        <v>0</v>
      </c>
      <c r="CE132" s="242">
        <f t="shared" ca="1" si="1520"/>
        <v>0</v>
      </c>
      <c r="CF132" s="242">
        <f t="shared" ca="1" si="1520"/>
        <v>0</v>
      </c>
      <c r="CG132" s="242">
        <f t="shared" ca="1" si="1520"/>
        <v>0</v>
      </c>
      <c r="CH132" s="242">
        <f t="shared" ca="1" si="1520"/>
        <v>0</v>
      </c>
      <c r="CI132" s="242">
        <f t="shared" ca="1" si="1520"/>
        <v>0</v>
      </c>
      <c r="CJ132" s="242">
        <f t="shared" ca="1" si="1520"/>
        <v>0</v>
      </c>
      <c r="CK132" s="242">
        <f t="shared" ca="1" si="1520"/>
        <v>0</v>
      </c>
      <c r="CL132" s="242">
        <f t="shared" ca="1" si="1520"/>
        <v>0</v>
      </c>
      <c r="CM132" s="242">
        <f t="shared" ca="1" si="1520"/>
        <v>0</v>
      </c>
      <c r="CN132" s="242">
        <f t="shared" ca="1" si="1520"/>
        <v>0</v>
      </c>
      <c r="CO132" s="242">
        <f t="shared" ca="1" si="1520"/>
        <v>0</v>
      </c>
      <c r="CP132" s="242">
        <f t="shared" ca="1" si="1520"/>
        <v>0</v>
      </c>
      <c r="CQ132" s="242">
        <f t="shared" ca="1" si="1520"/>
        <v>0</v>
      </c>
      <c r="CR132" s="242">
        <f t="shared" ca="1" si="1520"/>
        <v>0</v>
      </c>
      <c r="CS132" s="242">
        <f t="shared" ca="1" si="1520"/>
        <v>0</v>
      </c>
      <c r="CT132" s="242">
        <f t="shared" ca="1" si="1520"/>
        <v>0</v>
      </c>
      <c r="CU132" s="242">
        <f t="shared" ca="1" si="1520"/>
        <v>0</v>
      </c>
      <c r="CV132" s="242">
        <f t="shared" ca="1" si="1520"/>
        <v>0</v>
      </c>
      <c r="CW132" s="242">
        <f t="shared" ca="1" si="1520"/>
        <v>0</v>
      </c>
      <c r="CX132" s="242">
        <f t="shared" ca="1" si="1520"/>
        <v>0</v>
      </c>
      <c r="CY132" s="242">
        <f t="shared" ca="1" si="1520"/>
        <v>0</v>
      </c>
      <c r="CZ132" s="242">
        <f t="shared" ca="1" si="1520"/>
        <v>0</v>
      </c>
      <c r="DA132" s="242">
        <f t="shared" ca="1" si="1520"/>
        <v>0</v>
      </c>
      <c r="DB132" s="242">
        <f t="shared" ca="1" si="1520"/>
        <v>0</v>
      </c>
      <c r="DC132" s="242">
        <f t="shared" ca="1" si="1520"/>
        <v>0</v>
      </c>
      <c r="DD132" s="242">
        <f t="shared" ca="1" si="1520"/>
        <v>0</v>
      </c>
      <c r="DE132" s="242">
        <f t="shared" ca="1" si="1520"/>
        <v>0</v>
      </c>
      <c r="DF132" s="242">
        <f t="shared" ca="1" si="1520"/>
        <v>0</v>
      </c>
      <c r="DG132" s="242">
        <f t="shared" ca="1" si="1520"/>
        <v>0</v>
      </c>
      <c r="DH132" s="242">
        <f t="shared" ca="1" si="1520"/>
        <v>0</v>
      </c>
      <c r="DI132" s="242">
        <f t="shared" ca="1" si="1520"/>
        <v>0</v>
      </c>
      <c r="DJ132" s="242">
        <f t="shared" ca="1" si="1520"/>
        <v>0</v>
      </c>
      <c r="DK132" s="242">
        <f t="shared" ca="1" si="1520"/>
        <v>0</v>
      </c>
      <c r="DL132" s="242">
        <f t="shared" ca="1" si="1520"/>
        <v>0</v>
      </c>
      <c r="DM132" s="242">
        <f t="shared" ca="1" si="1520"/>
        <v>0</v>
      </c>
      <c r="DN132" s="242">
        <f t="shared" ca="1" si="1520"/>
        <v>0</v>
      </c>
      <c r="DO132" s="242">
        <f t="shared" ca="1" si="1520"/>
        <v>0</v>
      </c>
      <c r="DP132" s="242">
        <f t="shared" ca="1" si="1520"/>
        <v>0</v>
      </c>
      <c r="DQ132" s="242">
        <f t="shared" ca="1" si="1520"/>
        <v>0</v>
      </c>
      <c r="DR132" s="242">
        <f t="shared" ca="1" si="1520"/>
        <v>0</v>
      </c>
      <c r="DS132" s="242">
        <f t="shared" ca="1" si="1520"/>
        <v>0</v>
      </c>
      <c r="DT132" s="242">
        <f t="shared" ca="1" si="1520"/>
        <v>0</v>
      </c>
      <c r="DU132" s="242">
        <f t="shared" ca="1" si="1520"/>
        <v>0</v>
      </c>
      <c r="DV132" s="242">
        <f t="shared" ca="1" si="1520"/>
        <v>0</v>
      </c>
      <c r="DW132" s="242">
        <f t="shared" ca="1" si="1520"/>
        <v>0</v>
      </c>
      <c r="DX132" s="242">
        <f t="shared" ca="1" si="1520"/>
        <v>0</v>
      </c>
      <c r="DY132" s="242">
        <f t="shared" ca="1" si="1520"/>
        <v>0</v>
      </c>
      <c r="DZ132" s="242">
        <f t="shared" ca="1" si="1520"/>
        <v>0</v>
      </c>
      <c r="EA132" s="242">
        <f t="shared" ca="1" si="1520"/>
        <v>0</v>
      </c>
      <c r="EB132" s="242">
        <f t="shared" ca="1" si="1520"/>
        <v>0</v>
      </c>
      <c r="EC132" s="242">
        <f t="shared" ca="1" si="1520"/>
        <v>0</v>
      </c>
      <c r="ED132" s="242">
        <f t="shared" ca="1" si="1520"/>
        <v>0</v>
      </c>
      <c r="EE132" s="242">
        <f t="shared" ca="1" si="1520"/>
        <v>0</v>
      </c>
      <c r="EF132" s="242">
        <f t="shared" ca="1" si="1520"/>
        <v>0</v>
      </c>
      <c r="EG132" s="242">
        <f t="shared" ca="1" si="1520"/>
        <v>0</v>
      </c>
      <c r="EH132" s="242">
        <f t="shared" ca="1" si="1520"/>
        <v>0</v>
      </c>
      <c r="EI132" s="242">
        <f t="shared" ca="1" si="1520"/>
        <v>0</v>
      </c>
      <c r="EJ132" s="242">
        <f t="shared" ca="1" si="1520"/>
        <v>0</v>
      </c>
      <c r="EK132" s="242">
        <f t="shared" ca="1" si="1520"/>
        <v>0</v>
      </c>
      <c r="EL132" s="242">
        <f t="shared" ca="1" si="1520"/>
        <v>0</v>
      </c>
      <c r="EM132" s="242">
        <f t="shared" ref="EM132:ET132" ca="1" si="1521">-EM95</f>
        <v>0</v>
      </c>
      <c r="EN132" s="242">
        <f t="shared" ca="1" si="1521"/>
        <v>0</v>
      </c>
      <c r="EO132" s="242">
        <f t="shared" ca="1" si="1521"/>
        <v>0</v>
      </c>
      <c r="EP132" s="242">
        <f t="shared" ca="1" si="1521"/>
        <v>0</v>
      </c>
      <c r="EQ132" s="242">
        <f t="shared" ca="1" si="1521"/>
        <v>0</v>
      </c>
      <c r="ER132" s="242">
        <f t="shared" ca="1" si="1521"/>
        <v>0</v>
      </c>
      <c r="ES132" s="242">
        <f t="shared" ca="1" si="1521"/>
        <v>0</v>
      </c>
      <c r="ET132" s="242">
        <f t="shared" ca="1" si="1521"/>
        <v>0</v>
      </c>
    </row>
    <row r="133" spans="2:150" x14ac:dyDescent="0.2">
      <c r="B133" t="s">
        <v>134</v>
      </c>
      <c r="F133" s="242">
        <f>F131*Assumptions!$Q$20/12</f>
        <v>0</v>
      </c>
      <c r="G133" s="242">
        <f ca="1">G131*Assumptions!$Q$20/12</f>
        <v>0</v>
      </c>
      <c r="H133" s="242">
        <f ca="1">H131*Assumptions!$Q$20/12</f>
        <v>0</v>
      </c>
      <c r="I133" s="242">
        <f ca="1">I131*Assumptions!$Q$20/12</f>
        <v>0</v>
      </c>
      <c r="J133" s="242">
        <f ca="1">J131*Assumptions!$Q$20/12</f>
        <v>0</v>
      </c>
      <c r="K133" s="242">
        <f ca="1">K131*Assumptions!$Q$20/12</f>
        <v>0</v>
      </c>
      <c r="L133" s="242">
        <f ca="1">L131*Assumptions!$Q$20/12</f>
        <v>0</v>
      </c>
      <c r="M133" s="242">
        <f ca="1">M131*Assumptions!$Q$20/12</f>
        <v>0</v>
      </c>
      <c r="N133" s="242">
        <f ca="1">N131*Assumptions!$Q$20/12</f>
        <v>0</v>
      </c>
      <c r="O133" s="242">
        <f ca="1">O131*Assumptions!$Q$20/12</f>
        <v>0</v>
      </c>
      <c r="P133" s="242">
        <f ca="1">P131*Assumptions!$Q$20/12</f>
        <v>0</v>
      </c>
      <c r="Q133" s="242">
        <f ca="1">Q131*Assumptions!$Q$20/12</f>
        <v>0</v>
      </c>
      <c r="R133" s="242">
        <f ca="1">R131*Assumptions!$Q$20/12</f>
        <v>0</v>
      </c>
      <c r="S133" s="242">
        <f ca="1">S131*Assumptions!$Q$20/12</f>
        <v>0</v>
      </c>
      <c r="T133" s="242">
        <f ca="1">T131*Assumptions!$Q$20/12</f>
        <v>0</v>
      </c>
      <c r="U133" s="242">
        <f ca="1">U131*Assumptions!$Q$20/12</f>
        <v>0</v>
      </c>
      <c r="V133" s="242">
        <f ca="1">V131*Assumptions!$Q$20/12</f>
        <v>0</v>
      </c>
      <c r="W133" s="242">
        <f ca="1">W131*Assumptions!$Q$20/12</f>
        <v>0</v>
      </c>
      <c r="X133" s="242">
        <f ca="1">X131*Assumptions!$Q$20/12</f>
        <v>0</v>
      </c>
      <c r="Y133" s="242">
        <f ca="1">Y131*Assumptions!$Q$20/12</f>
        <v>0</v>
      </c>
      <c r="Z133" s="242">
        <f ca="1">Z131*Assumptions!$Q$20/12</f>
        <v>0</v>
      </c>
      <c r="AA133" s="242">
        <f ca="1">AA131*Assumptions!$Q$20/12</f>
        <v>0</v>
      </c>
      <c r="AB133" s="242">
        <f ca="1">AB131*Assumptions!$Q$20/12</f>
        <v>0</v>
      </c>
      <c r="AC133" s="242">
        <f ca="1">AC131*Assumptions!$Q$20/12</f>
        <v>0</v>
      </c>
      <c r="AD133" s="242">
        <f ca="1">AD131*Assumptions!$Q$20/12</f>
        <v>0</v>
      </c>
      <c r="AE133" s="242">
        <f ca="1">AE131*Assumptions!$Q$20/12</f>
        <v>0</v>
      </c>
      <c r="AF133" s="242">
        <f ca="1">AF131*Assumptions!$Q$20/12</f>
        <v>0</v>
      </c>
      <c r="AG133" s="242">
        <f ca="1">AG131*Assumptions!$Q$20/12</f>
        <v>0</v>
      </c>
      <c r="AH133" s="242">
        <f ca="1">AH131*Assumptions!$Q$20/12</f>
        <v>0</v>
      </c>
      <c r="AI133" s="242">
        <f ca="1">AI131*Assumptions!$Q$20/12</f>
        <v>0</v>
      </c>
      <c r="AJ133" s="242">
        <f ca="1">AJ131*Assumptions!$Q$20/12</f>
        <v>0</v>
      </c>
      <c r="AK133" s="242">
        <f ca="1">AK131*Assumptions!$Q$20/12</f>
        <v>0</v>
      </c>
      <c r="AL133" s="242">
        <f ca="1">AL131*Assumptions!$Q$20/12</f>
        <v>0</v>
      </c>
      <c r="AM133" s="242">
        <f ca="1">AM131*Assumptions!$Q$20/12</f>
        <v>0</v>
      </c>
      <c r="AN133" s="242">
        <f ca="1">AN131*Assumptions!$Q$20/12</f>
        <v>0</v>
      </c>
      <c r="AO133" s="242">
        <f ca="1">AO131*Assumptions!$Q$20/12</f>
        <v>0</v>
      </c>
      <c r="AP133" s="242">
        <f ca="1">AP131*Assumptions!$Q$20/12</f>
        <v>0</v>
      </c>
      <c r="AQ133" s="242">
        <f ca="1">AQ131*Assumptions!$Q$20/12</f>
        <v>0</v>
      </c>
      <c r="AR133" s="242">
        <f ca="1">AR131*Assumptions!$Q$20/12</f>
        <v>0</v>
      </c>
      <c r="AS133" s="242">
        <f ca="1">AS131*Assumptions!$Q$20/12</f>
        <v>0</v>
      </c>
      <c r="AT133" s="242">
        <f ca="1">AT131*Assumptions!$Q$20/12</f>
        <v>0</v>
      </c>
      <c r="AU133" s="242">
        <f ca="1">AU131*Assumptions!$Q$20/12</f>
        <v>0</v>
      </c>
      <c r="AV133" s="242">
        <f ca="1">AV131*Assumptions!$Q$20/12</f>
        <v>0</v>
      </c>
      <c r="AW133" s="242">
        <f ca="1">AW131*Assumptions!$Q$20/12</f>
        <v>0</v>
      </c>
      <c r="AX133" s="242">
        <f ca="1">AX131*Assumptions!$Q$20/12</f>
        <v>0</v>
      </c>
      <c r="AY133" s="242">
        <f ca="1">AY131*Assumptions!$Q$20/12</f>
        <v>0</v>
      </c>
      <c r="AZ133" s="242">
        <f ca="1">AZ131*Assumptions!$Q$20/12</f>
        <v>0</v>
      </c>
      <c r="BA133" s="242">
        <f ca="1">BA131*Assumptions!$Q$20/12</f>
        <v>0</v>
      </c>
      <c r="BB133" s="242">
        <f ca="1">BB131*Assumptions!$Q$20/12</f>
        <v>0</v>
      </c>
      <c r="BC133" s="242">
        <f ca="1">BC131*Assumptions!$Q$20/12</f>
        <v>0</v>
      </c>
      <c r="BD133" s="242">
        <f ca="1">BD131*Assumptions!$Q$20/12</f>
        <v>0</v>
      </c>
      <c r="BE133" s="242">
        <f ca="1">BE131*Assumptions!$Q$20/12</f>
        <v>0</v>
      </c>
      <c r="BF133" s="242">
        <f ca="1">BF131*Assumptions!$Q$20/12</f>
        <v>0</v>
      </c>
      <c r="BG133" s="242">
        <f ca="1">BG131*Assumptions!$Q$20/12</f>
        <v>0</v>
      </c>
      <c r="BH133" s="242">
        <f ca="1">BH131*Assumptions!$Q$20/12</f>
        <v>0</v>
      </c>
      <c r="BI133" s="242">
        <f ca="1">BI131*Assumptions!$Q$20/12</f>
        <v>0</v>
      </c>
      <c r="BJ133" s="242">
        <f ca="1">BJ131*Assumptions!$Q$20/12</f>
        <v>0</v>
      </c>
      <c r="BK133" s="242">
        <f ca="1">BK131*Assumptions!$Q$20/12</f>
        <v>0</v>
      </c>
      <c r="BL133" s="242">
        <f ca="1">BL131*Assumptions!$Q$20/12</f>
        <v>0</v>
      </c>
      <c r="BM133" s="242">
        <f ca="1">BM131*Assumptions!$Q$20/12</f>
        <v>0</v>
      </c>
      <c r="BN133" s="242">
        <f ca="1">BN131*Assumptions!$Q$20/12</f>
        <v>0</v>
      </c>
      <c r="BO133" s="242">
        <f ca="1">BO131*Assumptions!$Q$20/12</f>
        <v>0</v>
      </c>
      <c r="BP133" s="242">
        <f ca="1">BP131*Assumptions!$Q$20/12</f>
        <v>0</v>
      </c>
      <c r="BQ133" s="242">
        <f ca="1">BQ131*Assumptions!$Q$20/12</f>
        <v>0</v>
      </c>
      <c r="BR133" s="242">
        <f ca="1">BR131*Assumptions!$Q$20/12</f>
        <v>0</v>
      </c>
      <c r="BS133" s="242">
        <f ca="1">BS131*Assumptions!$Q$20/12</f>
        <v>0</v>
      </c>
      <c r="BT133" s="242">
        <f ca="1">BT131*Assumptions!$Q$20/12</f>
        <v>0</v>
      </c>
      <c r="BU133" s="242">
        <f ca="1">BU131*Assumptions!$Q$20/12</f>
        <v>0</v>
      </c>
      <c r="BV133" s="242">
        <f ca="1">BV131*Assumptions!$Q$20/12</f>
        <v>0</v>
      </c>
      <c r="BW133" s="242">
        <f ca="1">BW131*Assumptions!$Q$20/12</f>
        <v>0</v>
      </c>
      <c r="BX133" s="242">
        <f ca="1">BX131*Assumptions!$Q$20/12</f>
        <v>0</v>
      </c>
      <c r="BY133" s="242">
        <f ca="1">BY131*Assumptions!$Q$20/12</f>
        <v>0</v>
      </c>
      <c r="BZ133" s="242">
        <f ca="1">BZ131*Assumptions!$Q$20/12</f>
        <v>0</v>
      </c>
      <c r="CA133" s="242">
        <f ca="1">CA131*Assumptions!$Q$20/12</f>
        <v>0</v>
      </c>
      <c r="CB133" s="242">
        <f ca="1">CB131*Assumptions!$Q$20/12</f>
        <v>0</v>
      </c>
      <c r="CC133" s="242">
        <f ca="1">CC131*Assumptions!$Q$20/12</f>
        <v>0</v>
      </c>
      <c r="CD133" s="242">
        <f ca="1">CD131*Assumptions!$Q$20/12</f>
        <v>0</v>
      </c>
      <c r="CE133" s="242">
        <f ca="1">CE131*Assumptions!$Q$20/12</f>
        <v>0</v>
      </c>
      <c r="CF133" s="242">
        <f ca="1">CF131*Assumptions!$Q$20/12</f>
        <v>0</v>
      </c>
      <c r="CG133" s="242">
        <f ca="1">CG131*Assumptions!$Q$20/12</f>
        <v>0</v>
      </c>
      <c r="CH133" s="242">
        <f ca="1">CH131*Assumptions!$Q$20/12</f>
        <v>0</v>
      </c>
      <c r="CI133" s="242">
        <f ca="1">CI131*Assumptions!$Q$20/12</f>
        <v>0</v>
      </c>
      <c r="CJ133" s="242">
        <f ca="1">CJ131*Assumptions!$Q$20/12</f>
        <v>0</v>
      </c>
      <c r="CK133" s="242">
        <f ca="1">CK131*Assumptions!$Q$20/12</f>
        <v>0</v>
      </c>
      <c r="CL133" s="242">
        <f ca="1">CL131*Assumptions!$Q$20/12</f>
        <v>0</v>
      </c>
      <c r="CM133" s="242">
        <f ca="1">CM131*Assumptions!$Q$20/12</f>
        <v>0</v>
      </c>
      <c r="CN133" s="242">
        <f ca="1">CN131*Assumptions!$Q$20/12</f>
        <v>0</v>
      </c>
      <c r="CO133" s="242">
        <f ca="1">CO131*Assumptions!$Q$20/12</f>
        <v>0</v>
      </c>
      <c r="CP133" s="242">
        <f ca="1">CP131*Assumptions!$Q$20/12</f>
        <v>0</v>
      </c>
      <c r="CQ133" s="242">
        <f ca="1">CQ131*Assumptions!$Q$20/12</f>
        <v>0</v>
      </c>
      <c r="CR133" s="242">
        <f ca="1">CR131*Assumptions!$Q$20/12</f>
        <v>0</v>
      </c>
      <c r="CS133" s="242">
        <f ca="1">CS131*Assumptions!$Q$20/12</f>
        <v>0</v>
      </c>
      <c r="CT133" s="242">
        <f ca="1">CT131*Assumptions!$Q$20/12</f>
        <v>0</v>
      </c>
      <c r="CU133" s="242">
        <f ca="1">CU131*Assumptions!$Q$20/12</f>
        <v>0</v>
      </c>
      <c r="CV133" s="242">
        <f ca="1">CV131*Assumptions!$Q$20/12</f>
        <v>0</v>
      </c>
      <c r="CW133" s="242">
        <f ca="1">CW131*Assumptions!$Q$20/12</f>
        <v>0</v>
      </c>
      <c r="CX133" s="242">
        <f ca="1">CX131*Assumptions!$Q$20/12</f>
        <v>0</v>
      </c>
      <c r="CY133" s="242">
        <f ca="1">CY131*Assumptions!$Q$20/12</f>
        <v>0</v>
      </c>
      <c r="CZ133" s="242">
        <f ca="1">CZ131*Assumptions!$Q$20/12</f>
        <v>0</v>
      </c>
      <c r="DA133" s="242">
        <f ca="1">DA131*Assumptions!$Q$20/12</f>
        <v>0</v>
      </c>
      <c r="DB133" s="242">
        <f ca="1">DB131*Assumptions!$Q$20/12</f>
        <v>0</v>
      </c>
      <c r="DC133" s="242">
        <f ca="1">DC131*Assumptions!$Q$20/12</f>
        <v>0</v>
      </c>
      <c r="DD133" s="242">
        <f ca="1">DD131*Assumptions!$Q$20/12</f>
        <v>0</v>
      </c>
      <c r="DE133" s="242">
        <f ca="1">DE131*Assumptions!$Q$20/12</f>
        <v>0</v>
      </c>
      <c r="DF133" s="242">
        <f ca="1">DF131*Assumptions!$Q$20/12</f>
        <v>0</v>
      </c>
      <c r="DG133" s="242">
        <f ca="1">DG131*Assumptions!$Q$20/12</f>
        <v>0</v>
      </c>
      <c r="DH133" s="242">
        <f ca="1">DH131*Assumptions!$Q$20/12</f>
        <v>0</v>
      </c>
      <c r="DI133" s="242">
        <f ca="1">DI131*Assumptions!$Q$20/12</f>
        <v>0</v>
      </c>
      <c r="DJ133" s="242">
        <f ca="1">DJ131*Assumptions!$Q$20/12</f>
        <v>0</v>
      </c>
      <c r="DK133" s="242">
        <f ca="1">DK131*Assumptions!$Q$20/12</f>
        <v>0</v>
      </c>
      <c r="DL133" s="242">
        <f ca="1">DL131*Assumptions!$Q$20/12</f>
        <v>0</v>
      </c>
      <c r="DM133" s="242">
        <f ca="1">DM131*Assumptions!$Q$20/12</f>
        <v>0</v>
      </c>
      <c r="DN133" s="242">
        <f ca="1">DN131*Assumptions!$Q$20/12</f>
        <v>0</v>
      </c>
      <c r="DO133" s="242">
        <f ca="1">DO131*Assumptions!$Q$20/12</f>
        <v>0</v>
      </c>
      <c r="DP133" s="242">
        <f ca="1">DP131*Assumptions!$Q$20/12</f>
        <v>0</v>
      </c>
      <c r="DQ133" s="242">
        <f ca="1">DQ131*Assumptions!$Q$20/12</f>
        <v>0</v>
      </c>
      <c r="DR133" s="242">
        <f ca="1">DR131*Assumptions!$Q$20/12</f>
        <v>0</v>
      </c>
      <c r="DS133" s="242">
        <f ca="1">DS131*Assumptions!$Q$20/12</f>
        <v>0</v>
      </c>
      <c r="DT133" s="242">
        <f ca="1">DT131*Assumptions!$Q$20/12</f>
        <v>0</v>
      </c>
      <c r="DU133" s="242">
        <f ca="1">DU131*Assumptions!$Q$20/12</f>
        <v>0</v>
      </c>
      <c r="DV133" s="242">
        <f ca="1">DV131*Assumptions!$Q$20/12</f>
        <v>0</v>
      </c>
      <c r="DW133" s="242">
        <f ca="1">DW131*Assumptions!$Q$20/12</f>
        <v>0</v>
      </c>
      <c r="DX133" s="242">
        <f ca="1">DX131*Assumptions!$Q$20/12</f>
        <v>0</v>
      </c>
      <c r="DY133" s="242">
        <f ca="1">DY131*Assumptions!$Q$20/12</f>
        <v>0</v>
      </c>
      <c r="DZ133" s="242">
        <f ca="1">DZ131*Assumptions!$Q$20/12</f>
        <v>0</v>
      </c>
      <c r="EA133" s="242">
        <f ca="1">EA131*Assumptions!$Q$20/12</f>
        <v>0</v>
      </c>
      <c r="EB133" s="242">
        <f ca="1">EB131*Assumptions!$Q$20/12</f>
        <v>0</v>
      </c>
      <c r="EC133" s="242">
        <f ca="1">EC131*Assumptions!$Q$20/12</f>
        <v>0</v>
      </c>
      <c r="ED133" s="242">
        <f ca="1">ED131*Assumptions!$Q$20/12</f>
        <v>0</v>
      </c>
      <c r="EE133" s="242">
        <f ca="1">EE131*Assumptions!$Q$20/12</f>
        <v>0</v>
      </c>
      <c r="EF133" s="242">
        <f ca="1">EF131*Assumptions!$Q$20/12</f>
        <v>0</v>
      </c>
      <c r="EG133" s="242">
        <f ca="1">EG131*Assumptions!$Q$20/12</f>
        <v>0</v>
      </c>
      <c r="EH133" s="242">
        <f ca="1">EH131*Assumptions!$Q$20/12</f>
        <v>0</v>
      </c>
      <c r="EI133" s="242">
        <f ca="1">EI131*Assumptions!$Q$20/12</f>
        <v>0</v>
      </c>
      <c r="EJ133" s="242">
        <f ca="1">EJ131*Assumptions!$Q$20/12</f>
        <v>0</v>
      </c>
      <c r="EK133" s="242">
        <f ca="1">EK131*Assumptions!$Q$20/12</f>
        <v>0</v>
      </c>
      <c r="EL133" s="242">
        <f ca="1">EL131*Assumptions!$Q$20/12</f>
        <v>0</v>
      </c>
      <c r="EM133" s="242">
        <f ca="1">EM131*Assumptions!$Q$20/12</f>
        <v>0</v>
      </c>
      <c r="EN133" s="242">
        <f ca="1">EN131*Assumptions!$Q$20/12</f>
        <v>0</v>
      </c>
      <c r="EO133" s="242">
        <f ca="1">EO131*Assumptions!$Q$20/12</f>
        <v>0</v>
      </c>
      <c r="EP133" s="242">
        <f ca="1">EP131*Assumptions!$Q$20/12</f>
        <v>0</v>
      </c>
      <c r="EQ133" s="242">
        <f ca="1">EQ131*Assumptions!$Q$20/12</f>
        <v>0</v>
      </c>
      <c r="ER133" s="242">
        <f ca="1">ER131*Assumptions!$Q$20/12</f>
        <v>0</v>
      </c>
      <c r="ES133" s="242">
        <f ca="1">ES131*Assumptions!$Q$20/12</f>
        <v>0</v>
      </c>
      <c r="ET133" s="242">
        <f ca="1">ET131*Assumptions!$Q$20/12</f>
        <v>0</v>
      </c>
    </row>
    <row r="134" spans="2:150" x14ac:dyDescent="0.2">
      <c r="B134" t="s">
        <v>285</v>
      </c>
      <c r="F134" s="242">
        <f>-IF(AND(Assumptions!$Q$33="Yes",F$6=Assumptions!$P$36),F131+F132,0)</f>
        <v>0</v>
      </c>
      <c r="G134" s="242">
        <f>-IF(AND(Assumptions!$Q$33="Yes",G$6=Assumptions!$P$36),G131+G132,0)</f>
        <v>0</v>
      </c>
      <c r="H134" s="242">
        <f>-IF(AND(Assumptions!$Q$33="Yes",H$6=Assumptions!$P$36),H131+H132,0)</f>
        <v>0</v>
      </c>
      <c r="I134" s="242">
        <f>-IF(AND(Assumptions!$Q$33="Yes",I$6=Assumptions!$P$36),I131+I132,0)</f>
        <v>0</v>
      </c>
      <c r="J134" s="242">
        <f>-IF(AND(Assumptions!$Q$33="Yes",J$6=Assumptions!$P$36),J131+J132,0)</f>
        <v>0</v>
      </c>
      <c r="K134" s="242">
        <f>-IF(AND(Assumptions!$Q$33="Yes",K$6=Assumptions!$P$36),K131+K132,0)</f>
        <v>0</v>
      </c>
      <c r="L134" s="242">
        <f>-IF(AND(Assumptions!$Q$33="Yes",L$6=Assumptions!$P$36),L131+L132,0)</f>
        <v>0</v>
      </c>
      <c r="M134" s="242">
        <f>-IF(AND(Assumptions!$Q$33="Yes",M$6=Assumptions!$P$36),M131+M132,0)</f>
        <v>0</v>
      </c>
      <c r="N134" s="242">
        <f>-IF(AND(Assumptions!$Q$33="Yes",N$6=Assumptions!$P$36),N131+N132,0)</f>
        <v>0</v>
      </c>
      <c r="O134" s="242">
        <f>-IF(AND(Assumptions!$Q$33="Yes",O$6=Assumptions!$P$36),O131+O132,0)</f>
        <v>0</v>
      </c>
      <c r="P134" s="242">
        <f>-IF(AND(Assumptions!$Q$33="Yes",P$6=Assumptions!$P$36),P131+P132,0)</f>
        <v>0</v>
      </c>
      <c r="Q134" s="242">
        <f>-IF(AND(Assumptions!$Q$33="Yes",Q$6=Assumptions!$P$36),Q131+Q132,0)</f>
        <v>0</v>
      </c>
      <c r="R134" s="242">
        <f>-IF(AND(Assumptions!$Q$33="Yes",R$6=Assumptions!$P$36),R131+R132,0)</f>
        <v>0</v>
      </c>
      <c r="S134" s="242">
        <f>-IF(AND(Assumptions!$Q$33="Yes",S$6=Assumptions!$P$36),S131+S132,0)</f>
        <v>0</v>
      </c>
      <c r="T134" s="242">
        <f>-IF(AND(Assumptions!$Q$33="Yes",T$6=Assumptions!$P$36),T131+T132,0)</f>
        <v>0</v>
      </c>
      <c r="U134" s="242">
        <f>-IF(AND(Assumptions!$Q$33="Yes",U$6=Assumptions!$P$36),U131+U132,0)</f>
        <v>0</v>
      </c>
      <c r="V134" s="242">
        <f>-IF(AND(Assumptions!$Q$33="Yes",V$6=Assumptions!$P$36),V131+V132,0)</f>
        <v>0</v>
      </c>
      <c r="W134" s="242">
        <f>-IF(AND(Assumptions!$Q$33="Yes",W$6=Assumptions!$P$36),W131+W132,0)</f>
        <v>0</v>
      </c>
      <c r="X134" s="242">
        <f>-IF(AND(Assumptions!$Q$33="Yes",X$6=Assumptions!$P$36),X131+X132,0)</f>
        <v>0</v>
      </c>
      <c r="Y134" s="242">
        <f>-IF(AND(Assumptions!$Q$33="Yes",Y$6=Assumptions!$P$36),Y131+Y132,0)</f>
        <v>0</v>
      </c>
      <c r="Z134" s="242">
        <f>-IF(AND(Assumptions!$Q$33="Yes",Z$6=Assumptions!$P$36),Z131+Z132,0)</f>
        <v>0</v>
      </c>
      <c r="AA134" s="242">
        <f>-IF(AND(Assumptions!$Q$33="Yes",AA$6=Assumptions!$P$36),AA131+AA132,0)</f>
        <v>0</v>
      </c>
      <c r="AB134" s="242">
        <f>-IF(AND(Assumptions!$Q$33="Yes",AB$6=Assumptions!$P$36),AB131+AB132,0)</f>
        <v>0</v>
      </c>
      <c r="AC134" s="242">
        <f>-IF(AND(Assumptions!$Q$33="Yes",AC$6=Assumptions!$P$36),AC131+AC132,0)</f>
        <v>0</v>
      </c>
      <c r="AD134" s="242">
        <f>-IF(AND(Assumptions!$Q$33="Yes",AD$6=Assumptions!$P$36),AD131+AD132,0)</f>
        <v>0</v>
      </c>
      <c r="AE134" s="242">
        <f>-IF(AND(Assumptions!$Q$33="Yes",AE$6=Assumptions!$P$36),AE131+AE132,0)</f>
        <v>0</v>
      </c>
      <c r="AF134" s="242">
        <f>-IF(AND(Assumptions!$Q$33="Yes",AF$6=Assumptions!$P$36),AF131+AF132,0)</f>
        <v>0</v>
      </c>
      <c r="AG134" s="242">
        <f>-IF(AND(Assumptions!$Q$33="Yes",AG$6=Assumptions!$P$36),AG131+AG132,0)</f>
        <v>0</v>
      </c>
      <c r="AH134" s="242">
        <f>-IF(AND(Assumptions!$Q$33="Yes",AH$6=Assumptions!$P$36),AH131+AH132,0)</f>
        <v>0</v>
      </c>
      <c r="AI134" s="242">
        <f>-IF(AND(Assumptions!$Q$33="Yes",AI$6=Assumptions!$P$36),AI131+AI132,0)</f>
        <v>0</v>
      </c>
      <c r="AJ134" s="242">
        <f>-IF(AND(Assumptions!$Q$33="Yes",AJ$6=Assumptions!$P$36),AJ131+AJ132,0)</f>
        <v>0</v>
      </c>
      <c r="AK134" s="242">
        <f>-IF(AND(Assumptions!$Q$33="Yes",AK$6=Assumptions!$P$36),AK131+AK132,0)</f>
        <v>0</v>
      </c>
      <c r="AL134" s="242">
        <f>-IF(AND(Assumptions!$Q$33="Yes",AL$6=Assumptions!$P$36),AL131+AL132,0)</f>
        <v>0</v>
      </c>
      <c r="AM134" s="242">
        <f>-IF(AND(Assumptions!$Q$33="Yes",AM$6=Assumptions!$P$36),AM131+AM132,0)</f>
        <v>0</v>
      </c>
      <c r="AN134" s="242">
        <f>-IF(AND(Assumptions!$Q$33="Yes",AN$6=Assumptions!$P$36),AN131+AN132,0)</f>
        <v>0</v>
      </c>
      <c r="AO134" s="242">
        <f>-IF(AND(Assumptions!$Q$33="Yes",AO$6=Assumptions!$P$36),AO131+AO132,0)</f>
        <v>0</v>
      </c>
      <c r="AP134" s="242">
        <f>-IF(AND(Assumptions!$Q$33="Yes",AP$6=Assumptions!$P$36),AP131+AP132,0)</f>
        <v>0</v>
      </c>
      <c r="AQ134" s="242">
        <f>-IF(AND(Assumptions!$Q$33="Yes",AQ$6=Assumptions!$P$36),AQ131+AQ132,0)</f>
        <v>0</v>
      </c>
      <c r="AR134" s="242">
        <f>-IF(AND(Assumptions!$Q$33="Yes",AR$6=Assumptions!$P$36),AR131+AR132,0)</f>
        <v>0</v>
      </c>
      <c r="AS134" s="242">
        <f>-IF(AND(Assumptions!$Q$33="Yes",AS$6=Assumptions!$P$36),AS131+AS132,0)</f>
        <v>0</v>
      </c>
      <c r="AT134" s="242">
        <f>-IF(AND(Assumptions!$Q$33="Yes",AT$6=Assumptions!$P$36),AT131+AT132,0)</f>
        <v>0</v>
      </c>
      <c r="AU134" s="242">
        <f>-IF(AND(Assumptions!$Q$33="Yes",AU$6=Assumptions!$P$36),AU131+AU132,0)</f>
        <v>0</v>
      </c>
      <c r="AV134" s="242">
        <f>-IF(AND(Assumptions!$Q$33="Yes",AV$6=Assumptions!$P$36),AV131+AV132,0)</f>
        <v>0</v>
      </c>
      <c r="AW134" s="242">
        <f>-IF(AND(Assumptions!$Q$33="Yes",AW$6=Assumptions!$P$36),AW131+AW132,0)</f>
        <v>0</v>
      </c>
      <c r="AX134" s="242">
        <f>-IF(AND(Assumptions!$Q$33="Yes",AX$6=Assumptions!$P$36),AX131+AX132,0)</f>
        <v>0</v>
      </c>
      <c r="AY134" s="242">
        <f>-IF(AND(Assumptions!$Q$33="Yes",AY$6=Assumptions!$P$36),AY131+AY132,0)</f>
        <v>0</v>
      </c>
      <c r="AZ134" s="242">
        <f>-IF(AND(Assumptions!$Q$33="Yes",AZ$6=Assumptions!$P$36),AZ131+AZ132,0)</f>
        <v>0</v>
      </c>
      <c r="BA134" s="242">
        <f>-IF(AND(Assumptions!$Q$33="Yes",BA$6=Assumptions!$P$36),BA131+BA132,0)</f>
        <v>0</v>
      </c>
      <c r="BB134" s="242">
        <f>-IF(AND(Assumptions!$Q$33="Yes",BB$6=Assumptions!$P$36),BB131+BB132,0)</f>
        <v>0</v>
      </c>
      <c r="BC134" s="242">
        <f>-IF(AND(Assumptions!$Q$33="Yes",BC$6=Assumptions!$P$36),BC131+BC132,0)</f>
        <v>0</v>
      </c>
      <c r="BD134" s="242">
        <f>-IF(AND(Assumptions!$Q$33="Yes",BD$6=Assumptions!$P$36),BD131+BD132,0)</f>
        <v>0</v>
      </c>
      <c r="BE134" s="242">
        <f>-IF(AND(Assumptions!$Q$33="Yes",BE$6=Assumptions!$P$36),BE131+BE132,0)</f>
        <v>0</v>
      </c>
      <c r="BF134" s="242">
        <f>-IF(AND(Assumptions!$Q$33="Yes",BF$6=Assumptions!$P$36),BF131+BF132,0)</f>
        <v>0</v>
      </c>
      <c r="BG134" s="242">
        <f>-IF(AND(Assumptions!$Q$33="Yes",BG$6=Assumptions!$P$36),BG131+BG132,0)</f>
        <v>0</v>
      </c>
      <c r="BH134" s="242">
        <f>-IF(AND(Assumptions!$Q$33="Yes",BH$6=Assumptions!$P$36),BH131+BH132,0)</f>
        <v>0</v>
      </c>
      <c r="BI134" s="242">
        <f>-IF(AND(Assumptions!$Q$33="Yes",BI$6=Assumptions!$P$36),BI131+BI132,0)</f>
        <v>0</v>
      </c>
      <c r="BJ134" s="242">
        <f>-IF(AND(Assumptions!$Q$33="Yes",BJ$6=Assumptions!$P$36),BJ131+BJ132,0)</f>
        <v>0</v>
      </c>
      <c r="BK134" s="242">
        <f>-IF(AND(Assumptions!$Q$33="Yes",BK$6=Assumptions!$P$36),BK131+BK132,0)</f>
        <v>0</v>
      </c>
      <c r="BL134" s="242">
        <f>-IF(AND(Assumptions!$Q$33="Yes",BL$6=Assumptions!$P$36),BL131+BL132,0)</f>
        <v>0</v>
      </c>
      <c r="BM134" s="242">
        <f>-IF(AND(Assumptions!$Q$33="Yes",BM$6=Assumptions!$P$36),BM131+BM132,0)</f>
        <v>0</v>
      </c>
      <c r="BN134" s="242">
        <f>-IF(AND(Assumptions!$Q$33="Yes",BN$6=Assumptions!$P$36),BN131+BN132,0)</f>
        <v>0</v>
      </c>
      <c r="BO134" s="242">
        <f>-IF(AND(Assumptions!$Q$33="Yes",BO$6=Assumptions!$P$36),BO131+BO132,0)</f>
        <v>0</v>
      </c>
      <c r="BP134" s="242">
        <f>-IF(AND(Assumptions!$Q$33="Yes",BP$6=Assumptions!$P$36),BP131+BP132,0)</f>
        <v>0</v>
      </c>
      <c r="BQ134" s="242">
        <f>-IF(AND(Assumptions!$Q$33="Yes",BQ$6=Assumptions!$P$36),BQ131+BQ132,0)</f>
        <v>0</v>
      </c>
      <c r="BR134" s="242">
        <f>-IF(AND(Assumptions!$Q$33="Yes",BR$6=Assumptions!$P$36),BR131+BR132,0)</f>
        <v>0</v>
      </c>
      <c r="BS134" s="242">
        <f>-IF(AND(Assumptions!$Q$33="Yes",BS$6=Assumptions!$P$36),BS131+BS132,0)</f>
        <v>0</v>
      </c>
      <c r="BT134" s="242">
        <f>-IF(AND(Assumptions!$Q$33="Yes",BT$6=Assumptions!$P$36),BT131+BT132,0)</f>
        <v>0</v>
      </c>
      <c r="BU134" s="242">
        <f>-IF(AND(Assumptions!$Q$33="Yes",BU$6=Assumptions!$P$36),BU131+BU132,0)</f>
        <v>0</v>
      </c>
      <c r="BV134" s="242">
        <f>-IF(AND(Assumptions!$Q$33="Yes",BV$6=Assumptions!$P$36),BV131+BV132,0)</f>
        <v>0</v>
      </c>
      <c r="BW134" s="242">
        <f>-IF(AND(Assumptions!$Q$33="Yes",BW$6=Assumptions!$P$36),BW131+BW132,0)</f>
        <v>0</v>
      </c>
      <c r="BX134" s="242">
        <f>-IF(AND(Assumptions!$Q$33="Yes",BX$6=Assumptions!$P$36),BX131+BX132,0)</f>
        <v>0</v>
      </c>
      <c r="BY134" s="242">
        <f>-IF(AND(Assumptions!$Q$33="Yes",BY$6=Assumptions!$P$36),BY131+BY132,0)</f>
        <v>0</v>
      </c>
      <c r="BZ134" s="242">
        <f>-IF(AND(Assumptions!$Q$33="Yes",BZ$6=Assumptions!$P$36),BZ131+BZ132,0)</f>
        <v>0</v>
      </c>
      <c r="CA134" s="242">
        <f>-IF(AND(Assumptions!$Q$33="Yes",CA$6=Assumptions!$P$36),CA131+CA132,0)</f>
        <v>0</v>
      </c>
      <c r="CB134" s="242">
        <f>-IF(AND(Assumptions!$Q$33="Yes",CB$6=Assumptions!$P$36),CB131+CB132,0)</f>
        <v>0</v>
      </c>
      <c r="CC134" s="242">
        <f>-IF(AND(Assumptions!$Q$33="Yes",CC$6=Assumptions!$P$36),CC131+CC132,0)</f>
        <v>0</v>
      </c>
      <c r="CD134" s="242">
        <f>-IF(AND(Assumptions!$Q$33="Yes",CD$6=Assumptions!$P$36),CD131+CD132,0)</f>
        <v>0</v>
      </c>
      <c r="CE134" s="242">
        <f>-IF(AND(Assumptions!$Q$33="Yes",CE$6=Assumptions!$P$36),CE131+CE132,0)</f>
        <v>0</v>
      </c>
      <c r="CF134" s="242">
        <f>-IF(AND(Assumptions!$Q$33="Yes",CF$6=Assumptions!$P$36),CF131+CF132,0)</f>
        <v>0</v>
      </c>
      <c r="CG134" s="242">
        <f>-IF(AND(Assumptions!$Q$33="Yes",CG$6=Assumptions!$P$36),CG131+CG132,0)</f>
        <v>0</v>
      </c>
      <c r="CH134" s="242">
        <f>-IF(AND(Assumptions!$Q$33="Yes",CH$6=Assumptions!$P$36),CH131+CH132,0)</f>
        <v>0</v>
      </c>
      <c r="CI134" s="242">
        <f>-IF(AND(Assumptions!$Q$33="Yes",CI$6=Assumptions!$P$36),CI131+CI132,0)</f>
        <v>0</v>
      </c>
      <c r="CJ134" s="242">
        <f>-IF(AND(Assumptions!$Q$33="Yes",CJ$6=Assumptions!$P$36),CJ131+CJ132,0)</f>
        <v>0</v>
      </c>
      <c r="CK134" s="242">
        <f>-IF(AND(Assumptions!$Q$33="Yes",CK$6=Assumptions!$P$36),CK131+CK132,0)</f>
        <v>0</v>
      </c>
      <c r="CL134" s="242">
        <f>-IF(AND(Assumptions!$Q$33="Yes",CL$6=Assumptions!$P$36),CL131+CL132,0)</f>
        <v>0</v>
      </c>
      <c r="CM134" s="242">
        <f>-IF(AND(Assumptions!$Q$33="Yes",CM$6=Assumptions!$P$36),CM131+CM132,0)</f>
        <v>0</v>
      </c>
      <c r="CN134" s="242">
        <f>-IF(AND(Assumptions!$Q$33="Yes",CN$6=Assumptions!$P$36),CN131+CN132,0)</f>
        <v>0</v>
      </c>
      <c r="CO134" s="242">
        <f>-IF(AND(Assumptions!$Q$33="Yes",CO$6=Assumptions!$P$36),CO131+CO132,0)</f>
        <v>0</v>
      </c>
      <c r="CP134" s="242">
        <f>-IF(AND(Assumptions!$Q$33="Yes",CP$6=Assumptions!$P$36),CP131+CP132,0)</f>
        <v>0</v>
      </c>
      <c r="CQ134" s="242">
        <f>-IF(AND(Assumptions!$Q$33="Yes",CQ$6=Assumptions!$P$36),CQ131+CQ132,0)</f>
        <v>0</v>
      </c>
      <c r="CR134" s="242">
        <f>-IF(AND(Assumptions!$Q$33="Yes",CR$6=Assumptions!$P$36),CR131+CR132,0)</f>
        <v>0</v>
      </c>
      <c r="CS134" s="242">
        <f>-IF(AND(Assumptions!$Q$33="Yes",CS$6=Assumptions!$P$36),CS131+CS132,0)</f>
        <v>0</v>
      </c>
      <c r="CT134" s="242">
        <f>-IF(AND(Assumptions!$Q$33="Yes",CT$6=Assumptions!$P$36),CT131+CT132,0)</f>
        <v>0</v>
      </c>
      <c r="CU134" s="242">
        <f>-IF(AND(Assumptions!$Q$33="Yes",CU$6=Assumptions!$P$36),CU131+CU132,0)</f>
        <v>0</v>
      </c>
      <c r="CV134" s="242">
        <f>-IF(AND(Assumptions!$Q$33="Yes",CV$6=Assumptions!$P$36),CV131+CV132,0)</f>
        <v>0</v>
      </c>
      <c r="CW134" s="242">
        <f>-IF(AND(Assumptions!$Q$33="Yes",CW$6=Assumptions!$P$36),CW131+CW132,0)</f>
        <v>0</v>
      </c>
      <c r="CX134" s="242">
        <f>-IF(AND(Assumptions!$Q$33="Yes",CX$6=Assumptions!$P$36),CX131+CX132,0)</f>
        <v>0</v>
      </c>
      <c r="CY134" s="242">
        <f>-IF(AND(Assumptions!$Q$33="Yes",CY$6=Assumptions!$P$36),CY131+CY132,0)</f>
        <v>0</v>
      </c>
      <c r="CZ134" s="242">
        <f>-IF(AND(Assumptions!$Q$33="Yes",CZ$6=Assumptions!$P$36),CZ131+CZ132,0)</f>
        <v>0</v>
      </c>
      <c r="DA134" s="242">
        <f>-IF(AND(Assumptions!$Q$33="Yes",DA$6=Assumptions!$P$36),DA131+DA132,0)</f>
        <v>0</v>
      </c>
      <c r="DB134" s="242">
        <f>-IF(AND(Assumptions!$Q$33="Yes",DB$6=Assumptions!$P$36),DB131+DB132,0)</f>
        <v>0</v>
      </c>
      <c r="DC134" s="242">
        <f>-IF(AND(Assumptions!$Q$33="Yes",DC$6=Assumptions!$P$36),DC131+DC132,0)</f>
        <v>0</v>
      </c>
      <c r="DD134" s="242">
        <f>-IF(AND(Assumptions!$Q$33="Yes",DD$6=Assumptions!$P$36),DD131+DD132,0)</f>
        <v>0</v>
      </c>
      <c r="DE134" s="242">
        <f>-IF(AND(Assumptions!$Q$33="Yes",DE$6=Assumptions!$P$36),DE131+DE132,0)</f>
        <v>0</v>
      </c>
      <c r="DF134" s="242">
        <f>-IF(AND(Assumptions!$Q$33="Yes",DF$6=Assumptions!$P$36),DF131+DF132,0)</f>
        <v>0</v>
      </c>
      <c r="DG134" s="242">
        <f>-IF(AND(Assumptions!$Q$33="Yes",DG$6=Assumptions!$P$36),DG131+DG132,0)</f>
        <v>0</v>
      </c>
      <c r="DH134" s="242">
        <f>-IF(AND(Assumptions!$Q$33="Yes",DH$6=Assumptions!$P$36),DH131+DH132,0)</f>
        <v>0</v>
      </c>
      <c r="DI134" s="242">
        <f>-IF(AND(Assumptions!$Q$33="Yes",DI$6=Assumptions!$P$36),DI131+DI132,0)</f>
        <v>0</v>
      </c>
      <c r="DJ134" s="242">
        <f>-IF(AND(Assumptions!$Q$33="Yes",DJ$6=Assumptions!$P$36),DJ131+DJ132,0)</f>
        <v>0</v>
      </c>
      <c r="DK134" s="242">
        <f>-IF(AND(Assumptions!$Q$33="Yes",DK$6=Assumptions!$P$36),DK131+DK132,0)</f>
        <v>0</v>
      </c>
      <c r="DL134" s="242">
        <f>-IF(AND(Assumptions!$Q$33="Yes",DL$6=Assumptions!$P$36),DL131+DL132,0)</f>
        <v>0</v>
      </c>
      <c r="DM134" s="242">
        <f>-IF(AND(Assumptions!$Q$33="Yes",DM$6=Assumptions!$P$36),DM131+DM132,0)</f>
        <v>0</v>
      </c>
      <c r="DN134" s="242">
        <f>-IF(AND(Assumptions!$Q$33="Yes",DN$6=Assumptions!$P$36),DN131+DN132,0)</f>
        <v>0</v>
      </c>
      <c r="DO134" s="242">
        <f>-IF(AND(Assumptions!$Q$33="Yes",DO$6=Assumptions!$P$36),DO131+DO132,0)</f>
        <v>0</v>
      </c>
      <c r="DP134" s="242">
        <f>-IF(AND(Assumptions!$Q$33="Yes",DP$6=Assumptions!$P$36),DP131+DP132,0)</f>
        <v>0</v>
      </c>
      <c r="DQ134" s="242">
        <f>-IF(AND(Assumptions!$Q$33="Yes",DQ$6=Assumptions!$P$36),DQ131+DQ132,0)</f>
        <v>0</v>
      </c>
      <c r="DR134" s="242">
        <f>-IF(AND(Assumptions!$Q$33="Yes",DR$6=Assumptions!$P$36),DR131+DR132,0)</f>
        <v>0</v>
      </c>
      <c r="DS134" s="242">
        <f>-IF(AND(Assumptions!$Q$33="Yes",DS$6=Assumptions!$P$36),DS131+DS132,0)</f>
        <v>0</v>
      </c>
      <c r="DT134" s="242">
        <f>-IF(AND(Assumptions!$Q$33="Yes",DT$6=Assumptions!$P$36),DT131+DT132,0)</f>
        <v>0</v>
      </c>
      <c r="DU134" s="242">
        <f>-IF(AND(Assumptions!$Q$33="Yes",DU$6=Assumptions!$P$36),DU131+DU132,0)</f>
        <v>0</v>
      </c>
      <c r="DV134" s="242">
        <f>-IF(AND(Assumptions!$Q$33="Yes",DV$6=Assumptions!$P$36),DV131+DV132,0)</f>
        <v>0</v>
      </c>
      <c r="DW134" s="242">
        <f>-IF(AND(Assumptions!$Q$33="Yes",DW$6=Assumptions!$P$36),DW131+DW132,0)</f>
        <v>0</v>
      </c>
      <c r="DX134" s="242">
        <f>-IF(AND(Assumptions!$Q$33="Yes",DX$6=Assumptions!$P$36),DX131+DX132,0)</f>
        <v>0</v>
      </c>
      <c r="DY134" s="242">
        <f>-IF(AND(Assumptions!$Q$33="Yes",DY$6=Assumptions!$P$36),DY131+DY132,0)</f>
        <v>0</v>
      </c>
      <c r="DZ134" s="242">
        <f>-IF(AND(Assumptions!$Q$33="Yes",DZ$6=Assumptions!$P$36),DZ131+DZ132,0)</f>
        <v>0</v>
      </c>
      <c r="EA134" s="242">
        <f>-IF(AND(Assumptions!$Q$33="Yes",EA$6=Assumptions!$P$36),EA131+EA132,0)</f>
        <v>0</v>
      </c>
      <c r="EB134" s="242">
        <f>-IF(AND(Assumptions!$Q$33="Yes",EB$6=Assumptions!$P$36),EB131+EB132,0)</f>
        <v>0</v>
      </c>
      <c r="EC134" s="242">
        <f>-IF(AND(Assumptions!$Q$33="Yes",EC$6=Assumptions!$P$36),EC131+EC132,0)</f>
        <v>0</v>
      </c>
      <c r="ED134" s="242">
        <f>-IF(AND(Assumptions!$Q$33="Yes",ED$6=Assumptions!$P$36),ED131+ED132,0)</f>
        <v>0</v>
      </c>
      <c r="EE134" s="242">
        <f>-IF(AND(Assumptions!$Q$33="Yes",EE$6=Assumptions!$P$36),EE131+EE132,0)</f>
        <v>0</v>
      </c>
      <c r="EF134" s="242">
        <f>-IF(AND(Assumptions!$Q$33="Yes",EF$6=Assumptions!$P$36),EF131+EF132,0)</f>
        <v>0</v>
      </c>
      <c r="EG134" s="242">
        <f>-IF(AND(Assumptions!$Q$33="Yes",EG$6=Assumptions!$P$36),EG131+EG132,0)</f>
        <v>0</v>
      </c>
      <c r="EH134" s="242">
        <f>-IF(AND(Assumptions!$Q$33="Yes",EH$6=Assumptions!$P$36),EH131+EH132,0)</f>
        <v>0</v>
      </c>
      <c r="EI134" s="242">
        <f>-IF(AND(Assumptions!$Q$33="Yes",EI$6=Assumptions!$P$36),EI131+EI132,0)</f>
        <v>0</v>
      </c>
      <c r="EJ134" s="242">
        <f>-IF(AND(Assumptions!$Q$33="Yes",EJ$6=Assumptions!$P$36),EJ131+EJ132,0)</f>
        <v>0</v>
      </c>
      <c r="EK134" s="242">
        <f>-IF(AND(Assumptions!$Q$33="Yes",EK$6=Assumptions!$P$36),EK131+EK132,0)</f>
        <v>0</v>
      </c>
      <c r="EL134" s="242">
        <f>-IF(AND(Assumptions!$Q$33="Yes",EL$6=Assumptions!$P$36),EL131+EL132,0)</f>
        <v>0</v>
      </c>
      <c r="EM134" s="242">
        <f>-IF(AND(Assumptions!$Q$33="Yes",EM$6=Assumptions!$P$36),EM131+EM132,0)</f>
        <v>0</v>
      </c>
      <c r="EN134" s="242">
        <f>-IF(AND(Assumptions!$Q$33="Yes",EN$6=Assumptions!$P$36),EN131+EN132,0)</f>
        <v>0</v>
      </c>
      <c r="EO134" s="242">
        <f>-IF(AND(Assumptions!$Q$33="Yes",EO$6=Assumptions!$P$36),EO131+EO132,0)</f>
        <v>0</v>
      </c>
      <c r="EP134" s="242">
        <f>-IF(AND(Assumptions!$Q$33="Yes",EP$6=Assumptions!$P$36),EP131+EP132,0)</f>
        <v>0</v>
      </c>
      <c r="EQ134" s="242">
        <f>-IF(AND(Assumptions!$Q$33="Yes",EQ$6=Assumptions!$P$36),EQ131+EQ132,0)</f>
        <v>0</v>
      </c>
      <c r="ER134" s="242">
        <f>-IF(AND(Assumptions!$Q$33="Yes",ER$6=Assumptions!$P$36),ER131+ER132,0)</f>
        <v>0</v>
      </c>
      <c r="ES134" s="242">
        <f>-IF(AND(Assumptions!$Q$33="Yes",ES$6=Assumptions!$P$36),ES131+ES132,0)</f>
        <v>0</v>
      </c>
      <c r="ET134" s="242">
        <f>-IF(AND(Assumptions!$Q$33="Yes",ET$6=Assumptions!$P$36),ET131+ET132,0)</f>
        <v>0</v>
      </c>
    </row>
    <row r="135" spans="2:150" x14ac:dyDescent="0.2">
      <c r="B135" t="s">
        <v>283</v>
      </c>
      <c r="F135" s="242">
        <f ca="1">-MIN(F84+F127,F131+F132)</f>
        <v>0</v>
      </c>
      <c r="G135" s="242">
        <f t="shared" ref="G135:BR135" ca="1" si="1522">-MIN(G84+G127,G131+G132)</f>
        <v>0</v>
      </c>
      <c r="H135" s="242">
        <f t="shared" ca="1" si="1522"/>
        <v>0</v>
      </c>
      <c r="I135" s="242">
        <f t="shared" ca="1" si="1522"/>
        <v>0</v>
      </c>
      <c r="J135" s="242">
        <f t="shared" ca="1" si="1522"/>
        <v>0</v>
      </c>
      <c r="K135" s="242">
        <f t="shared" ca="1" si="1522"/>
        <v>0</v>
      </c>
      <c r="L135" s="242">
        <f t="shared" ca="1" si="1522"/>
        <v>0</v>
      </c>
      <c r="M135" s="242">
        <f t="shared" ca="1" si="1522"/>
        <v>0</v>
      </c>
      <c r="N135" s="242">
        <f t="shared" ca="1" si="1522"/>
        <v>0</v>
      </c>
      <c r="O135" s="242">
        <f t="shared" ca="1" si="1522"/>
        <v>0</v>
      </c>
      <c r="P135" s="242">
        <f t="shared" ca="1" si="1522"/>
        <v>0</v>
      </c>
      <c r="Q135" s="242">
        <f t="shared" ca="1" si="1522"/>
        <v>0</v>
      </c>
      <c r="R135" s="242">
        <f t="shared" ca="1" si="1522"/>
        <v>0</v>
      </c>
      <c r="S135" s="242">
        <f t="shared" ca="1" si="1522"/>
        <v>0</v>
      </c>
      <c r="T135" s="242">
        <f t="shared" ca="1" si="1522"/>
        <v>0</v>
      </c>
      <c r="U135" s="242">
        <f t="shared" ca="1" si="1522"/>
        <v>0</v>
      </c>
      <c r="V135" s="242">
        <f t="shared" ca="1" si="1522"/>
        <v>0</v>
      </c>
      <c r="W135" s="242">
        <f t="shared" ca="1" si="1522"/>
        <v>0</v>
      </c>
      <c r="X135" s="242">
        <f t="shared" ca="1" si="1522"/>
        <v>0</v>
      </c>
      <c r="Y135" s="242">
        <f t="shared" ca="1" si="1522"/>
        <v>0</v>
      </c>
      <c r="Z135" s="242">
        <f t="shared" ca="1" si="1522"/>
        <v>0</v>
      </c>
      <c r="AA135" s="242">
        <f t="shared" ca="1" si="1522"/>
        <v>0</v>
      </c>
      <c r="AB135" s="242">
        <f t="shared" ca="1" si="1522"/>
        <v>0</v>
      </c>
      <c r="AC135" s="242">
        <f t="shared" ca="1" si="1522"/>
        <v>0</v>
      </c>
      <c r="AD135" s="242">
        <f t="shared" ca="1" si="1522"/>
        <v>0</v>
      </c>
      <c r="AE135" s="242">
        <f t="shared" ca="1" si="1522"/>
        <v>0</v>
      </c>
      <c r="AF135" s="242">
        <f t="shared" ca="1" si="1522"/>
        <v>0</v>
      </c>
      <c r="AG135" s="242">
        <f t="shared" ca="1" si="1522"/>
        <v>0</v>
      </c>
      <c r="AH135" s="242">
        <f t="shared" ca="1" si="1522"/>
        <v>0</v>
      </c>
      <c r="AI135" s="242">
        <f t="shared" ca="1" si="1522"/>
        <v>0</v>
      </c>
      <c r="AJ135" s="242">
        <f t="shared" ca="1" si="1522"/>
        <v>0</v>
      </c>
      <c r="AK135" s="242">
        <f t="shared" ca="1" si="1522"/>
        <v>0</v>
      </c>
      <c r="AL135" s="242">
        <f t="shared" ca="1" si="1522"/>
        <v>0</v>
      </c>
      <c r="AM135" s="242">
        <f t="shared" ca="1" si="1522"/>
        <v>0</v>
      </c>
      <c r="AN135" s="242">
        <f t="shared" ca="1" si="1522"/>
        <v>0</v>
      </c>
      <c r="AO135" s="242">
        <f t="shared" ca="1" si="1522"/>
        <v>0</v>
      </c>
      <c r="AP135" s="242">
        <f t="shared" ca="1" si="1522"/>
        <v>0</v>
      </c>
      <c r="AQ135" s="242">
        <f t="shared" ca="1" si="1522"/>
        <v>0</v>
      </c>
      <c r="AR135" s="242">
        <f t="shared" ca="1" si="1522"/>
        <v>0</v>
      </c>
      <c r="AS135" s="242">
        <f t="shared" ca="1" si="1522"/>
        <v>0</v>
      </c>
      <c r="AT135" s="242">
        <f t="shared" ca="1" si="1522"/>
        <v>0</v>
      </c>
      <c r="AU135" s="242">
        <f t="shared" ca="1" si="1522"/>
        <v>0</v>
      </c>
      <c r="AV135" s="242">
        <f t="shared" ca="1" si="1522"/>
        <v>0</v>
      </c>
      <c r="AW135" s="242">
        <f t="shared" ca="1" si="1522"/>
        <v>0</v>
      </c>
      <c r="AX135" s="242">
        <f t="shared" ca="1" si="1522"/>
        <v>0</v>
      </c>
      <c r="AY135" s="242">
        <f t="shared" ca="1" si="1522"/>
        <v>0</v>
      </c>
      <c r="AZ135" s="242">
        <f t="shared" ca="1" si="1522"/>
        <v>0</v>
      </c>
      <c r="BA135" s="242">
        <f t="shared" ca="1" si="1522"/>
        <v>0</v>
      </c>
      <c r="BB135" s="242">
        <f t="shared" ca="1" si="1522"/>
        <v>0</v>
      </c>
      <c r="BC135" s="242">
        <f t="shared" ca="1" si="1522"/>
        <v>0</v>
      </c>
      <c r="BD135" s="242">
        <f t="shared" ca="1" si="1522"/>
        <v>0</v>
      </c>
      <c r="BE135" s="242">
        <f t="shared" ca="1" si="1522"/>
        <v>0</v>
      </c>
      <c r="BF135" s="242">
        <f t="shared" ca="1" si="1522"/>
        <v>0</v>
      </c>
      <c r="BG135" s="242">
        <f t="shared" ca="1" si="1522"/>
        <v>0</v>
      </c>
      <c r="BH135" s="242">
        <f t="shared" ca="1" si="1522"/>
        <v>0</v>
      </c>
      <c r="BI135" s="242">
        <f t="shared" ca="1" si="1522"/>
        <v>0</v>
      </c>
      <c r="BJ135" s="242">
        <f t="shared" ca="1" si="1522"/>
        <v>0</v>
      </c>
      <c r="BK135" s="242">
        <f t="shared" ca="1" si="1522"/>
        <v>0</v>
      </c>
      <c r="BL135" s="242">
        <f t="shared" ca="1" si="1522"/>
        <v>0</v>
      </c>
      <c r="BM135" s="242">
        <f t="shared" ca="1" si="1522"/>
        <v>0</v>
      </c>
      <c r="BN135" s="242">
        <f t="shared" ca="1" si="1522"/>
        <v>0</v>
      </c>
      <c r="BO135" s="242">
        <f t="shared" ca="1" si="1522"/>
        <v>0</v>
      </c>
      <c r="BP135" s="242">
        <f t="shared" ca="1" si="1522"/>
        <v>0</v>
      </c>
      <c r="BQ135" s="242">
        <f t="shared" ca="1" si="1522"/>
        <v>0</v>
      </c>
      <c r="BR135" s="242">
        <f t="shared" ca="1" si="1522"/>
        <v>0</v>
      </c>
      <c r="BS135" s="242">
        <f t="shared" ref="BS135:BZ135" ca="1" si="1523">-MIN(BS84+BS127,BS131+BS132)</f>
        <v>0</v>
      </c>
      <c r="BT135" s="242">
        <f t="shared" ca="1" si="1523"/>
        <v>0</v>
      </c>
      <c r="BU135" s="242">
        <f t="shared" ca="1" si="1523"/>
        <v>0</v>
      </c>
      <c r="BV135" s="242">
        <f t="shared" ca="1" si="1523"/>
        <v>0</v>
      </c>
      <c r="BW135" s="242">
        <f t="shared" ca="1" si="1523"/>
        <v>0</v>
      </c>
      <c r="BX135" s="242">
        <f t="shared" ca="1" si="1523"/>
        <v>0</v>
      </c>
      <c r="BY135" s="242">
        <f t="shared" ca="1" si="1523"/>
        <v>0</v>
      </c>
      <c r="BZ135" s="242">
        <f t="shared" ca="1" si="1523"/>
        <v>0</v>
      </c>
      <c r="CA135" s="242">
        <f t="shared" ref="CA135:EL135" ca="1" si="1524">-MIN(CA84+CA127,CA131+CA132)</f>
        <v>0</v>
      </c>
      <c r="CB135" s="242">
        <f t="shared" ca="1" si="1524"/>
        <v>0</v>
      </c>
      <c r="CC135" s="242">
        <f t="shared" ca="1" si="1524"/>
        <v>0</v>
      </c>
      <c r="CD135" s="242">
        <f t="shared" ca="1" si="1524"/>
        <v>0</v>
      </c>
      <c r="CE135" s="242">
        <f t="shared" ca="1" si="1524"/>
        <v>0</v>
      </c>
      <c r="CF135" s="242">
        <f t="shared" ca="1" si="1524"/>
        <v>0</v>
      </c>
      <c r="CG135" s="242">
        <f t="shared" ca="1" si="1524"/>
        <v>0</v>
      </c>
      <c r="CH135" s="242">
        <f t="shared" ca="1" si="1524"/>
        <v>0</v>
      </c>
      <c r="CI135" s="242">
        <f t="shared" ca="1" si="1524"/>
        <v>0</v>
      </c>
      <c r="CJ135" s="242">
        <f t="shared" ca="1" si="1524"/>
        <v>0</v>
      </c>
      <c r="CK135" s="242">
        <f t="shared" ca="1" si="1524"/>
        <v>0</v>
      </c>
      <c r="CL135" s="242">
        <f t="shared" ca="1" si="1524"/>
        <v>0</v>
      </c>
      <c r="CM135" s="242">
        <f t="shared" ca="1" si="1524"/>
        <v>0</v>
      </c>
      <c r="CN135" s="242">
        <f t="shared" ca="1" si="1524"/>
        <v>0</v>
      </c>
      <c r="CO135" s="242">
        <f t="shared" ca="1" si="1524"/>
        <v>0</v>
      </c>
      <c r="CP135" s="242">
        <f t="shared" ca="1" si="1524"/>
        <v>0</v>
      </c>
      <c r="CQ135" s="242">
        <f t="shared" ca="1" si="1524"/>
        <v>0</v>
      </c>
      <c r="CR135" s="242">
        <f t="shared" ca="1" si="1524"/>
        <v>0</v>
      </c>
      <c r="CS135" s="242">
        <f t="shared" ca="1" si="1524"/>
        <v>0</v>
      </c>
      <c r="CT135" s="242">
        <f t="shared" ca="1" si="1524"/>
        <v>0</v>
      </c>
      <c r="CU135" s="242">
        <f t="shared" ca="1" si="1524"/>
        <v>0</v>
      </c>
      <c r="CV135" s="242">
        <f t="shared" ca="1" si="1524"/>
        <v>0</v>
      </c>
      <c r="CW135" s="242">
        <f t="shared" ca="1" si="1524"/>
        <v>0</v>
      </c>
      <c r="CX135" s="242">
        <f t="shared" ca="1" si="1524"/>
        <v>0</v>
      </c>
      <c r="CY135" s="242">
        <f t="shared" ca="1" si="1524"/>
        <v>0</v>
      </c>
      <c r="CZ135" s="242">
        <f t="shared" ca="1" si="1524"/>
        <v>0</v>
      </c>
      <c r="DA135" s="242">
        <f t="shared" ca="1" si="1524"/>
        <v>0</v>
      </c>
      <c r="DB135" s="242">
        <f t="shared" ca="1" si="1524"/>
        <v>0</v>
      </c>
      <c r="DC135" s="242">
        <f t="shared" ca="1" si="1524"/>
        <v>0</v>
      </c>
      <c r="DD135" s="242">
        <f t="shared" ca="1" si="1524"/>
        <v>0</v>
      </c>
      <c r="DE135" s="242">
        <f t="shared" ca="1" si="1524"/>
        <v>0</v>
      </c>
      <c r="DF135" s="242">
        <f t="shared" ca="1" si="1524"/>
        <v>0</v>
      </c>
      <c r="DG135" s="242">
        <f t="shared" ca="1" si="1524"/>
        <v>0</v>
      </c>
      <c r="DH135" s="242">
        <f t="shared" ca="1" si="1524"/>
        <v>0</v>
      </c>
      <c r="DI135" s="242">
        <f t="shared" ca="1" si="1524"/>
        <v>0</v>
      </c>
      <c r="DJ135" s="242">
        <f t="shared" ca="1" si="1524"/>
        <v>0</v>
      </c>
      <c r="DK135" s="242">
        <f t="shared" ca="1" si="1524"/>
        <v>0</v>
      </c>
      <c r="DL135" s="242">
        <f t="shared" ca="1" si="1524"/>
        <v>0</v>
      </c>
      <c r="DM135" s="242">
        <f t="shared" ca="1" si="1524"/>
        <v>0</v>
      </c>
      <c r="DN135" s="242">
        <f t="shared" ca="1" si="1524"/>
        <v>0</v>
      </c>
      <c r="DO135" s="242">
        <f t="shared" ca="1" si="1524"/>
        <v>0</v>
      </c>
      <c r="DP135" s="242">
        <f t="shared" ca="1" si="1524"/>
        <v>0</v>
      </c>
      <c r="DQ135" s="242">
        <f t="shared" ca="1" si="1524"/>
        <v>0</v>
      </c>
      <c r="DR135" s="242">
        <f t="shared" ca="1" si="1524"/>
        <v>0</v>
      </c>
      <c r="DS135" s="242">
        <f t="shared" ca="1" si="1524"/>
        <v>0</v>
      </c>
      <c r="DT135" s="242">
        <f t="shared" ca="1" si="1524"/>
        <v>0</v>
      </c>
      <c r="DU135" s="242">
        <f t="shared" ca="1" si="1524"/>
        <v>0</v>
      </c>
      <c r="DV135" s="242">
        <f t="shared" ca="1" si="1524"/>
        <v>0</v>
      </c>
      <c r="DW135" s="242">
        <f t="shared" ca="1" si="1524"/>
        <v>0</v>
      </c>
      <c r="DX135" s="242">
        <f t="shared" ca="1" si="1524"/>
        <v>0</v>
      </c>
      <c r="DY135" s="242">
        <f t="shared" ca="1" si="1524"/>
        <v>0</v>
      </c>
      <c r="DZ135" s="242">
        <f t="shared" ca="1" si="1524"/>
        <v>0</v>
      </c>
      <c r="EA135" s="242">
        <f t="shared" ca="1" si="1524"/>
        <v>0</v>
      </c>
      <c r="EB135" s="242">
        <f t="shared" ca="1" si="1524"/>
        <v>0</v>
      </c>
      <c r="EC135" s="242">
        <f t="shared" ca="1" si="1524"/>
        <v>0</v>
      </c>
      <c r="ED135" s="242">
        <f t="shared" ca="1" si="1524"/>
        <v>0</v>
      </c>
      <c r="EE135" s="242">
        <f t="shared" ca="1" si="1524"/>
        <v>0</v>
      </c>
      <c r="EF135" s="242">
        <f t="shared" ca="1" si="1524"/>
        <v>0</v>
      </c>
      <c r="EG135" s="242">
        <f t="shared" ca="1" si="1524"/>
        <v>0</v>
      </c>
      <c r="EH135" s="242">
        <f t="shared" ca="1" si="1524"/>
        <v>0</v>
      </c>
      <c r="EI135" s="242">
        <f t="shared" ca="1" si="1524"/>
        <v>0</v>
      </c>
      <c r="EJ135" s="242">
        <f t="shared" ca="1" si="1524"/>
        <v>0</v>
      </c>
      <c r="EK135" s="242">
        <f t="shared" ca="1" si="1524"/>
        <v>0</v>
      </c>
      <c r="EL135" s="242">
        <f t="shared" ca="1" si="1524"/>
        <v>0</v>
      </c>
      <c r="EM135" s="242">
        <f t="shared" ref="EM135:ET135" ca="1" si="1525">-MIN(EM84+EM127,EM131+EM132)</f>
        <v>0</v>
      </c>
      <c r="EN135" s="242">
        <f t="shared" ca="1" si="1525"/>
        <v>0</v>
      </c>
      <c r="EO135" s="242">
        <f t="shared" ca="1" si="1525"/>
        <v>0</v>
      </c>
      <c r="EP135" s="242">
        <f t="shared" ca="1" si="1525"/>
        <v>0</v>
      </c>
      <c r="EQ135" s="242">
        <f t="shared" ca="1" si="1525"/>
        <v>0</v>
      </c>
      <c r="ER135" s="242">
        <f t="shared" ca="1" si="1525"/>
        <v>0</v>
      </c>
      <c r="ES135" s="242">
        <f t="shared" ca="1" si="1525"/>
        <v>0</v>
      </c>
      <c r="ET135" s="242">
        <f t="shared" ca="1" si="1525"/>
        <v>0</v>
      </c>
    </row>
    <row r="136" spans="2:150" x14ac:dyDescent="0.2">
      <c r="B136" s="98" t="s">
        <v>169</v>
      </c>
      <c r="C136" s="98"/>
      <c r="D136" s="97"/>
      <c r="E136" s="98"/>
      <c r="F136" s="251">
        <f ca="1">F131+F132+F134+F135</f>
        <v>0</v>
      </c>
      <c r="G136" s="251">
        <f t="shared" ref="G136:BR136" ca="1" si="1526">G131+G132+G134+G135</f>
        <v>0</v>
      </c>
      <c r="H136" s="251">
        <f t="shared" ca="1" si="1526"/>
        <v>0</v>
      </c>
      <c r="I136" s="251">
        <f t="shared" ca="1" si="1526"/>
        <v>0</v>
      </c>
      <c r="J136" s="251">
        <f t="shared" ca="1" si="1526"/>
        <v>0</v>
      </c>
      <c r="K136" s="251">
        <f t="shared" ca="1" si="1526"/>
        <v>0</v>
      </c>
      <c r="L136" s="251">
        <f t="shared" ca="1" si="1526"/>
        <v>0</v>
      </c>
      <c r="M136" s="251">
        <f t="shared" ca="1" si="1526"/>
        <v>0</v>
      </c>
      <c r="N136" s="251">
        <f t="shared" ca="1" si="1526"/>
        <v>0</v>
      </c>
      <c r="O136" s="251">
        <f t="shared" ca="1" si="1526"/>
        <v>0</v>
      </c>
      <c r="P136" s="251">
        <f t="shared" ca="1" si="1526"/>
        <v>0</v>
      </c>
      <c r="Q136" s="251">
        <f t="shared" ca="1" si="1526"/>
        <v>0</v>
      </c>
      <c r="R136" s="251">
        <f t="shared" ca="1" si="1526"/>
        <v>0</v>
      </c>
      <c r="S136" s="251">
        <f t="shared" ca="1" si="1526"/>
        <v>0</v>
      </c>
      <c r="T136" s="251">
        <f t="shared" ca="1" si="1526"/>
        <v>0</v>
      </c>
      <c r="U136" s="251">
        <f t="shared" ca="1" si="1526"/>
        <v>0</v>
      </c>
      <c r="V136" s="251">
        <f t="shared" ca="1" si="1526"/>
        <v>0</v>
      </c>
      <c r="W136" s="251">
        <f t="shared" ca="1" si="1526"/>
        <v>0</v>
      </c>
      <c r="X136" s="251">
        <f t="shared" ca="1" si="1526"/>
        <v>0</v>
      </c>
      <c r="Y136" s="251">
        <f t="shared" ca="1" si="1526"/>
        <v>0</v>
      </c>
      <c r="Z136" s="251">
        <f t="shared" ca="1" si="1526"/>
        <v>0</v>
      </c>
      <c r="AA136" s="251">
        <f t="shared" ca="1" si="1526"/>
        <v>0</v>
      </c>
      <c r="AB136" s="251">
        <f t="shared" ca="1" si="1526"/>
        <v>0</v>
      </c>
      <c r="AC136" s="251">
        <f t="shared" ca="1" si="1526"/>
        <v>0</v>
      </c>
      <c r="AD136" s="251">
        <f t="shared" ca="1" si="1526"/>
        <v>0</v>
      </c>
      <c r="AE136" s="251">
        <f t="shared" ca="1" si="1526"/>
        <v>0</v>
      </c>
      <c r="AF136" s="251">
        <f t="shared" ca="1" si="1526"/>
        <v>0</v>
      </c>
      <c r="AG136" s="251">
        <f t="shared" ca="1" si="1526"/>
        <v>0</v>
      </c>
      <c r="AH136" s="251">
        <f t="shared" ca="1" si="1526"/>
        <v>0</v>
      </c>
      <c r="AI136" s="251">
        <f t="shared" ca="1" si="1526"/>
        <v>0</v>
      </c>
      <c r="AJ136" s="251">
        <f t="shared" ca="1" si="1526"/>
        <v>0</v>
      </c>
      <c r="AK136" s="251">
        <f t="shared" ca="1" si="1526"/>
        <v>0</v>
      </c>
      <c r="AL136" s="251">
        <f t="shared" ca="1" si="1526"/>
        <v>0</v>
      </c>
      <c r="AM136" s="251">
        <f t="shared" ca="1" si="1526"/>
        <v>0</v>
      </c>
      <c r="AN136" s="251">
        <f t="shared" ca="1" si="1526"/>
        <v>0</v>
      </c>
      <c r="AO136" s="251">
        <f t="shared" ca="1" si="1526"/>
        <v>0</v>
      </c>
      <c r="AP136" s="251">
        <f t="shared" ca="1" si="1526"/>
        <v>0</v>
      </c>
      <c r="AQ136" s="251">
        <f t="shared" ca="1" si="1526"/>
        <v>0</v>
      </c>
      <c r="AR136" s="251">
        <f t="shared" ca="1" si="1526"/>
        <v>0</v>
      </c>
      <c r="AS136" s="251">
        <f t="shared" ca="1" si="1526"/>
        <v>0</v>
      </c>
      <c r="AT136" s="251">
        <f t="shared" ca="1" si="1526"/>
        <v>0</v>
      </c>
      <c r="AU136" s="251">
        <f t="shared" ca="1" si="1526"/>
        <v>0</v>
      </c>
      <c r="AV136" s="251">
        <f t="shared" ca="1" si="1526"/>
        <v>0</v>
      </c>
      <c r="AW136" s="251">
        <f t="shared" ca="1" si="1526"/>
        <v>0</v>
      </c>
      <c r="AX136" s="251">
        <f t="shared" ca="1" si="1526"/>
        <v>0</v>
      </c>
      <c r="AY136" s="251">
        <f t="shared" ca="1" si="1526"/>
        <v>0</v>
      </c>
      <c r="AZ136" s="251">
        <f t="shared" ca="1" si="1526"/>
        <v>0</v>
      </c>
      <c r="BA136" s="251">
        <f t="shared" ca="1" si="1526"/>
        <v>0</v>
      </c>
      <c r="BB136" s="251">
        <f t="shared" ca="1" si="1526"/>
        <v>0</v>
      </c>
      <c r="BC136" s="251">
        <f t="shared" ca="1" si="1526"/>
        <v>0</v>
      </c>
      <c r="BD136" s="251">
        <f t="shared" ca="1" si="1526"/>
        <v>0</v>
      </c>
      <c r="BE136" s="251">
        <f t="shared" ca="1" si="1526"/>
        <v>0</v>
      </c>
      <c r="BF136" s="251">
        <f t="shared" ca="1" si="1526"/>
        <v>0</v>
      </c>
      <c r="BG136" s="251">
        <f t="shared" ca="1" si="1526"/>
        <v>0</v>
      </c>
      <c r="BH136" s="251">
        <f t="shared" ca="1" si="1526"/>
        <v>0</v>
      </c>
      <c r="BI136" s="251">
        <f t="shared" ca="1" si="1526"/>
        <v>0</v>
      </c>
      <c r="BJ136" s="251">
        <f t="shared" ca="1" si="1526"/>
        <v>0</v>
      </c>
      <c r="BK136" s="251">
        <f t="shared" ca="1" si="1526"/>
        <v>0</v>
      </c>
      <c r="BL136" s="251">
        <f t="shared" ca="1" si="1526"/>
        <v>0</v>
      </c>
      <c r="BM136" s="251">
        <f t="shared" ca="1" si="1526"/>
        <v>0</v>
      </c>
      <c r="BN136" s="251">
        <f t="shared" ca="1" si="1526"/>
        <v>0</v>
      </c>
      <c r="BO136" s="251">
        <f t="shared" ca="1" si="1526"/>
        <v>0</v>
      </c>
      <c r="BP136" s="251">
        <f t="shared" ca="1" si="1526"/>
        <v>0</v>
      </c>
      <c r="BQ136" s="251">
        <f t="shared" ca="1" si="1526"/>
        <v>0</v>
      </c>
      <c r="BR136" s="251">
        <f t="shared" ca="1" si="1526"/>
        <v>0</v>
      </c>
      <c r="BS136" s="251">
        <f t="shared" ref="BS136:BZ136" ca="1" si="1527">BS131+BS132+BS134+BS135</f>
        <v>0</v>
      </c>
      <c r="BT136" s="251">
        <f t="shared" ca="1" si="1527"/>
        <v>0</v>
      </c>
      <c r="BU136" s="251">
        <f t="shared" ca="1" si="1527"/>
        <v>0</v>
      </c>
      <c r="BV136" s="251">
        <f t="shared" ca="1" si="1527"/>
        <v>0</v>
      </c>
      <c r="BW136" s="251">
        <f t="shared" ca="1" si="1527"/>
        <v>0</v>
      </c>
      <c r="BX136" s="251">
        <f t="shared" ca="1" si="1527"/>
        <v>0</v>
      </c>
      <c r="BY136" s="251">
        <f t="shared" ca="1" si="1527"/>
        <v>0</v>
      </c>
      <c r="BZ136" s="251">
        <f t="shared" ca="1" si="1527"/>
        <v>0</v>
      </c>
      <c r="CA136" s="251">
        <f t="shared" ref="CA136:EL136" ca="1" si="1528">CA131+CA132+CA134+CA135</f>
        <v>0</v>
      </c>
      <c r="CB136" s="251">
        <f t="shared" ca="1" si="1528"/>
        <v>0</v>
      </c>
      <c r="CC136" s="251">
        <f t="shared" ca="1" si="1528"/>
        <v>0</v>
      </c>
      <c r="CD136" s="251">
        <f t="shared" ca="1" si="1528"/>
        <v>0</v>
      </c>
      <c r="CE136" s="251">
        <f t="shared" ca="1" si="1528"/>
        <v>0</v>
      </c>
      <c r="CF136" s="251">
        <f t="shared" ca="1" si="1528"/>
        <v>0</v>
      </c>
      <c r="CG136" s="251">
        <f t="shared" ca="1" si="1528"/>
        <v>0</v>
      </c>
      <c r="CH136" s="251">
        <f t="shared" ca="1" si="1528"/>
        <v>0</v>
      </c>
      <c r="CI136" s="251">
        <f t="shared" ca="1" si="1528"/>
        <v>0</v>
      </c>
      <c r="CJ136" s="251">
        <f t="shared" ca="1" si="1528"/>
        <v>0</v>
      </c>
      <c r="CK136" s="251">
        <f t="shared" ca="1" si="1528"/>
        <v>0</v>
      </c>
      <c r="CL136" s="251">
        <f t="shared" ca="1" si="1528"/>
        <v>0</v>
      </c>
      <c r="CM136" s="251">
        <f t="shared" ca="1" si="1528"/>
        <v>0</v>
      </c>
      <c r="CN136" s="251">
        <f t="shared" ca="1" si="1528"/>
        <v>0</v>
      </c>
      <c r="CO136" s="251">
        <f t="shared" ca="1" si="1528"/>
        <v>0</v>
      </c>
      <c r="CP136" s="251">
        <f t="shared" ca="1" si="1528"/>
        <v>0</v>
      </c>
      <c r="CQ136" s="251">
        <f t="shared" ca="1" si="1528"/>
        <v>0</v>
      </c>
      <c r="CR136" s="251">
        <f t="shared" ca="1" si="1528"/>
        <v>0</v>
      </c>
      <c r="CS136" s="251">
        <f t="shared" ca="1" si="1528"/>
        <v>0</v>
      </c>
      <c r="CT136" s="251">
        <f t="shared" ca="1" si="1528"/>
        <v>0</v>
      </c>
      <c r="CU136" s="251">
        <f t="shared" ca="1" si="1528"/>
        <v>0</v>
      </c>
      <c r="CV136" s="251">
        <f t="shared" ca="1" si="1528"/>
        <v>0</v>
      </c>
      <c r="CW136" s="251">
        <f t="shared" ca="1" si="1528"/>
        <v>0</v>
      </c>
      <c r="CX136" s="251">
        <f t="shared" ca="1" si="1528"/>
        <v>0</v>
      </c>
      <c r="CY136" s="251">
        <f t="shared" ca="1" si="1528"/>
        <v>0</v>
      </c>
      <c r="CZ136" s="251">
        <f t="shared" ca="1" si="1528"/>
        <v>0</v>
      </c>
      <c r="DA136" s="251">
        <f t="shared" ca="1" si="1528"/>
        <v>0</v>
      </c>
      <c r="DB136" s="251">
        <f t="shared" ca="1" si="1528"/>
        <v>0</v>
      </c>
      <c r="DC136" s="251">
        <f t="shared" ca="1" si="1528"/>
        <v>0</v>
      </c>
      <c r="DD136" s="251">
        <f t="shared" ca="1" si="1528"/>
        <v>0</v>
      </c>
      <c r="DE136" s="251">
        <f t="shared" ca="1" si="1528"/>
        <v>0</v>
      </c>
      <c r="DF136" s="251">
        <f t="shared" ca="1" si="1528"/>
        <v>0</v>
      </c>
      <c r="DG136" s="251">
        <f t="shared" ca="1" si="1528"/>
        <v>0</v>
      </c>
      <c r="DH136" s="251">
        <f t="shared" ca="1" si="1528"/>
        <v>0</v>
      </c>
      <c r="DI136" s="251">
        <f t="shared" ca="1" si="1528"/>
        <v>0</v>
      </c>
      <c r="DJ136" s="251">
        <f t="shared" ca="1" si="1528"/>
        <v>0</v>
      </c>
      <c r="DK136" s="251">
        <f t="shared" ca="1" si="1528"/>
        <v>0</v>
      </c>
      <c r="DL136" s="251">
        <f t="shared" ca="1" si="1528"/>
        <v>0</v>
      </c>
      <c r="DM136" s="251">
        <f t="shared" ca="1" si="1528"/>
        <v>0</v>
      </c>
      <c r="DN136" s="251">
        <f t="shared" ca="1" si="1528"/>
        <v>0</v>
      </c>
      <c r="DO136" s="251">
        <f t="shared" ca="1" si="1528"/>
        <v>0</v>
      </c>
      <c r="DP136" s="251">
        <f t="shared" ca="1" si="1528"/>
        <v>0</v>
      </c>
      <c r="DQ136" s="251">
        <f t="shared" ca="1" si="1528"/>
        <v>0</v>
      </c>
      <c r="DR136" s="251">
        <f t="shared" ca="1" si="1528"/>
        <v>0</v>
      </c>
      <c r="DS136" s="251">
        <f t="shared" ca="1" si="1528"/>
        <v>0</v>
      </c>
      <c r="DT136" s="251">
        <f t="shared" ca="1" si="1528"/>
        <v>0</v>
      </c>
      <c r="DU136" s="251">
        <f t="shared" ca="1" si="1528"/>
        <v>0</v>
      </c>
      <c r="DV136" s="251">
        <f t="shared" ca="1" si="1528"/>
        <v>0</v>
      </c>
      <c r="DW136" s="251">
        <f t="shared" ca="1" si="1528"/>
        <v>0</v>
      </c>
      <c r="DX136" s="251">
        <f t="shared" ca="1" si="1528"/>
        <v>0</v>
      </c>
      <c r="DY136" s="251">
        <f t="shared" ca="1" si="1528"/>
        <v>0</v>
      </c>
      <c r="DZ136" s="251">
        <f t="shared" ca="1" si="1528"/>
        <v>0</v>
      </c>
      <c r="EA136" s="251">
        <f t="shared" ca="1" si="1528"/>
        <v>0</v>
      </c>
      <c r="EB136" s="251">
        <f t="shared" ca="1" si="1528"/>
        <v>0</v>
      </c>
      <c r="EC136" s="251">
        <f t="shared" ca="1" si="1528"/>
        <v>0</v>
      </c>
      <c r="ED136" s="251">
        <f t="shared" ca="1" si="1528"/>
        <v>0</v>
      </c>
      <c r="EE136" s="251">
        <f t="shared" ca="1" si="1528"/>
        <v>0</v>
      </c>
      <c r="EF136" s="251">
        <f t="shared" ca="1" si="1528"/>
        <v>0</v>
      </c>
      <c r="EG136" s="251">
        <f t="shared" ca="1" si="1528"/>
        <v>0</v>
      </c>
      <c r="EH136" s="251">
        <f t="shared" ca="1" si="1528"/>
        <v>0</v>
      </c>
      <c r="EI136" s="251">
        <f t="shared" ca="1" si="1528"/>
        <v>0</v>
      </c>
      <c r="EJ136" s="251">
        <f t="shared" ca="1" si="1528"/>
        <v>0</v>
      </c>
      <c r="EK136" s="251">
        <f t="shared" ca="1" si="1528"/>
        <v>0</v>
      </c>
      <c r="EL136" s="251">
        <f t="shared" ca="1" si="1528"/>
        <v>0</v>
      </c>
      <c r="EM136" s="251">
        <f t="shared" ref="EM136:ET136" ca="1" si="1529">EM131+EM132+EM134+EM135</f>
        <v>0</v>
      </c>
      <c r="EN136" s="251">
        <f t="shared" ca="1" si="1529"/>
        <v>0</v>
      </c>
      <c r="EO136" s="251">
        <f t="shared" ca="1" si="1529"/>
        <v>0</v>
      </c>
      <c r="EP136" s="251">
        <f t="shared" ca="1" si="1529"/>
        <v>0</v>
      </c>
      <c r="EQ136" s="251">
        <f t="shared" ca="1" si="1529"/>
        <v>0</v>
      </c>
      <c r="ER136" s="251">
        <f t="shared" ca="1" si="1529"/>
        <v>0</v>
      </c>
      <c r="ES136" s="251">
        <f t="shared" ca="1" si="1529"/>
        <v>0</v>
      </c>
      <c r="ET136" s="251">
        <f t="shared" ca="1" si="1529"/>
        <v>0</v>
      </c>
    </row>
    <row r="137" spans="2:150" x14ac:dyDescent="0.2"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6"/>
      <c r="EI137" s="36"/>
      <c r="EJ137" s="36"/>
      <c r="EK137" s="36"/>
      <c r="EL137" s="36"/>
      <c r="EM137" s="36"/>
      <c r="EN137" s="36"/>
      <c r="EO137" s="36"/>
      <c r="EP137" s="36"/>
      <c r="EQ137" s="36"/>
      <c r="ER137" s="36"/>
      <c r="ES137" s="36"/>
      <c r="ET137" s="36"/>
    </row>
    <row r="138" spans="2:150" x14ac:dyDescent="0.2">
      <c r="B138" s="83" t="s">
        <v>280</v>
      </c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/>
      <c r="DO138" s="36"/>
      <c r="DP138" s="36"/>
      <c r="DQ138" s="36"/>
      <c r="DR138" s="36"/>
      <c r="DS138" s="36"/>
      <c r="DT138" s="36"/>
      <c r="DU138" s="36"/>
      <c r="DV138" s="36"/>
      <c r="DW138" s="36"/>
      <c r="DX138" s="36"/>
      <c r="DY138" s="36"/>
      <c r="DZ138" s="36"/>
      <c r="EA138" s="36"/>
      <c r="EB138" s="36"/>
      <c r="EC138" s="36"/>
      <c r="ED138" s="36"/>
      <c r="EE138" s="36"/>
      <c r="EF138" s="36"/>
      <c r="EG138" s="36"/>
      <c r="EH138" s="36"/>
      <c r="EI138" s="36"/>
      <c r="EJ138" s="36"/>
      <c r="EK138" s="36"/>
      <c r="EL138" s="36"/>
      <c r="EM138" s="36"/>
      <c r="EN138" s="36"/>
      <c r="EO138" s="36"/>
      <c r="EP138" s="36"/>
      <c r="EQ138" s="36"/>
      <c r="ER138" s="36"/>
      <c r="ES138" s="36"/>
      <c r="ET138" s="36"/>
    </row>
    <row r="139" spans="2:150" x14ac:dyDescent="0.2">
      <c r="B139" t="s">
        <v>281</v>
      </c>
      <c r="F139" s="242">
        <f t="shared" ref="F139:AK139" si="1530">-F75</f>
        <v>0</v>
      </c>
      <c r="G139" s="242">
        <f t="shared" si="1530"/>
        <v>0</v>
      </c>
      <c r="H139" s="242">
        <f t="shared" si="1530"/>
        <v>0</v>
      </c>
      <c r="I139" s="242">
        <f t="shared" si="1530"/>
        <v>0</v>
      </c>
      <c r="J139" s="242">
        <f t="shared" si="1530"/>
        <v>0</v>
      </c>
      <c r="K139" s="242">
        <f t="shared" si="1530"/>
        <v>0</v>
      </c>
      <c r="L139" s="242">
        <f t="shared" si="1530"/>
        <v>0</v>
      </c>
      <c r="M139" s="242">
        <f t="shared" si="1530"/>
        <v>0</v>
      </c>
      <c r="N139" s="242">
        <f t="shared" si="1530"/>
        <v>0</v>
      </c>
      <c r="O139" s="242">
        <f t="shared" si="1530"/>
        <v>0</v>
      </c>
      <c r="P139" s="242">
        <f t="shared" si="1530"/>
        <v>0</v>
      </c>
      <c r="Q139" s="242">
        <f t="shared" si="1530"/>
        <v>0</v>
      </c>
      <c r="R139" s="242">
        <f t="shared" si="1530"/>
        <v>0</v>
      </c>
      <c r="S139" s="242">
        <f t="shared" si="1530"/>
        <v>0</v>
      </c>
      <c r="T139" s="242">
        <f t="shared" si="1530"/>
        <v>0</v>
      </c>
      <c r="U139" s="242">
        <f t="shared" si="1530"/>
        <v>0</v>
      </c>
      <c r="V139" s="242">
        <f t="shared" si="1530"/>
        <v>0</v>
      </c>
      <c r="W139" s="242">
        <f t="shared" si="1530"/>
        <v>0</v>
      </c>
      <c r="X139" s="242">
        <f t="shared" si="1530"/>
        <v>0</v>
      </c>
      <c r="Y139" s="242">
        <f t="shared" si="1530"/>
        <v>0</v>
      </c>
      <c r="Z139" s="242">
        <f t="shared" si="1530"/>
        <v>0</v>
      </c>
      <c r="AA139" s="242">
        <f t="shared" si="1530"/>
        <v>0</v>
      </c>
      <c r="AB139" s="242">
        <f t="shared" si="1530"/>
        <v>0</v>
      </c>
      <c r="AC139" s="242">
        <f t="shared" si="1530"/>
        <v>0</v>
      </c>
      <c r="AD139" s="242">
        <f t="shared" si="1530"/>
        <v>0</v>
      </c>
      <c r="AE139" s="242">
        <f t="shared" si="1530"/>
        <v>0</v>
      </c>
      <c r="AF139" s="242">
        <f t="shared" si="1530"/>
        <v>0</v>
      </c>
      <c r="AG139" s="242">
        <f t="shared" si="1530"/>
        <v>0</v>
      </c>
      <c r="AH139" s="242">
        <f t="shared" si="1530"/>
        <v>0</v>
      </c>
      <c r="AI139" s="242">
        <f t="shared" si="1530"/>
        <v>0</v>
      </c>
      <c r="AJ139" s="242">
        <f t="shared" si="1530"/>
        <v>0</v>
      </c>
      <c r="AK139" s="242">
        <f t="shared" si="1530"/>
        <v>0</v>
      </c>
      <c r="AL139" s="242">
        <f t="shared" ref="AL139:BQ139" si="1531">-AL75</f>
        <v>0</v>
      </c>
      <c r="AM139" s="242">
        <f t="shared" si="1531"/>
        <v>0</v>
      </c>
      <c r="AN139" s="242">
        <f t="shared" si="1531"/>
        <v>0</v>
      </c>
      <c r="AO139" s="242">
        <f t="shared" si="1531"/>
        <v>0</v>
      </c>
      <c r="AP139" s="242">
        <f t="shared" si="1531"/>
        <v>0</v>
      </c>
      <c r="AQ139" s="242">
        <f t="shared" si="1531"/>
        <v>0</v>
      </c>
      <c r="AR139" s="242">
        <f t="shared" si="1531"/>
        <v>0</v>
      </c>
      <c r="AS139" s="242">
        <f t="shared" si="1531"/>
        <v>0</v>
      </c>
      <c r="AT139" s="242">
        <f t="shared" si="1531"/>
        <v>0</v>
      </c>
      <c r="AU139" s="242">
        <f t="shared" si="1531"/>
        <v>0</v>
      </c>
      <c r="AV139" s="242">
        <f t="shared" si="1531"/>
        <v>0</v>
      </c>
      <c r="AW139" s="242">
        <f t="shared" si="1531"/>
        <v>0</v>
      </c>
      <c r="AX139" s="242">
        <f t="shared" si="1531"/>
        <v>0</v>
      </c>
      <c r="AY139" s="242">
        <f t="shared" si="1531"/>
        <v>0</v>
      </c>
      <c r="AZ139" s="242">
        <f t="shared" si="1531"/>
        <v>0</v>
      </c>
      <c r="BA139" s="242">
        <f t="shared" si="1531"/>
        <v>0</v>
      </c>
      <c r="BB139" s="242">
        <f t="shared" si="1531"/>
        <v>0</v>
      </c>
      <c r="BC139" s="242">
        <f t="shared" si="1531"/>
        <v>0</v>
      </c>
      <c r="BD139" s="242">
        <f t="shared" si="1531"/>
        <v>0</v>
      </c>
      <c r="BE139" s="242">
        <f t="shared" si="1531"/>
        <v>0</v>
      </c>
      <c r="BF139" s="242">
        <f t="shared" si="1531"/>
        <v>0</v>
      </c>
      <c r="BG139" s="242">
        <f t="shared" si="1531"/>
        <v>0</v>
      </c>
      <c r="BH139" s="242">
        <f t="shared" si="1531"/>
        <v>0</v>
      </c>
      <c r="BI139" s="242">
        <f t="shared" si="1531"/>
        <v>0</v>
      </c>
      <c r="BJ139" s="242">
        <f t="shared" si="1531"/>
        <v>0</v>
      </c>
      <c r="BK139" s="242">
        <f t="shared" si="1531"/>
        <v>0</v>
      </c>
      <c r="BL139" s="242">
        <f t="shared" si="1531"/>
        <v>0</v>
      </c>
      <c r="BM139" s="242">
        <f t="shared" si="1531"/>
        <v>0</v>
      </c>
      <c r="BN139" s="242">
        <f t="shared" si="1531"/>
        <v>0</v>
      </c>
      <c r="BO139" s="242">
        <f t="shared" si="1531"/>
        <v>0</v>
      </c>
      <c r="BP139" s="242">
        <f t="shared" si="1531"/>
        <v>0</v>
      </c>
      <c r="BQ139" s="242">
        <f t="shared" si="1531"/>
        <v>0</v>
      </c>
      <c r="BR139" s="242">
        <f t="shared" ref="BR139:CW139" si="1532">-BR75</f>
        <v>0</v>
      </c>
      <c r="BS139" s="242">
        <f t="shared" si="1532"/>
        <v>0</v>
      </c>
      <c r="BT139" s="242">
        <f t="shared" si="1532"/>
        <v>0</v>
      </c>
      <c r="BU139" s="242">
        <f t="shared" si="1532"/>
        <v>0</v>
      </c>
      <c r="BV139" s="242">
        <f t="shared" si="1532"/>
        <v>0</v>
      </c>
      <c r="BW139" s="242">
        <f t="shared" si="1532"/>
        <v>0</v>
      </c>
      <c r="BX139" s="242">
        <f t="shared" si="1532"/>
        <v>0</v>
      </c>
      <c r="BY139" s="242">
        <f t="shared" si="1532"/>
        <v>0</v>
      </c>
      <c r="BZ139" s="242">
        <f t="shared" si="1532"/>
        <v>0</v>
      </c>
      <c r="CA139" s="242">
        <f t="shared" si="1532"/>
        <v>0</v>
      </c>
      <c r="CB139" s="242">
        <f t="shared" si="1532"/>
        <v>0</v>
      </c>
      <c r="CC139" s="242">
        <f t="shared" si="1532"/>
        <v>0</v>
      </c>
      <c r="CD139" s="242">
        <f t="shared" si="1532"/>
        <v>0</v>
      </c>
      <c r="CE139" s="242">
        <f t="shared" si="1532"/>
        <v>0</v>
      </c>
      <c r="CF139" s="242">
        <f t="shared" si="1532"/>
        <v>0</v>
      </c>
      <c r="CG139" s="242">
        <f t="shared" si="1532"/>
        <v>0</v>
      </c>
      <c r="CH139" s="242">
        <f t="shared" si="1532"/>
        <v>0</v>
      </c>
      <c r="CI139" s="242">
        <f t="shared" si="1532"/>
        <v>0</v>
      </c>
      <c r="CJ139" s="242">
        <f t="shared" si="1532"/>
        <v>0</v>
      </c>
      <c r="CK139" s="242">
        <f t="shared" si="1532"/>
        <v>0</v>
      </c>
      <c r="CL139" s="242">
        <f t="shared" si="1532"/>
        <v>0</v>
      </c>
      <c r="CM139" s="242">
        <f t="shared" si="1532"/>
        <v>0</v>
      </c>
      <c r="CN139" s="242">
        <f t="shared" si="1532"/>
        <v>0</v>
      </c>
      <c r="CO139" s="242">
        <f t="shared" si="1532"/>
        <v>0</v>
      </c>
      <c r="CP139" s="242">
        <f t="shared" si="1532"/>
        <v>0</v>
      </c>
      <c r="CQ139" s="242">
        <f t="shared" si="1532"/>
        <v>0</v>
      </c>
      <c r="CR139" s="242">
        <f t="shared" si="1532"/>
        <v>0</v>
      </c>
      <c r="CS139" s="242">
        <f t="shared" si="1532"/>
        <v>0</v>
      </c>
      <c r="CT139" s="242">
        <f t="shared" si="1532"/>
        <v>0</v>
      </c>
      <c r="CU139" s="242">
        <f t="shared" si="1532"/>
        <v>0</v>
      </c>
      <c r="CV139" s="242">
        <f t="shared" si="1532"/>
        <v>0</v>
      </c>
      <c r="CW139" s="242">
        <f t="shared" si="1532"/>
        <v>0</v>
      </c>
      <c r="CX139" s="242">
        <f t="shared" ref="CX139:EC139" si="1533">-CX75</f>
        <v>0</v>
      </c>
      <c r="CY139" s="242">
        <f t="shared" si="1533"/>
        <v>0</v>
      </c>
      <c r="CZ139" s="242">
        <f t="shared" si="1533"/>
        <v>0</v>
      </c>
      <c r="DA139" s="242">
        <f t="shared" si="1533"/>
        <v>0</v>
      </c>
      <c r="DB139" s="242">
        <f t="shared" si="1533"/>
        <v>0</v>
      </c>
      <c r="DC139" s="242">
        <f t="shared" si="1533"/>
        <v>0</v>
      </c>
      <c r="DD139" s="242">
        <f t="shared" si="1533"/>
        <v>0</v>
      </c>
      <c r="DE139" s="242">
        <f t="shared" si="1533"/>
        <v>0</v>
      </c>
      <c r="DF139" s="242">
        <f t="shared" si="1533"/>
        <v>0</v>
      </c>
      <c r="DG139" s="242">
        <f t="shared" si="1533"/>
        <v>0</v>
      </c>
      <c r="DH139" s="242">
        <f t="shared" si="1533"/>
        <v>0</v>
      </c>
      <c r="DI139" s="242">
        <f t="shared" si="1533"/>
        <v>0</v>
      </c>
      <c r="DJ139" s="242">
        <f t="shared" si="1533"/>
        <v>0</v>
      </c>
      <c r="DK139" s="242">
        <f t="shared" si="1533"/>
        <v>0</v>
      </c>
      <c r="DL139" s="242">
        <f t="shared" si="1533"/>
        <v>0</v>
      </c>
      <c r="DM139" s="242">
        <f t="shared" si="1533"/>
        <v>0</v>
      </c>
      <c r="DN139" s="242">
        <f t="shared" si="1533"/>
        <v>0</v>
      </c>
      <c r="DO139" s="242">
        <f t="shared" si="1533"/>
        <v>0</v>
      </c>
      <c r="DP139" s="242">
        <f t="shared" si="1533"/>
        <v>0</v>
      </c>
      <c r="DQ139" s="242">
        <f t="shared" si="1533"/>
        <v>0</v>
      </c>
      <c r="DR139" s="242">
        <f t="shared" si="1533"/>
        <v>0</v>
      </c>
      <c r="DS139" s="242">
        <f t="shared" si="1533"/>
        <v>0</v>
      </c>
      <c r="DT139" s="242">
        <f t="shared" si="1533"/>
        <v>0</v>
      </c>
      <c r="DU139" s="242">
        <f t="shared" si="1533"/>
        <v>0</v>
      </c>
      <c r="DV139" s="242">
        <f t="shared" si="1533"/>
        <v>0</v>
      </c>
      <c r="DW139" s="242">
        <f t="shared" si="1533"/>
        <v>0</v>
      </c>
      <c r="DX139" s="242">
        <f t="shared" si="1533"/>
        <v>0</v>
      </c>
      <c r="DY139" s="242">
        <f t="shared" si="1533"/>
        <v>0</v>
      </c>
      <c r="DZ139" s="242">
        <f t="shared" si="1533"/>
        <v>0</v>
      </c>
      <c r="EA139" s="242">
        <f t="shared" si="1533"/>
        <v>0</v>
      </c>
      <c r="EB139" s="242">
        <f t="shared" si="1533"/>
        <v>0</v>
      </c>
      <c r="EC139" s="242">
        <f t="shared" si="1533"/>
        <v>0</v>
      </c>
      <c r="ED139" s="242">
        <f t="shared" ref="ED139:ET139" si="1534">-ED75</f>
        <v>0</v>
      </c>
      <c r="EE139" s="242">
        <f t="shared" si="1534"/>
        <v>0</v>
      </c>
      <c r="EF139" s="242">
        <f t="shared" si="1534"/>
        <v>0</v>
      </c>
      <c r="EG139" s="242">
        <f t="shared" si="1534"/>
        <v>0</v>
      </c>
      <c r="EH139" s="242">
        <f t="shared" si="1534"/>
        <v>0</v>
      </c>
      <c r="EI139" s="242">
        <f t="shared" si="1534"/>
        <v>0</v>
      </c>
      <c r="EJ139" s="242">
        <f t="shared" si="1534"/>
        <v>0</v>
      </c>
      <c r="EK139" s="242">
        <f t="shared" si="1534"/>
        <v>0</v>
      </c>
      <c r="EL139" s="242">
        <f t="shared" si="1534"/>
        <v>0</v>
      </c>
      <c r="EM139" s="242">
        <f t="shared" si="1534"/>
        <v>0</v>
      </c>
      <c r="EN139" s="242">
        <f t="shared" si="1534"/>
        <v>0</v>
      </c>
      <c r="EO139" s="242">
        <f t="shared" si="1534"/>
        <v>0</v>
      </c>
      <c r="EP139" s="242">
        <f t="shared" si="1534"/>
        <v>0</v>
      </c>
      <c r="EQ139" s="242">
        <f t="shared" si="1534"/>
        <v>0</v>
      </c>
      <c r="ER139" s="242">
        <f t="shared" si="1534"/>
        <v>0</v>
      </c>
      <c r="ES139" s="242">
        <f t="shared" si="1534"/>
        <v>0</v>
      </c>
      <c r="ET139" s="242">
        <f t="shared" si="1534"/>
        <v>0</v>
      </c>
    </row>
    <row r="140" spans="2:150" x14ac:dyDescent="0.2">
      <c r="B140" t="s">
        <v>282</v>
      </c>
      <c r="F140" s="242">
        <f t="shared" ref="F140:AK140" si="1535">IF(F63+F73&lt;=0,0,-MIN(F63+F73,F139))</f>
        <v>0</v>
      </c>
      <c r="G140" s="242">
        <f t="shared" si="1535"/>
        <v>0</v>
      </c>
      <c r="H140" s="242">
        <f t="shared" si="1535"/>
        <v>0</v>
      </c>
      <c r="I140" s="242">
        <f t="shared" si="1535"/>
        <v>0</v>
      </c>
      <c r="J140" s="242">
        <f t="shared" si="1535"/>
        <v>0</v>
      </c>
      <c r="K140" s="242">
        <f t="shared" si="1535"/>
        <v>0</v>
      </c>
      <c r="L140" s="242">
        <f t="shared" si="1535"/>
        <v>0</v>
      </c>
      <c r="M140" s="242">
        <f t="shared" si="1535"/>
        <v>0</v>
      </c>
      <c r="N140" s="242">
        <f t="shared" si="1535"/>
        <v>0</v>
      </c>
      <c r="O140" s="242">
        <f t="shared" si="1535"/>
        <v>0</v>
      </c>
      <c r="P140" s="242">
        <f t="shared" si="1535"/>
        <v>0</v>
      </c>
      <c r="Q140" s="242">
        <f t="shared" si="1535"/>
        <v>0</v>
      </c>
      <c r="R140" s="242">
        <f t="shared" si="1535"/>
        <v>0</v>
      </c>
      <c r="S140" s="242">
        <f t="shared" si="1535"/>
        <v>0</v>
      </c>
      <c r="T140" s="242">
        <f t="shared" si="1535"/>
        <v>0</v>
      </c>
      <c r="U140" s="242">
        <f t="shared" si="1535"/>
        <v>0</v>
      </c>
      <c r="V140" s="242">
        <f t="shared" si="1535"/>
        <v>0</v>
      </c>
      <c r="W140" s="242">
        <f t="shared" si="1535"/>
        <v>0</v>
      </c>
      <c r="X140" s="242">
        <f t="shared" si="1535"/>
        <v>0</v>
      </c>
      <c r="Y140" s="242">
        <f t="shared" si="1535"/>
        <v>0</v>
      </c>
      <c r="Z140" s="242">
        <f t="shared" si="1535"/>
        <v>0</v>
      </c>
      <c r="AA140" s="242">
        <f t="shared" si="1535"/>
        <v>0</v>
      </c>
      <c r="AB140" s="242">
        <f t="shared" si="1535"/>
        <v>0</v>
      </c>
      <c r="AC140" s="242">
        <f t="shared" si="1535"/>
        <v>0</v>
      </c>
      <c r="AD140" s="242">
        <f t="shared" si="1535"/>
        <v>0</v>
      </c>
      <c r="AE140" s="242">
        <f t="shared" si="1535"/>
        <v>0</v>
      </c>
      <c r="AF140" s="242">
        <f t="shared" si="1535"/>
        <v>0</v>
      </c>
      <c r="AG140" s="242">
        <f t="shared" si="1535"/>
        <v>0</v>
      </c>
      <c r="AH140" s="242">
        <f t="shared" si="1535"/>
        <v>0</v>
      </c>
      <c r="AI140" s="242">
        <f t="shared" si="1535"/>
        <v>0</v>
      </c>
      <c r="AJ140" s="242">
        <f t="shared" si="1535"/>
        <v>0</v>
      </c>
      <c r="AK140" s="242">
        <f t="shared" si="1535"/>
        <v>0</v>
      </c>
      <c r="AL140" s="242">
        <f t="shared" ref="AL140:BQ140" si="1536">IF(AL63+AL73&lt;=0,0,-MIN(AL63+AL73,AL139))</f>
        <v>0</v>
      </c>
      <c r="AM140" s="242">
        <f t="shared" si="1536"/>
        <v>0</v>
      </c>
      <c r="AN140" s="242">
        <f t="shared" si="1536"/>
        <v>0</v>
      </c>
      <c r="AO140" s="242">
        <f t="shared" ca="1" si="1536"/>
        <v>0</v>
      </c>
      <c r="AP140" s="242">
        <f t="shared" ca="1" si="1536"/>
        <v>0</v>
      </c>
      <c r="AQ140" s="242">
        <f t="shared" ca="1" si="1536"/>
        <v>0</v>
      </c>
      <c r="AR140" s="242">
        <f t="shared" ca="1" si="1536"/>
        <v>0</v>
      </c>
      <c r="AS140" s="242">
        <f t="shared" ca="1" si="1536"/>
        <v>0</v>
      </c>
      <c r="AT140" s="242">
        <f t="shared" ca="1" si="1536"/>
        <v>0</v>
      </c>
      <c r="AU140" s="242">
        <f t="shared" ca="1" si="1536"/>
        <v>0</v>
      </c>
      <c r="AV140" s="242">
        <f t="shared" ca="1" si="1536"/>
        <v>0</v>
      </c>
      <c r="AW140" s="242">
        <f t="shared" ca="1" si="1536"/>
        <v>0</v>
      </c>
      <c r="AX140" s="242">
        <f t="shared" ca="1" si="1536"/>
        <v>0</v>
      </c>
      <c r="AY140" s="242">
        <f t="shared" ca="1" si="1536"/>
        <v>0</v>
      </c>
      <c r="AZ140" s="242">
        <f t="shared" ca="1" si="1536"/>
        <v>0</v>
      </c>
      <c r="BA140" s="242">
        <f t="shared" ca="1" si="1536"/>
        <v>0</v>
      </c>
      <c r="BB140" s="242">
        <f t="shared" ca="1" si="1536"/>
        <v>0</v>
      </c>
      <c r="BC140" s="242">
        <f t="shared" ca="1" si="1536"/>
        <v>0</v>
      </c>
      <c r="BD140" s="242">
        <f t="shared" ca="1" si="1536"/>
        <v>0</v>
      </c>
      <c r="BE140" s="242">
        <f t="shared" ca="1" si="1536"/>
        <v>0</v>
      </c>
      <c r="BF140" s="242">
        <f t="shared" ca="1" si="1536"/>
        <v>0</v>
      </c>
      <c r="BG140" s="242">
        <f t="shared" ca="1" si="1536"/>
        <v>0</v>
      </c>
      <c r="BH140" s="242">
        <f t="shared" ca="1" si="1536"/>
        <v>0</v>
      </c>
      <c r="BI140" s="242">
        <f t="shared" ca="1" si="1536"/>
        <v>0</v>
      </c>
      <c r="BJ140" s="242">
        <f t="shared" ca="1" si="1536"/>
        <v>0</v>
      </c>
      <c r="BK140" s="242">
        <f t="shared" ca="1" si="1536"/>
        <v>0</v>
      </c>
      <c r="BL140" s="242">
        <f t="shared" ca="1" si="1536"/>
        <v>0</v>
      </c>
      <c r="BM140" s="242">
        <f t="shared" ca="1" si="1536"/>
        <v>0</v>
      </c>
      <c r="BN140" s="242">
        <f t="shared" ca="1" si="1536"/>
        <v>0</v>
      </c>
      <c r="BO140" s="242">
        <f t="shared" ca="1" si="1536"/>
        <v>0</v>
      </c>
      <c r="BP140" s="242">
        <f t="shared" ca="1" si="1536"/>
        <v>0</v>
      </c>
      <c r="BQ140" s="242">
        <f t="shared" ca="1" si="1536"/>
        <v>0</v>
      </c>
      <c r="BR140" s="242">
        <f t="shared" ref="BR140:CW140" ca="1" si="1537">IF(BR63+BR73&lt;=0,0,-MIN(BR63+BR73,BR139))</f>
        <v>0</v>
      </c>
      <c r="BS140" s="242">
        <f t="shared" ca="1" si="1537"/>
        <v>0</v>
      </c>
      <c r="BT140" s="242">
        <f t="shared" ca="1" si="1537"/>
        <v>0</v>
      </c>
      <c r="BU140" s="242">
        <f t="shared" ca="1" si="1537"/>
        <v>0</v>
      </c>
      <c r="BV140" s="242">
        <f t="shared" ca="1" si="1537"/>
        <v>0</v>
      </c>
      <c r="BW140" s="242">
        <f t="shared" ca="1" si="1537"/>
        <v>0</v>
      </c>
      <c r="BX140" s="242">
        <f t="shared" ca="1" si="1537"/>
        <v>0</v>
      </c>
      <c r="BY140" s="242">
        <f t="shared" ca="1" si="1537"/>
        <v>0</v>
      </c>
      <c r="BZ140" s="242">
        <f t="shared" ca="1" si="1537"/>
        <v>0</v>
      </c>
      <c r="CA140" s="242">
        <f t="shared" ca="1" si="1537"/>
        <v>0</v>
      </c>
      <c r="CB140" s="242">
        <f t="shared" ca="1" si="1537"/>
        <v>0</v>
      </c>
      <c r="CC140" s="242">
        <f t="shared" ca="1" si="1537"/>
        <v>0</v>
      </c>
      <c r="CD140" s="242">
        <f t="shared" ca="1" si="1537"/>
        <v>0</v>
      </c>
      <c r="CE140" s="242">
        <f t="shared" ca="1" si="1537"/>
        <v>0</v>
      </c>
      <c r="CF140" s="242">
        <f t="shared" ca="1" si="1537"/>
        <v>0</v>
      </c>
      <c r="CG140" s="242">
        <f t="shared" ca="1" si="1537"/>
        <v>0</v>
      </c>
      <c r="CH140" s="242">
        <f t="shared" ca="1" si="1537"/>
        <v>0</v>
      </c>
      <c r="CI140" s="242">
        <f t="shared" ca="1" si="1537"/>
        <v>0</v>
      </c>
      <c r="CJ140" s="242">
        <f t="shared" ca="1" si="1537"/>
        <v>0</v>
      </c>
      <c r="CK140" s="242">
        <f t="shared" ca="1" si="1537"/>
        <v>0</v>
      </c>
      <c r="CL140" s="242">
        <f t="shared" ca="1" si="1537"/>
        <v>0</v>
      </c>
      <c r="CM140" s="242">
        <f t="shared" ca="1" si="1537"/>
        <v>0</v>
      </c>
      <c r="CN140" s="242">
        <f t="shared" ca="1" si="1537"/>
        <v>0</v>
      </c>
      <c r="CO140" s="242">
        <f t="shared" ca="1" si="1537"/>
        <v>0</v>
      </c>
      <c r="CP140" s="242">
        <f t="shared" ca="1" si="1537"/>
        <v>0</v>
      </c>
      <c r="CQ140" s="242">
        <f t="shared" ca="1" si="1537"/>
        <v>0</v>
      </c>
      <c r="CR140" s="242">
        <f t="shared" ca="1" si="1537"/>
        <v>0</v>
      </c>
      <c r="CS140" s="242">
        <f t="shared" ca="1" si="1537"/>
        <v>0</v>
      </c>
      <c r="CT140" s="242">
        <f t="shared" ca="1" si="1537"/>
        <v>0</v>
      </c>
      <c r="CU140" s="242">
        <f t="shared" ca="1" si="1537"/>
        <v>0</v>
      </c>
      <c r="CV140" s="242">
        <f t="shared" ca="1" si="1537"/>
        <v>0</v>
      </c>
      <c r="CW140" s="242">
        <f t="shared" ca="1" si="1537"/>
        <v>0</v>
      </c>
      <c r="CX140" s="242">
        <f t="shared" ref="CX140:EC140" ca="1" si="1538">IF(CX63+CX73&lt;=0,0,-MIN(CX63+CX73,CX139))</f>
        <v>0</v>
      </c>
      <c r="CY140" s="242">
        <f t="shared" ca="1" si="1538"/>
        <v>0</v>
      </c>
      <c r="CZ140" s="242">
        <f t="shared" ca="1" si="1538"/>
        <v>0</v>
      </c>
      <c r="DA140" s="242">
        <f t="shared" ca="1" si="1538"/>
        <v>0</v>
      </c>
      <c r="DB140" s="242">
        <f t="shared" ca="1" si="1538"/>
        <v>0</v>
      </c>
      <c r="DC140" s="242">
        <f t="shared" ca="1" si="1538"/>
        <v>0</v>
      </c>
      <c r="DD140" s="242">
        <f t="shared" ca="1" si="1538"/>
        <v>0</v>
      </c>
      <c r="DE140" s="242">
        <f t="shared" ca="1" si="1538"/>
        <v>0</v>
      </c>
      <c r="DF140" s="242">
        <f t="shared" ca="1" si="1538"/>
        <v>0</v>
      </c>
      <c r="DG140" s="242">
        <f t="shared" ca="1" si="1538"/>
        <v>0</v>
      </c>
      <c r="DH140" s="242">
        <f t="shared" ca="1" si="1538"/>
        <v>0</v>
      </c>
      <c r="DI140" s="242">
        <f t="shared" ca="1" si="1538"/>
        <v>0</v>
      </c>
      <c r="DJ140" s="242">
        <f t="shared" ca="1" si="1538"/>
        <v>0</v>
      </c>
      <c r="DK140" s="242">
        <f t="shared" ca="1" si="1538"/>
        <v>0</v>
      </c>
      <c r="DL140" s="242">
        <f t="shared" ca="1" si="1538"/>
        <v>0</v>
      </c>
      <c r="DM140" s="242">
        <f t="shared" ca="1" si="1538"/>
        <v>0</v>
      </c>
      <c r="DN140" s="242">
        <f t="shared" ca="1" si="1538"/>
        <v>0</v>
      </c>
      <c r="DO140" s="242">
        <f t="shared" ca="1" si="1538"/>
        <v>0</v>
      </c>
      <c r="DP140" s="242">
        <f t="shared" ca="1" si="1538"/>
        <v>0</v>
      </c>
      <c r="DQ140" s="242">
        <f t="shared" ca="1" si="1538"/>
        <v>0</v>
      </c>
      <c r="DR140" s="242">
        <f t="shared" ca="1" si="1538"/>
        <v>0</v>
      </c>
      <c r="DS140" s="242">
        <f t="shared" ca="1" si="1538"/>
        <v>0</v>
      </c>
      <c r="DT140" s="242">
        <f t="shared" ca="1" si="1538"/>
        <v>0</v>
      </c>
      <c r="DU140" s="242">
        <f t="shared" ca="1" si="1538"/>
        <v>0</v>
      </c>
      <c r="DV140" s="242">
        <f t="shared" ca="1" si="1538"/>
        <v>0</v>
      </c>
      <c r="DW140" s="242">
        <f t="shared" ca="1" si="1538"/>
        <v>0</v>
      </c>
      <c r="DX140" s="242">
        <f t="shared" ca="1" si="1538"/>
        <v>0</v>
      </c>
      <c r="DY140" s="242">
        <f t="shared" ca="1" si="1538"/>
        <v>0</v>
      </c>
      <c r="DZ140" s="242">
        <f t="shared" ca="1" si="1538"/>
        <v>0</v>
      </c>
      <c r="EA140" s="242">
        <f t="shared" ca="1" si="1538"/>
        <v>0</v>
      </c>
      <c r="EB140" s="242">
        <f t="shared" ca="1" si="1538"/>
        <v>0</v>
      </c>
      <c r="EC140" s="242">
        <f t="shared" ca="1" si="1538"/>
        <v>0</v>
      </c>
      <c r="ED140" s="242">
        <f t="shared" ref="ED140:ET140" ca="1" si="1539">IF(ED63+ED73&lt;=0,0,-MIN(ED63+ED73,ED139))</f>
        <v>0</v>
      </c>
      <c r="EE140" s="242">
        <f t="shared" ca="1" si="1539"/>
        <v>0</v>
      </c>
      <c r="EF140" s="242">
        <f t="shared" ca="1" si="1539"/>
        <v>0</v>
      </c>
      <c r="EG140" s="242">
        <f t="shared" ca="1" si="1539"/>
        <v>0</v>
      </c>
      <c r="EH140" s="242">
        <f t="shared" ca="1" si="1539"/>
        <v>0</v>
      </c>
      <c r="EI140" s="242">
        <f t="shared" ca="1" si="1539"/>
        <v>0</v>
      </c>
      <c r="EJ140" s="242">
        <f t="shared" ca="1" si="1539"/>
        <v>0</v>
      </c>
      <c r="EK140" s="242">
        <f t="shared" ca="1" si="1539"/>
        <v>0</v>
      </c>
      <c r="EL140" s="242">
        <f t="shared" ca="1" si="1539"/>
        <v>0</v>
      </c>
      <c r="EM140" s="242">
        <f t="shared" ca="1" si="1539"/>
        <v>0</v>
      </c>
      <c r="EN140" s="242">
        <f t="shared" ca="1" si="1539"/>
        <v>0</v>
      </c>
      <c r="EO140" s="242">
        <f t="shared" ca="1" si="1539"/>
        <v>0</v>
      </c>
      <c r="EP140" s="242">
        <f t="shared" ca="1" si="1539"/>
        <v>0</v>
      </c>
      <c r="EQ140" s="242">
        <f t="shared" ca="1" si="1539"/>
        <v>0</v>
      </c>
      <c r="ER140" s="242">
        <f t="shared" ca="1" si="1539"/>
        <v>0</v>
      </c>
      <c r="ES140" s="242">
        <f t="shared" ca="1" si="1539"/>
        <v>0</v>
      </c>
      <c r="ET140" s="242">
        <f t="shared" ca="1" si="1539"/>
        <v>0</v>
      </c>
    </row>
    <row r="141" spans="2:150" x14ac:dyDescent="0.2">
      <c r="B141" s="98" t="s">
        <v>169</v>
      </c>
      <c r="C141" s="98"/>
      <c r="D141" s="97"/>
      <c r="E141" s="98"/>
      <c r="F141" s="251">
        <f>SUM(F139:F140)</f>
        <v>0</v>
      </c>
      <c r="G141" s="251">
        <f t="shared" ref="G141:R141" si="1540">SUM(G139:G140)</f>
        <v>0</v>
      </c>
      <c r="H141" s="251">
        <f t="shared" si="1540"/>
        <v>0</v>
      </c>
      <c r="I141" s="251">
        <f t="shared" si="1540"/>
        <v>0</v>
      </c>
      <c r="J141" s="251">
        <f t="shared" si="1540"/>
        <v>0</v>
      </c>
      <c r="K141" s="251">
        <f t="shared" si="1540"/>
        <v>0</v>
      </c>
      <c r="L141" s="251">
        <f t="shared" si="1540"/>
        <v>0</v>
      </c>
      <c r="M141" s="251">
        <f t="shared" si="1540"/>
        <v>0</v>
      </c>
      <c r="N141" s="251">
        <f t="shared" si="1540"/>
        <v>0</v>
      </c>
      <c r="O141" s="251">
        <f t="shared" si="1540"/>
        <v>0</v>
      </c>
      <c r="P141" s="251">
        <f t="shared" si="1540"/>
        <v>0</v>
      </c>
      <c r="Q141" s="251">
        <f t="shared" si="1540"/>
        <v>0</v>
      </c>
      <c r="R141" s="251">
        <f t="shared" si="1540"/>
        <v>0</v>
      </c>
      <c r="S141" s="251">
        <f t="shared" ref="S141" si="1541">SUM(S139:S140)</f>
        <v>0</v>
      </c>
      <c r="T141" s="251">
        <f t="shared" ref="T141:BZ141" si="1542">SUM(T139:T140)</f>
        <v>0</v>
      </c>
      <c r="U141" s="251">
        <f t="shared" si="1542"/>
        <v>0</v>
      </c>
      <c r="V141" s="251">
        <f t="shared" si="1542"/>
        <v>0</v>
      </c>
      <c r="W141" s="251">
        <f t="shared" si="1542"/>
        <v>0</v>
      </c>
      <c r="X141" s="251">
        <f t="shared" si="1542"/>
        <v>0</v>
      </c>
      <c r="Y141" s="251">
        <f t="shared" si="1542"/>
        <v>0</v>
      </c>
      <c r="Z141" s="251">
        <f t="shared" si="1542"/>
        <v>0</v>
      </c>
      <c r="AA141" s="251">
        <f t="shared" si="1542"/>
        <v>0</v>
      </c>
      <c r="AB141" s="251">
        <f t="shared" si="1542"/>
        <v>0</v>
      </c>
      <c r="AC141" s="251">
        <f t="shared" si="1542"/>
        <v>0</v>
      </c>
      <c r="AD141" s="251">
        <f t="shared" si="1542"/>
        <v>0</v>
      </c>
      <c r="AE141" s="251">
        <f t="shared" si="1542"/>
        <v>0</v>
      </c>
      <c r="AF141" s="251">
        <f t="shared" si="1542"/>
        <v>0</v>
      </c>
      <c r="AG141" s="251">
        <f t="shared" si="1542"/>
        <v>0</v>
      </c>
      <c r="AH141" s="251">
        <f t="shared" si="1542"/>
        <v>0</v>
      </c>
      <c r="AI141" s="251">
        <f t="shared" si="1542"/>
        <v>0</v>
      </c>
      <c r="AJ141" s="251">
        <f t="shared" si="1542"/>
        <v>0</v>
      </c>
      <c r="AK141" s="251">
        <f t="shared" si="1542"/>
        <v>0</v>
      </c>
      <c r="AL141" s="251">
        <f t="shared" si="1542"/>
        <v>0</v>
      </c>
      <c r="AM141" s="251">
        <f t="shared" si="1542"/>
        <v>0</v>
      </c>
      <c r="AN141" s="251">
        <f t="shared" si="1542"/>
        <v>0</v>
      </c>
      <c r="AO141" s="251">
        <f t="shared" ca="1" si="1542"/>
        <v>0</v>
      </c>
      <c r="AP141" s="251">
        <f t="shared" ca="1" si="1542"/>
        <v>0</v>
      </c>
      <c r="AQ141" s="251">
        <f t="shared" ca="1" si="1542"/>
        <v>0</v>
      </c>
      <c r="AR141" s="251">
        <f t="shared" ca="1" si="1542"/>
        <v>0</v>
      </c>
      <c r="AS141" s="251">
        <f t="shared" ca="1" si="1542"/>
        <v>0</v>
      </c>
      <c r="AT141" s="251">
        <f t="shared" ca="1" si="1542"/>
        <v>0</v>
      </c>
      <c r="AU141" s="251">
        <f t="shared" ca="1" si="1542"/>
        <v>0</v>
      </c>
      <c r="AV141" s="251">
        <f t="shared" ca="1" si="1542"/>
        <v>0</v>
      </c>
      <c r="AW141" s="251">
        <f t="shared" ca="1" si="1542"/>
        <v>0</v>
      </c>
      <c r="AX141" s="251">
        <f t="shared" ca="1" si="1542"/>
        <v>0</v>
      </c>
      <c r="AY141" s="251">
        <f t="shared" ca="1" si="1542"/>
        <v>0</v>
      </c>
      <c r="AZ141" s="251">
        <f t="shared" ca="1" si="1542"/>
        <v>0</v>
      </c>
      <c r="BA141" s="251">
        <f t="shared" ca="1" si="1542"/>
        <v>0</v>
      </c>
      <c r="BB141" s="251">
        <f t="shared" ca="1" si="1542"/>
        <v>0</v>
      </c>
      <c r="BC141" s="251">
        <f t="shared" ca="1" si="1542"/>
        <v>0</v>
      </c>
      <c r="BD141" s="251">
        <f t="shared" ca="1" si="1542"/>
        <v>0</v>
      </c>
      <c r="BE141" s="251">
        <f t="shared" ca="1" si="1542"/>
        <v>0</v>
      </c>
      <c r="BF141" s="251">
        <f t="shared" ca="1" si="1542"/>
        <v>0</v>
      </c>
      <c r="BG141" s="251">
        <f t="shared" ca="1" si="1542"/>
        <v>0</v>
      </c>
      <c r="BH141" s="251">
        <f t="shared" ca="1" si="1542"/>
        <v>0</v>
      </c>
      <c r="BI141" s="251">
        <f t="shared" ca="1" si="1542"/>
        <v>0</v>
      </c>
      <c r="BJ141" s="251">
        <f t="shared" ca="1" si="1542"/>
        <v>0</v>
      </c>
      <c r="BK141" s="251">
        <f t="shared" ca="1" si="1542"/>
        <v>0</v>
      </c>
      <c r="BL141" s="251">
        <f t="shared" ca="1" si="1542"/>
        <v>0</v>
      </c>
      <c r="BM141" s="251">
        <f t="shared" ca="1" si="1542"/>
        <v>0</v>
      </c>
      <c r="BN141" s="251">
        <f t="shared" ca="1" si="1542"/>
        <v>0</v>
      </c>
      <c r="BO141" s="251">
        <f t="shared" ca="1" si="1542"/>
        <v>0</v>
      </c>
      <c r="BP141" s="251">
        <f t="shared" ca="1" si="1542"/>
        <v>0</v>
      </c>
      <c r="BQ141" s="251">
        <f t="shared" ca="1" si="1542"/>
        <v>0</v>
      </c>
      <c r="BR141" s="251">
        <f t="shared" ca="1" si="1542"/>
        <v>0</v>
      </c>
      <c r="BS141" s="251">
        <f t="shared" ca="1" si="1542"/>
        <v>0</v>
      </c>
      <c r="BT141" s="251">
        <f t="shared" ca="1" si="1542"/>
        <v>0</v>
      </c>
      <c r="BU141" s="251">
        <f t="shared" ca="1" si="1542"/>
        <v>0</v>
      </c>
      <c r="BV141" s="251">
        <f t="shared" ca="1" si="1542"/>
        <v>0</v>
      </c>
      <c r="BW141" s="251">
        <f t="shared" ca="1" si="1542"/>
        <v>0</v>
      </c>
      <c r="BX141" s="251">
        <f t="shared" ca="1" si="1542"/>
        <v>0</v>
      </c>
      <c r="BY141" s="251">
        <f t="shared" ca="1" si="1542"/>
        <v>0</v>
      </c>
      <c r="BZ141" s="251">
        <f t="shared" ca="1" si="1542"/>
        <v>0</v>
      </c>
      <c r="CA141" s="251">
        <f t="shared" ref="CA141:EL141" ca="1" si="1543">SUM(CA139:CA140)</f>
        <v>0</v>
      </c>
      <c r="CB141" s="251">
        <f t="shared" ca="1" si="1543"/>
        <v>0</v>
      </c>
      <c r="CC141" s="251">
        <f t="shared" ca="1" si="1543"/>
        <v>0</v>
      </c>
      <c r="CD141" s="251">
        <f t="shared" ca="1" si="1543"/>
        <v>0</v>
      </c>
      <c r="CE141" s="251">
        <f t="shared" ca="1" si="1543"/>
        <v>0</v>
      </c>
      <c r="CF141" s="251">
        <f t="shared" ca="1" si="1543"/>
        <v>0</v>
      </c>
      <c r="CG141" s="251">
        <f t="shared" ca="1" si="1543"/>
        <v>0</v>
      </c>
      <c r="CH141" s="251">
        <f t="shared" ca="1" si="1543"/>
        <v>0</v>
      </c>
      <c r="CI141" s="251">
        <f t="shared" ca="1" si="1543"/>
        <v>0</v>
      </c>
      <c r="CJ141" s="251">
        <f t="shared" ca="1" si="1543"/>
        <v>0</v>
      </c>
      <c r="CK141" s="251">
        <f t="shared" ca="1" si="1543"/>
        <v>0</v>
      </c>
      <c r="CL141" s="251">
        <f t="shared" ca="1" si="1543"/>
        <v>0</v>
      </c>
      <c r="CM141" s="251">
        <f t="shared" ca="1" si="1543"/>
        <v>0</v>
      </c>
      <c r="CN141" s="251">
        <f t="shared" ca="1" si="1543"/>
        <v>0</v>
      </c>
      <c r="CO141" s="251">
        <f t="shared" ca="1" si="1543"/>
        <v>0</v>
      </c>
      <c r="CP141" s="251">
        <f t="shared" ca="1" si="1543"/>
        <v>0</v>
      </c>
      <c r="CQ141" s="251">
        <f t="shared" ca="1" si="1543"/>
        <v>0</v>
      </c>
      <c r="CR141" s="251">
        <f t="shared" ca="1" si="1543"/>
        <v>0</v>
      </c>
      <c r="CS141" s="251">
        <f t="shared" ca="1" si="1543"/>
        <v>0</v>
      </c>
      <c r="CT141" s="251">
        <f t="shared" ca="1" si="1543"/>
        <v>0</v>
      </c>
      <c r="CU141" s="251">
        <f t="shared" ca="1" si="1543"/>
        <v>0</v>
      </c>
      <c r="CV141" s="251">
        <f t="shared" ca="1" si="1543"/>
        <v>0</v>
      </c>
      <c r="CW141" s="251">
        <f t="shared" ca="1" si="1543"/>
        <v>0</v>
      </c>
      <c r="CX141" s="251">
        <f t="shared" ca="1" si="1543"/>
        <v>0</v>
      </c>
      <c r="CY141" s="251">
        <f t="shared" ca="1" si="1543"/>
        <v>0</v>
      </c>
      <c r="CZ141" s="251">
        <f t="shared" ca="1" si="1543"/>
        <v>0</v>
      </c>
      <c r="DA141" s="251">
        <f t="shared" ca="1" si="1543"/>
        <v>0</v>
      </c>
      <c r="DB141" s="251">
        <f t="shared" ca="1" si="1543"/>
        <v>0</v>
      </c>
      <c r="DC141" s="251">
        <f t="shared" ca="1" si="1543"/>
        <v>0</v>
      </c>
      <c r="DD141" s="251">
        <f t="shared" ca="1" si="1543"/>
        <v>0</v>
      </c>
      <c r="DE141" s="251">
        <f t="shared" ca="1" si="1543"/>
        <v>0</v>
      </c>
      <c r="DF141" s="251">
        <f t="shared" ca="1" si="1543"/>
        <v>0</v>
      </c>
      <c r="DG141" s="251">
        <f t="shared" ca="1" si="1543"/>
        <v>0</v>
      </c>
      <c r="DH141" s="251">
        <f t="shared" ca="1" si="1543"/>
        <v>0</v>
      </c>
      <c r="DI141" s="251">
        <f t="shared" ca="1" si="1543"/>
        <v>0</v>
      </c>
      <c r="DJ141" s="251">
        <f t="shared" ca="1" si="1543"/>
        <v>0</v>
      </c>
      <c r="DK141" s="251">
        <f t="shared" ca="1" si="1543"/>
        <v>0</v>
      </c>
      <c r="DL141" s="251">
        <f t="shared" ca="1" si="1543"/>
        <v>0</v>
      </c>
      <c r="DM141" s="251">
        <f t="shared" ca="1" si="1543"/>
        <v>0</v>
      </c>
      <c r="DN141" s="251">
        <f t="shared" ca="1" si="1543"/>
        <v>0</v>
      </c>
      <c r="DO141" s="251">
        <f t="shared" ca="1" si="1543"/>
        <v>0</v>
      </c>
      <c r="DP141" s="251">
        <f t="shared" ca="1" si="1543"/>
        <v>0</v>
      </c>
      <c r="DQ141" s="251">
        <f t="shared" ca="1" si="1543"/>
        <v>0</v>
      </c>
      <c r="DR141" s="251">
        <f t="shared" ca="1" si="1543"/>
        <v>0</v>
      </c>
      <c r="DS141" s="251">
        <f t="shared" ca="1" si="1543"/>
        <v>0</v>
      </c>
      <c r="DT141" s="251">
        <f t="shared" ca="1" si="1543"/>
        <v>0</v>
      </c>
      <c r="DU141" s="251">
        <f t="shared" ca="1" si="1543"/>
        <v>0</v>
      </c>
      <c r="DV141" s="251">
        <f t="shared" ca="1" si="1543"/>
        <v>0</v>
      </c>
      <c r="DW141" s="251">
        <f t="shared" ca="1" si="1543"/>
        <v>0</v>
      </c>
      <c r="DX141" s="251">
        <f t="shared" ca="1" si="1543"/>
        <v>0</v>
      </c>
      <c r="DY141" s="251">
        <f t="shared" ca="1" si="1543"/>
        <v>0</v>
      </c>
      <c r="DZ141" s="251">
        <f t="shared" ca="1" si="1543"/>
        <v>0</v>
      </c>
      <c r="EA141" s="251">
        <f t="shared" ca="1" si="1543"/>
        <v>0</v>
      </c>
      <c r="EB141" s="251">
        <f t="shared" ca="1" si="1543"/>
        <v>0</v>
      </c>
      <c r="EC141" s="251">
        <f t="shared" ca="1" si="1543"/>
        <v>0</v>
      </c>
      <c r="ED141" s="251">
        <f t="shared" ca="1" si="1543"/>
        <v>0</v>
      </c>
      <c r="EE141" s="251">
        <f t="shared" ca="1" si="1543"/>
        <v>0</v>
      </c>
      <c r="EF141" s="251">
        <f t="shared" ca="1" si="1543"/>
        <v>0</v>
      </c>
      <c r="EG141" s="251">
        <f t="shared" ca="1" si="1543"/>
        <v>0</v>
      </c>
      <c r="EH141" s="251">
        <f t="shared" ca="1" si="1543"/>
        <v>0</v>
      </c>
      <c r="EI141" s="251">
        <f t="shared" ca="1" si="1543"/>
        <v>0</v>
      </c>
      <c r="EJ141" s="251">
        <f t="shared" ca="1" si="1543"/>
        <v>0</v>
      </c>
      <c r="EK141" s="251">
        <f t="shared" ca="1" si="1543"/>
        <v>0</v>
      </c>
      <c r="EL141" s="251">
        <f t="shared" ca="1" si="1543"/>
        <v>0</v>
      </c>
      <c r="EM141" s="251">
        <f t="shared" ref="EM141:ET141" ca="1" si="1544">SUM(EM139:EM140)</f>
        <v>0</v>
      </c>
      <c r="EN141" s="251">
        <f t="shared" ca="1" si="1544"/>
        <v>0</v>
      </c>
      <c r="EO141" s="251">
        <f t="shared" ca="1" si="1544"/>
        <v>0</v>
      </c>
      <c r="EP141" s="251">
        <f t="shared" ca="1" si="1544"/>
        <v>0</v>
      </c>
      <c r="EQ141" s="251">
        <f t="shared" ca="1" si="1544"/>
        <v>0</v>
      </c>
      <c r="ER141" s="251">
        <f t="shared" ca="1" si="1544"/>
        <v>0</v>
      </c>
      <c r="ES141" s="251">
        <f t="shared" ca="1" si="1544"/>
        <v>0</v>
      </c>
      <c r="ET141" s="251">
        <f t="shared" ca="1" si="1544"/>
        <v>0</v>
      </c>
    </row>
    <row r="142" spans="2:150" x14ac:dyDescent="0.2"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36"/>
      <c r="DJ142" s="36"/>
      <c r="DK142" s="36"/>
      <c r="DL142" s="36"/>
      <c r="DM142" s="36"/>
      <c r="DN142" s="36"/>
      <c r="DO142" s="36"/>
      <c r="DP142" s="36"/>
      <c r="DQ142" s="36"/>
      <c r="DR142" s="36"/>
      <c r="DS142" s="36"/>
      <c r="DT142" s="36"/>
      <c r="DU142" s="36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</row>
    <row r="143" spans="2:150" x14ac:dyDescent="0.2">
      <c r="B143" s="83" t="s">
        <v>312</v>
      </c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</row>
    <row r="144" spans="2:150" x14ac:dyDescent="0.2">
      <c r="B144" t="s">
        <v>167</v>
      </c>
      <c r="F144" s="242">
        <f>E150</f>
        <v>0</v>
      </c>
      <c r="G144" s="242">
        <f t="shared" ref="G144:T144" si="1545">F150</f>
        <v>0</v>
      </c>
      <c r="H144" s="242">
        <f t="shared" si="1545"/>
        <v>0</v>
      </c>
      <c r="I144" s="242">
        <f t="shared" si="1545"/>
        <v>0</v>
      </c>
      <c r="J144" s="242">
        <f t="shared" si="1545"/>
        <v>0</v>
      </c>
      <c r="K144" s="242">
        <f t="shared" si="1545"/>
        <v>0</v>
      </c>
      <c r="L144" s="242">
        <f t="shared" si="1545"/>
        <v>0</v>
      </c>
      <c r="M144" s="242">
        <f t="shared" si="1545"/>
        <v>0</v>
      </c>
      <c r="N144" s="242">
        <f t="shared" si="1545"/>
        <v>0</v>
      </c>
      <c r="O144" s="242">
        <f t="shared" si="1545"/>
        <v>0</v>
      </c>
      <c r="P144" s="242">
        <f t="shared" si="1545"/>
        <v>0</v>
      </c>
      <c r="Q144" s="242">
        <f t="shared" si="1545"/>
        <v>0</v>
      </c>
      <c r="R144" s="242">
        <f t="shared" si="1545"/>
        <v>0</v>
      </c>
      <c r="S144" s="242">
        <f t="shared" si="1545"/>
        <v>0</v>
      </c>
      <c r="T144" s="242">
        <f t="shared" si="1545"/>
        <v>0</v>
      </c>
      <c r="U144" s="242">
        <f t="shared" ref="U144:BZ144" si="1546">T150</f>
        <v>0</v>
      </c>
      <c r="V144" s="242">
        <f t="shared" si="1546"/>
        <v>0</v>
      </c>
      <c r="W144" s="242">
        <f t="shared" si="1546"/>
        <v>0</v>
      </c>
      <c r="X144" s="242">
        <f t="shared" si="1546"/>
        <v>0</v>
      </c>
      <c r="Y144" s="242">
        <f t="shared" si="1546"/>
        <v>0</v>
      </c>
      <c r="Z144" s="242">
        <f t="shared" si="1546"/>
        <v>0</v>
      </c>
      <c r="AA144" s="242">
        <f t="shared" si="1546"/>
        <v>0</v>
      </c>
      <c r="AB144" s="242">
        <f t="shared" si="1546"/>
        <v>0</v>
      </c>
      <c r="AC144" s="242">
        <f t="shared" si="1546"/>
        <v>0</v>
      </c>
      <c r="AD144" s="242">
        <f t="shared" si="1546"/>
        <v>0</v>
      </c>
      <c r="AE144" s="242">
        <f t="shared" si="1546"/>
        <v>0</v>
      </c>
      <c r="AF144" s="242">
        <f t="shared" si="1546"/>
        <v>0</v>
      </c>
      <c r="AG144" s="242">
        <f t="shared" si="1546"/>
        <v>0</v>
      </c>
      <c r="AH144" s="242">
        <f t="shared" si="1546"/>
        <v>0</v>
      </c>
      <c r="AI144" s="242">
        <f t="shared" si="1546"/>
        <v>0</v>
      </c>
      <c r="AJ144" s="242">
        <f t="shared" si="1546"/>
        <v>0</v>
      </c>
      <c r="AK144" s="242">
        <f t="shared" si="1546"/>
        <v>0</v>
      </c>
      <c r="AL144" s="242">
        <f t="shared" si="1546"/>
        <v>0</v>
      </c>
      <c r="AM144" s="242">
        <f t="shared" si="1546"/>
        <v>0</v>
      </c>
      <c r="AN144" s="242">
        <f t="shared" si="1546"/>
        <v>0</v>
      </c>
      <c r="AO144" s="242">
        <f t="shared" si="1546"/>
        <v>0</v>
      </c>
      <c r="AP144" s="242">
        <f t="shared" si="1546"/>
        <v>0</v>
      </c>
      <c r="AQ144" s="242">
        <f t="shared" si="1546"/>
        <v>0</v>
      </c>
      <c r="AR144" s="242">
        <f t="shared" si="1546"/>
        <v>0</v>
      </c>
      <c r="AS144" s="242">
        <f t="shared" si="1546"/>
        <v>0</v>
      </c>
      <c r="AT144" s="242">
        <f t="shared" si="1546"/>
        <v>0</v>
      </c>
      <c r="AU144" s="242">
        <f t="shared" si="1546"/>
        <v>0</v>
      </c>
      <c r="AV144" s="242">
        <f t="shared" si="1546"/>
        <v>0</v>
      </c>
      <c r="AW144" s="242">
        <f t="shared" si="1546"/>
        <v>0</v>
      </c>
      <c r="AX144" s="242">
        <f t="shared" si="1546"/>
        <v>0</v>
      </c>
      <c r="AY144" s="242">
        <f t="shared" si="1546"/>
        <v>0</v>
      </c>
      <c r="AZ144" s="242">
        <f t="shared" si="1546"/>
        <v>0</v>
      </c>
      <c r="BA144" s="242">
        <f t="shared" si="1546"/>
        <v>0</v>
      </c>
      <c r="BB144" s="242">
        <f t="shared" si="1546"/>
        <v>0</v>
      </c>
      <c r="BC144" s="242">
        <f t="shared" si="1546"/>
        <v>0</v>
      </c>
      <c r="BD144" s="242">
        <f t="shared" si="1546"/>
        <v>0</v>
      </c>
      <c r="BE144" s="242">
        <f t="shared" si="1546"/>
        <v>0</v>
      </c>
      <c r="BF144" s="242">
        <f t="shared" si="1546"/>
        <v>0</v>
      </c>
      <c r="BG144" s="242">
        <f t="shared" si="1546"/>
        <v>0</v>
      </c>
      <c r="BH144" s="242">
        <f t="shared" si="1546"/>
        <v>0</v>
      </c>
      <c r="BI144" s="242">
        <f t="shared" si="1546"/>
        <v>0</v>
      </c>
      <c r="BJ144" s="242">
        <f t="shared" si="1546"/>
        <v>0</v>
      </c>
      <c r="BK144" s="242">
        <f t="shared" si="1546"/>
        <v>0</v>
      </c>
      <c r="BL144" s="242">
        <f t="shared" si="1546"/>
        <v>0</v>
      </c>
      <c r="BM144" s="242">
        <f t="shared" si="1546"/>
        <v>0</v>
      </c>
      <c r="BN144" s="242">
        <f t="shared" si="1546"/>
        <v>0</v>
      </c>
      <c r="BO144" s="242">
        <f t="shared" si="1546"/>
        <v>0</v>
      </c>
      <c r="BP144" s="242">
        <f t="shared" si="1546"/>
        <v>0</v>
      </c>
      <c r="BQ144" s="242">
        <f t="shared" si="1546"/>
        <v>0</v>
      </c>
      <c r="BR144" s="242">
        <f t="shared" si="1546"/>
        <v>0</v>
      </c>
      <c r="BS144" s="242">
        <f t="shared" si="1546"/>
        <v>0</v>
      </c>
      <c r="BT144" s="242">
        <f t="shared" si="1546"/>
        <v>0</v>
      </c>
      <c r="BU144" s="242">
        <f t="shared" si="1546"/>
        <v>0</v>
      </c>
      <c r="BV144" s="242">
        <f t="shared" si="1546"/>
        <v>0</v>
      </c>
      <c r="BW144" s="242">
        <f t="shared" si="1546"/>
        <v>0</v>
      </c>
      <c r="BX144" s="242">
        <f t="shared" si="1546"/>
        <v>0</v>
      </c>
      <c r="BY144" s="242">
        <f t="shared" si="1546"/>
        <v>0</v>
      </c>
      <c r="BZ144" s="242">
        <f t="shared" si="1546"/>
        <v>0</v>
      </c>
      <c r="CA144" s="242">
        <f t="shared" ref="CA144" si="1547">BZ150</f>
        <v>0</v>
      </c>
      <c r="CB144" s="242">
        <f t="shared" ref="CB144" si="1548">CA150</f>
        <v>0</v>
      </c>
      <c r="CC144" s="242">
        <f t="shared" ref="CC144" si="1549">CB150</f>
        <v>0</v>
      </c>
      <c r="CD144" s="242">
        <f t="shared" ref="CD144" si="1550">CC150</f>
        <v>0</v>
      </c>
      <c r="CE144" s="242">
        <f t="shared" ref="CE144" si="1551">CD150</f>
        <v>0</v>
      </c>
      <c r="CF144" s="242">
        <f t="shared" ref="CF144" si="1552">CE150</f>
        <v>0</v>
      </c>
      <c r="CG144" s="242">
        <f t="shared" ref="CG144" si="1553">CF150</f>
        <v>0</v>
      </c>
      <c r="CH144" s="242">
        <f t="shared" ref="CH144" si="1554">CG150</f>
        <v>0</v>
      </c>
      <c r="CI144" s="242">
        <f t="shared" ref="CI144" si="1555">CH150</f>
        <v>0</v>
      </c>
      <c r="CJ144" s="242">
        <f t="shared" ref="CJ144" si="1556">CI150</f>
        <v>0</v>
      </c>
      <c r="CK144" s="242">
        <f t="shared" ref="CK144" si="1557">CJ150</f>
        <v>0</v>
      </c>
      <c r="CL144" s="242">
        <f t="shared" ref="CL144" si="1558">CK150</f>
        <v>0</v>
      </c>
      <c r="CM144" s="242">
        <f t="shared" ref="CM144" si="1559">CL150</f>
        <v>0</v>
      </c>
      <c r="CN144" s="242">
        <f t="shared" ref="CN144" si="1560">CM150</f>
        <v>0</v>
      </c>
      <c r="CO144" s="242">
        <f t="shared" ref="CO144" si="1561">CN150</f>
        <v>0</v>
      </c>
      <c r="CP144" s="242">
        <f t="shared" ref="CP144" si="1562">CO150</f>
        <v>0</v>
      </c>
      <c r="CQ144" s="242">
        <f t="shared" ref="CQ144" si="1563">CP150</f>
        <v>0</v>
      </c>
      <c r="CR144" s="242">
        <f t="shared" ref="CR144" si="1564">CQ150</f>
        <v>0</v>
      </c>
      <c r="CS144" s="242">
        <f t="shared" ref="CS144" si="1565">CR150</f>
        <v>0</v>
      </c>
      <c r="CT144" s="242">
        <f t="shared" ref="CT144" si="1566">CS150</f>
        <v>0</v>
      </c>
      <c r="CU144" s="242">
        <f t="shared" ref="CU144" si="1567">CT150</f>
        <v>0</v>
      </c>
      <c r="CV144" s="242">
        <f t="shared" ref="CV144" si="1568">CU150</f>
        <v>0</v>
      </c>
      <c r="CW144" s="242">
        <f t="shared" ref="CW144" si="1569">CV150</f>
        <v>0</v>
      </c>
      <c r="CX144" s="242">
        <f t="shared" ref="CX144" si="1570">CW150</f>
        <v>0</v>
      </c>
      <c r="CY144" s="242">
        <f t="shared" ref="CY144" si="1571">CX150</f>
        <v>0</v>
      </c>
      <c r="CZ144" s="242">
        <f t="shared" ref="CZ144" si="1572">CY150</f>
        <v>0</v>
      </c>
      <c r="DA144" s="242">
        <f t="shared" ref="DA144" si="1573">CZ150</f>
        <v>0</v>
      </c>
      <c r="DB144" s="242">
        <f t="shared" ref="DB144" si="1574">DA150</f>
        <v>0</v>
      </c>
      <c r="DC144" s="242">
        <f t="shared" ref="DC144" si="1575">DB150</f>
        <v>0</v>
      </c>
      <c r="DD144" s="242">
        <f t="shared" ref="DD144" si="1576">DC150</f>
        <v>0</v>
      </c>
      <c r="DE144" s="242">
        <f t="shared" ref="DE144" si="1577">DD150</f>
        <v>0</v>
      </c>
      <c r="DF144" s="242">
        <f t="shared" ref="DF144" si="1578">DE150</f>
        <v>0</v>
      </c>
      <c r="DG144" s="242">
        <f t="shared" ref="DG144" si="1579">DF150</f>
        <v>0</v>
      </c>
      <c r="DH144" s="242">
        <f t="shared" ref="DH144" si="1580">DG150</f>
        <v>0</v>
      </c>
      <c r="DI144" s="242">
        <f t="shared" ref="DI144" si="1581">DH150</f>
        <v>0</v>
      </c>
      <c r="DJ144" s="242">
        <f t="shared" ref="DJ144" si="1582">DI150</f>
        <v>0</v>
      </c>
      <c r="DK144" s="242">
        <f t="shared" ref="DK144" si="1583">DJ150</f>
        <v>0</v>
      </c>
      <c r="DL144" s="242">
        <f t="shared" ref="DL144" si="1584">DK150</f>
        <v>0</v>
      </c>
      <c r="DM144" s="242">
        <f t="shared" ref="DM144" si="1585">DL150</f>
        <v>0</v>
      </c>
      <c r="DN144" s="242">
        <f t="shared" ref="DN144" si="1586">DM150</f>
        <v>0</v>
      </c>
      <c r="DO144" s="242">
        <f t="shared" ref="DO144" si="1587">DN150</f>
        <v>0</v>
      </c>
      <c r="DP144" s="242">
        <f t="shared" ref="DP144" si="1588">DO150</f>
        <v>0</v>
      </c>
      <c r="DQ144" s="242">
        <f t="shared" ref="DQ144" si="1589">DP150</f>
        <v>0</v>
      </c>
      <c r="DR144" s="242">
        <f t="shared" ref="DR144" si="1590">DQ150</f>
        <v>0</v>
      </c>
      <c r="DS144" s="242">
        <f t="shared" ref="DS144" si="1591">DR150</f>
        <v>0</v>
      </c>
      <c r="DT144" s="242">
        <f t="shared" ref="DT144" si="1592">DS150</f>
        <v>0</v>
      </c>
      <c r="DU144" s="242">
        <f t="shared" ref="DU144" si="1593">DT150</f>
        <v>0</v>
      </c>
      <c r="DV144" s="242">
        <f t="shared" ref="DV144" si="1594">DU150</f>
        <v>0</v>
      </c>
      <c r="DW144" s="242">
        <f t="shared" ref="DW144" si="1595">DV150</f>
        <v>0</v>
      </c>
      <c r="DX144" s="242">
        <f t="shared" ref="DX144" si="1596">DW150</f>
        <v>0</v>
      </c>
      <c r="DY144" s="242">
        <f t="shared" ref="DY144" si="1597">DX150</f>
        <v>0</v>
      </c>
      <c r="DZ144" s="242">
        <f t="shared" ref="DZ144" si="1598">DY150</f>
        <v>0</v>
      </c>
      <c r="EA144" s="242">
        <f t="shared" ref="EA144" si="1599">DZ150</f>
        <v>0</v>
      </c>
      <c r="EB144" s="242">
        <f t="shared" ref="EB144" si="1600">EA150</f>
        <v>0</v>
      </c>
      <c r="EC144" s="242">
        <f t="shared" ref="EC144" si="1601">EB150</f>
        <v>0</v>
      </c>
      <c r="ED144" s="242">
        <f t="shared" ref="ED144" si="1602">EC150</f>
        <v>0</v>
      </c>
      <c r="EE144" s="242">
        <f t="shared" ref="EE144" si="1603">ED150</f>
        <v>0</v>
      </c>
      <c r="EF144" s="242">
        <f t="shared" ref="EF144" si="1604">EE150</f>
        <v>0</v>
      </c>
      <c r="EG144" s="242">
        <f t="shared" ref="EG144" si="1605">EF150</f>
        <v>0</v>
      </c>
      <c r="EH144" s="242">
        <f t="shared" ref="EH144" si="1606">EG150</f>
        <v>0</v>
      </c>
      <c r="EI144" s="242">
        <f t="shared" ref="EI144" si="1607">EH150</f>
        <v>0</v>
      </c>
      <c r="EJ144" s="242">
        <f t="shared" ref="EJ144" si="1608">EI150</f>
        <v>0</v>
      </c>
      <c r="EK144" s="242">
        <f t="shared" ref="EK144" si="1609">EJ150</f>
        <v>0</v>
      </c>
      <c r="EL144" s="242">
        <f t="shared" ref="EL144" si="1610">EK150</f>
        <v>0</v>
      </c>
      <c r="EM144" s="242">
        <f t="shared" ref="EM144" si="1611">EL150</f>
        <v>0</v>
      </c>
      <c r="EN144" s="242">
        <f t="shared" ref="EN144" si="1612">EM150</f>
        <v>0</v>
      </c>
      <c r="EO144" s="242">
        <f t="shared" ref="EO144" si="1613">EN150</f>
        <v>0</v>
      </c>
      <c r="EP144" s="242">
        <f t="shared" ref="EP144" si="1614">EO150</f>
        <v>0</v>
      </c>
      <c r="EQ144" s="242">
        <f t="shared" ref="EQ144" si="1615">EP150</f>
        <v>0</v>
      </c>
      <c r="ER144" s="242">
        <f t="shared" ref="ER144" si="1616">EQ150</f>
        <v>0</v>
      </c>
      <c r="ES144" s="242">
        <f t="shared" ref="ES144" si="1617">ER150</f>
        <v>0</v>
      </c>
      <c r="ET144" s="242">
        <f t="shared" ref="ET144" si="1618">ES150</f>
        <v>0</v>
      </c>
    </row>
    <row r="145" spans="2:150" x14ac:dyDescent="0.2">
      <c r="B145" t="s">
        <v>313</v>
      </c>
      <c r="F145" s="242">
        <f>IF(Assumptions!$Q$33="Yes",IF(F$6=Assumptions!$P$36,Assumptions!$Q$37,0),0)</f>
        <v>0</v>
      </c>
      <c r="G145" s="242">
        <f>IF(Assumptions!$Q$33="Yes",IF(G$6=Assumptions!$P$36,Assumptions!$Q$37,0),0)</f>
        <v>0</v>
      </c>
      <c r="H145" s="242">
        <f>IF(Assumptions!$Q$33="Yes",IF(H$6=Assumptions!$P$36,Assumptions!$Q$37,0),0)</f>
        <v>0</v>
      </c>
      <c r="I145" s="242">
        <f>IF(Assumptions!$Q$33="Yes",IF(I$6=Assumptions!$P$36,Assumptions!$Q$37,0),0)</f>
        <v>0</v>
      </c>
      <c r="J145" s="242">
        <f>IF(Assumptions!$Q$33="Yes",IF(J$6=Assumptions!$P$36,Assumptions!$Q$37,0),0)</f>
        <v>0</v>
      </c>
      <c r="K145" s="242">
        <f>IF(Assumptions!$Q$33="Yes",IF(K$6=Assumptions!$P$36,Assumptions!$Q$37,0),0)</f>
        <v>0</v>
      </c>
      <c r="L145" s="242">
        <f>IF(Assumptions!$Q$33="Yes",IF(L$6=Assumptions!$P$36,Assumptions!$Q$37,0),0)</f>
        <v>0</v>
      </c>
      <c r="M145" s="242">
        <f>IF(Assumptions!$Q$33="Yes",IF(M$6=Assumptions!$P$36,Assumptions!$Q$37,0),0)</f>
        <v>0</v>
      </c>
      <c r="N145" s="242">
        <f>IF(Assumptions!$Q$33="Yes",IF(N$6=Assumptions!$P$36,Assumptions!$Q$37,0),0)</f>
        <v>0</v>
      </c>
      <c r="O145" s="242">
        <f>IF(Assumptions!$Q$33="Yes",IF(O$6=Assumptions!$P$36,Assumptions!$Q$37,0),0)</f>
        <v>0</v>
      </c>
      <c r="P145" s="242">
        <f>IF(Assumptions!$Q$33="Yes",IF(P$6=Assumptions!$P$36,Assumptions!$Q$37,0),0)</f>
        <v>0</v>
      </c>
      <c r="Q145" s="242">
        <f>IF(Assumptions!$Q$33="Yes",IF(Q$6=Assumptions!$P$36,Assumptions!$Q$37,0),0)</f>
        <v>0</v>
      </c>
      <c r="R145" s="242">
        <f>IF(Assumptions!$Q$33="Yes",IF(R$6=Assumptions!$P$36,Assumptions!$Q$37,0),0)</f>
        <v>0</v>
      </c>
      <c r="S145" s="242">
        <f>IF(Assumptions!$Q$33="Yes",IF(S$6=Assumptions!$P$36,Assumptions!$Q$37,0),0)</f>
        <v>0</v>
      </c>
      <c r="T145" s="242">
        <f>IF(Assumptions!$Q$33="Yes",IF(T$6=Assumptions!$P$36,Assumptions!$Q$37,0),0)</f>
        <v>0</v>
      </c>
      <c r="U145" s="242">
        <f>IF(Assumptions!$Q$33="Yes",IF(U$6=Assumptions!$P$36,Assumptions!$Q$37,0),0)</f>
        <v>0</v>
      </c>
      <c r="V145" s="242">
        <f>IF(Assumptions!$Q$33="Yes",IF(V$6=Assumptions!$P$36,Assumptions!$Q$37,0),0)</f>
        <v>0</v>
      </c>
      <c r="W145" s="242">
        <f>IF(Assumptions!$Q$33="Yes",IF(W$6=Assumptions!$P$36,Assumptions!$Q$37,0),0)</f>
        <v>0</v>
      </c>
      <c r="X145" s="242">
        <f>IF(Assumptions!$Q$33="Yes",IF(X$6=Assumptions!$P$36,Assumptions!$Q$37,0),0)</f>
        <v>0</v>
      </c>
      <c r="Y145" s="242">
        <f>IF(Assumptions!$Q$33="Yes",IF(Y$6=Assumptions!$P$36,Assumptions!$Q$37,0),0)</f>
        <v>0</v>
      </c>
      <c r="Z145" s="242">
        <f>IF(Assumptions!$Q$33="Yes",IF(Z$6=Assumptions!$P$36,Assumptions!$Q$37,0),0)</f>
        <v>0</v>
      </c>
      <c r="AA145" s="242">
        <f>IF(Assumptions!$Q$33="Yes",IF(AA$6=Assumptions!$P$36,Assumptions!$Q$37,0),0)</f>
        <v>0</v>
      </c>
      <c r="AB145" s="242">
        <f>IF(Assumptions!$Q$33="Yes",IF(AB$6=Assumptions!$P$36,Assumptions!$Q$37,0),0)</f>
        <v>0</v>
      </c>
      <c r="AC145" s="242">
        <f>IF(Assumptions!$Q$33="Yes",IF(AC$6=Assumptions!$P$36,Assumptions!$Q$37,0),0)</f>
        <v>0</v>
      </c>
      <c r="AD145" s="242">
        <f>IF(Assumptions!$Q$33="Yes",IF(AD$6=Assumptions!$P$36,Assumptions!$Q$37,0),0)</f>
        <v>0</v>
      </c>
      <c r="AE145" s="242">
        <f>IF(Assumptions!$Q$33="Yes",IF(AE$6=Assumptions!$P$36,Assumptions!$Q$37,0),0)</f>
        <v>0</v>
      </c>
      <c r="AF145" s="242">
        <f>IF(Assumptions!$Q$33="Yes",IF(AF$6=Assumptions!$P$36,Assumptions!$Q$37,0),0)</f>
        <v>0</v>
      </c>
      <c r="AG145" s="242">
        <f>IF(Assumptions!$Q$33="Yes",IF(AG$6=Assumptions!$P$36,Assumptions!$Q$37,0),0)</f>
        <v>0</v>
      </c>
      <c r="AH145" s="242">
        <f>IF(Assumptions!$Q$33="Yes",IF(AH$6=Assumptions!$P$36,Assumptions!$Q$37,0),0)</f>
        <v>0</v>
      </c>
      <c r="AI145" s="242">
        <f>IF(Assumptions!$Q$33="Yes",IF(AI$6=Assumptions!$P$36,Assumptions!$Q$37,0),0)</f>
        <v>0</v>
      </c>
      <c r="AJ145" s="242">
        <f>IF(Assumptions!$Q$33="Yes",IF(AJ$6=Assumptions!$P$36,Assumptions!$Q$37,0),0)</f>
        <v>0</v>
      </c>
      <c r="AK145" s="242">
        <f>IF(Assumptions!$Q$33="Yes",IF(AK$6=Assumptions!$P$36,Assumptions!$Q$37,0),0)</f>
        <v>0</v>
      </c>
      <c r="AL145" s="242">
        <f>IF(Assumptions!$Q$33="Yes",IF(AL$6=Assumptions!$P$36,Assumptions!$Q$37,0),0)</f>
        <v>0</v>
      </c>
      <c r="AM145" s="242">
        <f>IF(Assumptions!$Q$33="Yes",IF(AM$6=Assumptions!$P$36,Assumptions!$Q$37,0),0)</f>
        <v>0</v>
      </c>
      <c r="AN145" s="242">
        <f>IF(Assumptions!$Q$33="Yes",IF(AN$6=Assumptions!$P$36,Assumptions!$Q$37,0),0)</f>
        <v>0</v>
      </c>
      <c r="AO145" s="242">
        <f>IF(Assumptions!$Q$33="Yes",IF(AO$6=Assumptions!$P$36,Assumptions!$Q$37,0),0)</f>
        <v>0</v>
      </c>
      <c r="AP145" s="242">
        <f>IF(Assumptions!$Q$33="Yes",IF(AP$6=Assumptions!$P$36,Assumptions!$Q$37,0),0)</f>
        <v>0</v>
      </c>
      <c r="AQ145" s="242">
        <f>IF(Assumptions!$Q$33="Yes",IF(AQ$6=Assumptions!$P$36,Assumptions!$Q$37,0),0)</f>
        <v>0</v>
      </c>
      <c r="AR145" s="242">
        <f>IF(Assumptions!$Q$33="Yes",IF(AR$6=Assumptions!$P$36,Assumptions!$Q$37,0),0)</f>
        <v>0</v>
      </c>
      <c r="AS145" s="242">
        <f>IF(Assumptions!$Q$33="Yes",IF(AS$6=Assumptions!$P$36,Assumptions!$Q$37,0),0)</f>
        <v>0</v>
      </c>
      <c r="AT145" s="242">
        <f>IF(Assumptions!$Q$33="Yes",IF(AT$6=Assumptions!$P$36,Assumptions!$Q$37,0),0)</f>
        <v>0</v>
      </c>
      <c r="AU145" s="242">
        <f>IF(Assumptions!$Q$33="Yes",IF(AU$6=Assumptions!$P$36,Assumptions!$Q$37,0),0)</f>
        <v>0</v>
      </c>
      <c r="AV145" s="242">
        <f>IF(Assumptions!$Q$33="Yes",IF(AV$6=Assumptions!$P$36,Assumptions!$Q$37,0),0)</f>
        <v>0</v>
      </c>
      <c r="AW145" s="242">
        <f>IF(Assumptions!$Q$33="Yes",IF(AW$6=Assumptions!$P$36,Assumptions!$Q$37,0),0)</f>
        <v>0</v>
      </c>
      <c r="AX145" s="242">
        <f>IF(Assumptions!$Q$33="Yes",IF(AX$6=Assumptions!$P$36,Assumptions!$Q$37,0),0)</f>
        <v>0</v>
      </c>
      <c r="AY145" s="242">
        <f>IF(Assumptions!$Q$33="Yes",IF(AY$6=Assumptions!$P$36,Assumptions!$Q$37,0),0)</f>
        <v>0</v>
      </c>
      <c r="AZ145" s="242">
        <f>IF(Assumptions!$Q$33="Yes",IF(AZ$6=Assumptions!$P$36,Assumptions!$Q$37,0),0)</f>
        <v>0</v>
      </c>
      <c r="BA145" s="242">
        <f>IF(Assumptions!$Q$33="Yes",IF(BA$6=Assumptions!$P$36,Assumptions!$Q$37,0),0)</f>
        <v>0</v>
      </c>
      <c r="BB145" s="242">
        <f>IF(Assumptions!$Q$33="Yes",IF(BB$6=Assumptions!$P$36,Assumptions!$Q$37,0),0)</f>
        <v>0</v>
      </c>
      <c r="BC145" s="242">
        <f>IF(Assumptions!$Q$33="Yes",IF(BC$6=Assumptions!$P$36,Assumptions!$Q$37,0),0)</f>
        <v>0</v>
      </c>
      <c r="BD145" s="242">
        <f>IF(Assumptions!$Q$33="Yes",IF(BD$6=Assumptions!$P$36,Assumptions!$Q$37,0),0)</f>
        <v>0</v>
      </c>
      <c r="BE145" s="242">
        <f>IF(Assumptions!$Q$33="Yes",IF(BE$6=Assumptions!$P$36,Assumptions!$Q$37,0),0)</f>
        <v>0</v>
      </c>
      <c r="BF145" s="242">
        <f>IF(Assumptions!$Q$33="Yes",IF(BF$6=Assumptions!$P$36,Assumptions!$Q$37,0),0)</f>
        <v>0</v>
      </c>
      <c r="BG145" s="242">
        <f>IF(Assumptions!$Q$33="Yes",IF(BG$6=Assumptions!$P$36,Assumptions!$Q$37,0),0)</f>
        <v>0</v>
      </c>
      <c r="BH145" s="242">
        <f>IF(Assumptions!$Q$33="Yes",IF(BH$6=Assumptions!$P$36,Assumptions!$Q$37,0),0)</f>
        <v>0</v>
      </c>
      <c r="BI145" s="242">
        <f>IF(Assumptions!$Q$33="Yes",IF(BI$6=Assumptions!$P$36,Assumptions!$Q$37,0),0)</f>
        <v>0</v>
      </c>
      <c r="BJ145" s="242">
        <f>IF(Assumptions!$Q$33="Yes",IF(BJ$6=Assumptions!$P$36,Assumptions!$Q$37,0),0)</f>
        <v>0</v>
      </c>
      <c r="BK145" s="242">
        <f>IF(Assumptions!$Q$33="Yes",IF(BK$6=Assumptions!$P$36,Assumptions!$Q$37,0),0)</f>
        <v>0</v>
      </c>
      <c r="BL145" s="242">
        <f>IF(Assumptions!$Q$33="Yes",IF(BL$6=Assumptions!$P$36,Assumptions!$Q$37,0),0)</f>
        <v>0</v>
      </c>
      <c r="BM145" s="242">
        <f>IF(Assumptions!$Q$33="Yes",IF(BM$6=Assumptions!$P$36,Assumptions!$Q$37,0),0)</f>
        <v>0</v>
      </c>
      <c r="BN145" s="242">
        <f>IF(Assumptions!$Q$33="Yes",IF(BN$6=Assumptions!$P$36,Assumptions!$Q$37,0),0)</f>
        <v>0</v>
      </c>
      <c r="BO145" s="242">
        <f>IF(Assumptions!$Q$33="Yes",IF(BO$6=Assumptions!$P$36,Assumptions!$Q$37,0),0)</f>
        <v>0</v>
      </c>
      <c r="BP145" s="242">
        <f>IF(Assumptions!$Q$33="Yes",IF(BP$6=Assumptions!$P$36,Assumptions!$Q$37,0),0)</f>
        <v>0</v>
      </c>
      <c r="BQ145" s="242">
        <f>IF(Assumptions!$Q$33="Yes",IF(BQ$6=Assumptions!$P$36,Assumptions!$Q$37,0),0)</f>
        <v>0</v>
      </c>
      <c r="BR145" s="242">
        <f>IF(Assumptions!$Q$33="Yes",IF(BR$6=Assumptions!$P$36,Assumptions!$Q$37,0),0)</f>
        <v>0</v>
      </c>
      <c r="BS145" s="242">
        <f>IF(Assumptions!$Q$33="Yes",IF(BS$6=Assumptions!$P$36,Assumptions!$Q$37,0),0)</f>
        <v>0</v>
      </c>
      <c r="BT145" s="242">
        <f>IF(Assumptions!$Q$33="Yes",IF(BT$6=Assumptions!$P$36,Assumptions!$Q$37,0),0)</f>
        <v>0</v>
      </c>
      <c r="BU145" s="242">
        <f>IF(Assumptions!$Q$33="Yes",IF(BU$6=Assumptions!$P$36,Assumptions!$Q$37,0),0)</f>
        <v>0</v>
      </c>
      <c r="BV145" s="242">
        <f>IF(Assumptions!$Q$33="Yes",IF(BV$6=Assumptions!$P$36,Assumptions!$Q$37,0),0)</f>
        <v>0</v>
      </c>
      <c r="BW145" s="242">
        <f>IF(Assumptions!$Q$33="Yes",IF(BW$6=Assumptions!$P$36,Assumptions!$Q$37,0),0)</f>
        <v>0</v>
      </c>
      <c r="BX145" s="242">
        <f>IF(Assumptions!$Q$33="Yes",IF(BX$6=Assumptions!$P$36,Assumptions!$Q$37,0),0)</f>
        <v>0</v>
      </c>
      <c r="BY145" s="242">
        <f>IF(Assumptions!$Q$33="Yes",IF(BY$6=Assumptions!$P$36,Assumptions!$Q$37,0),0)</f>
        <v>0</v>
      </c>
      <c r="BZ145" s="242">
        <f>IF(Assumptions!$Q$33="Yes",IF(BZ$6=Assumptions!$P$36,Assumptions!$Q$37,0),0)</f>
        <v>0</v>
      </c>
      <c r="CA145" s="242">
        <f>IF(Assumptions!$Q$33="Yes",IF(CA$6=Assumptions!$P$36,Assumptions!$Q$37,0),0)</f>
        <v>0</v>
      </c>
      <c r="CB145" s="242">
        <f>IF(Assumptions!$Q$33="Yes",IF(CB$6=Assumptions!$P$36,Assumptions!$Q$37,0),0)</f>
        <v>0</v>
      </c>
      <c r="CC145" s="242">
        <f>IF(Assumptions!$Q$33="Yes",IF(CC$6=Assumptions!$P$36,Assumptions!$Q$37,0),0)</f>
        <v>0</v>
      </c>
      <c r="CD145" s="242">
        <f>IF(Assumptions!$Q$33="Yes",IF(CD$6=Assumptions!$P$36,Assumptions!$Q$37,0),0)</f>
        <v>0</v>
      </c>
      <c r="CE145" s="242">
        <f>IF(Assumptions!$Q$33="Yes",IF(CE$6=Assumptions!$P$36,Assumptions!$Q$37,0),0)</f>
        <v>0</v>
      </c>
      <c r="CF145" s="242">
        <f>IF(Assumptions!$Q$33="Yes",IF(CF$6=Assumptions!$P$36,Assumptions!$Q$37,0),0)</f>
        <v>0</v>
      </c>
      <c r="CG145" s="242">
        <f>IF(Assumptions!$Q$33="Yes",IF(CG$6=Assumptions!$P$36,Assumptions!$Q$37,0),0)</f>
        <v>0</v>
      </c>
      <c r="CH145" s="242">
        <f>IF(Assumptions!$Q$33="Yes",IF(CH$6=Assumptions!$P$36,Assumptions!$Q$37,0),0)</f>
        <v>0</v>
      </c>
      <c r="CI145" s="242">
        <f>IF(Assumptions!$Q$33="Yes",IF(CI$6=Assumptions!$P$36,Assumptions!$Q$37,0),0)</f>
        <v>0</v>
      </c>
      <c r="CJ145" s="242">
        <f>IF(Assumptions!$Q$33="Yes",IF(CJ$6=Assumptions!$P$36,Assumptions!$Q$37,0),0)</f>
        <v>0</v>
      </c>
      <c r="CK145" s="242">
        <f>IF(Assumptions!$Q$33="Yes",IF(CK$6=Assumptions!$P$36,Assumptions!$Q$37,0),0)</f>
        <v>0</v>
      </c>
      <c r="CL145" s="242">
        <f>IF(Assumptions!$Q$33="Yes",IF(CL$6=Assumptions!$P$36,Assumptions!$Q$37,0),0)</f>
        <v>0</v>
      </c>
      <c r="CM145" s="242">
        <f>IF(Assumptions!$Q$33="Yes",IF(CM$6=Assumptions!$P$36,Assumptions!$Q$37,0),0)</f>
        <v>0</v>
      </c>
      <c r="CN145" s="242">
        <f>IF(Assumptions!$Q$33="Yes",IF(CN$6=Assumptions!$P$36,Assumptions!$Q$37,0),0)</f>
        <v>0</v>
      </c>
      <c r="CO145" s="242">
        <f>IF(Assumptions!$Q$33="Yes",IF(CO$6=Assumptions!$P$36,Assumptions!$Q$37,0),0)</f>
        <v>0</v>
      </c>
      <c r="CP145" s="242">
        <f>IF(Assumptions!$Q$33="Yes",IF(CP$6=Assumptions!$P$36,Assumptions!$Q$37,0),0)</f>
        <v>0</v>
      </c>
      <c r="CQ145" s="242">
        <f>IF(Assumptions!$Q$33="Yes",IF(CQ$6=Assumptions!$P$36,Assumptions!$Q$37,0),0)</f>
        <v>0</v>
      </c>
      <c r="CR145" s="242">
        <f>IF(Assumptions!$Q$33="Yes",IF(CR$6=Assumptions!$P$36,Assumptions!$Q$37,0),0)</f>
        <v>0</v>
      </c>
      <c r="CS145" s="242">
        <f>IF(Assumptions!$Q$33="Yes",IF(CS$6=Assumptions!$P$36,Assumptions!$Q$37,0),0)</f>
        <v>0</v>
      </c>
      <c r="CT145" s="242">
        <f>IF(Assumptions!$Q$33="Yes",IF(CT$6=Assumptions!$P$36,Assumptions!$Q$37,0),0)</f>
        <v>0</v>
      </c>
      <c r="CU145" s="242">
        <f>IF(Assumptions!$Q$33="Yes",IF(CU$6=Assumptions!$P$36,Assumptions!$Q$37,0),0)</f>
        <v>0</v>
      </c>
      <c r="CV145" s="242">
        <f>IF(Assumptions!$Q$33="Yes",IF(CV$6=Assumptions!$P$36,Assumptions!$Q$37,0),0)</f>
        <v>0</v>
      </c>
      <c r="CW145" s="242">
        <f>IF(Assumptions!$Q$33="Yes",IF(CW$6=Assumptions!$P$36,Assumptions!$Q$37,0),0)</f>
        <v>0</v>
      </c>
      <c r="CX145" s="242">
        <f>IF(Assumptions!$Q$33="Yes",IF(CX$6=Assumptions!$P$36,Assumptions!$Q$37,0),0)</f>
        <v>0</v>
      </c>
      <c r="CY145" s="242">
        <f>IF(Assumptions!$Q$33="Yes",IF(CY$6=Assumptions!$P$36,Assumptions!$Q$37,0),0)</f>
        <v>0</v>
      </c>
      <c r="CZ145" s="242">
        <f>IF(Assumptions!$Q$33="Yes",IF(CZ$6=Assumptions!$P$36,Assumptions!$Q$37,0),0)</f>
        <v>0</v>
      </c>
      <c r="DA145" s="242">
        <f>IF(Assumptions!$Q$33="Yes",IF(DA$6=Assumptions!$P$36,Assumptions!$Q$37,0),0)</f>
        <v>0</v>
      </c>
      <c r="DB145" s="242">
        <f>IF(Assumptions!$Q$33="Yes",IF(DB$6=Assumptions!$P$36,Assumptions!$Q$37,0),0)</f>
        <v>0</v>
      </c>
      <c r="DC145" s="242">
        <f>IF(Assumptions!$Q$33="Yes",IF(DC$6=Assumptions!$P$36,Assumptions!$Q$37,0),0)</f>
        <v>0</v>
      </c>
      <c r="DD145" s="242">
        <f>IF(Assumptions!$Q$33="Yes",IF(DD$6=Assumptions!$P$36,Assumptions!$Q$37,0),0)</f>
        <v>0</v>
      </c>
      <c r="DE145" s="242">
        <f>IF(Assumptions!$Q$33="Yes",IF(DE$6=Assumptions!$P$36,Assumptions!$Q$37,0),0)</f>
        <v>0</v>
      </c>
      <c r="DF145" s="242">
        <f>IF(Assumptions!$Q$33="Yes",IF(DF$6=Assumptions!$P$36,Assumptions!$Q$37,0),0)</f>
        <v>0</v>
      </c>
      <c r="DG145" s="242">
        <f>IF(Assumptions!$Q$33="Yes",IF(DG$6=Assumptions!$P$36,Assumptions!$Q$37,0),0)</f>
        <v>0</v>
      </c>
      <c r="DH145" s="242">
        <f>IF(Assumptions!$Q$33="Yes",IF(DH$6=Assumptions!$P$36,Assumptions!$Q$37,0),0)</f>
        <v>0</v>
      </c>
      <c r="DI145" s="242">
        <f>IF(Assumptions!$Q$33="Yes",IF(DI$6=Assumptions!$P$36,Assumptions!$Q$37,0),0)</f>
        <v>0</v>
      </c>
      <c r="DJ145" s="242">
        <f>IF(Assumptions!$Q$33="Yes",IF(DJ$6=Assumptions!$P$36,Assumptions!$Q$37,0),0)</f>
        <v>0</v>
      </c>
      <c r="DK145" s="242">
        <f>IF(Assumptions!$Q$33="Yes",IF(DK$6=Assumptions!$P$36,Assumptions!$Q$37,0),0)</f>
        <v>0</v>
      </c>
      <c r="DL145" s="242">
        <f>IF(Assumptions!$Q$33="Yes",IF(DL$6=Assumptions!$P$36,Assumptions!$Q$37,0),0)</f>
        <v>0</v>
      </c>
      <c r="DM145" s="242">
        <f>IF(Assumptions!$Q$33="Yes",IF(DM$6=Assumptions!$P$36,Assumptions!$Q$37,0),0)</f>
        <v>0</v>
      </c>
      <c r="DN145" s="242">
        <f>IF(Assumptions!$Q$33="Yes",IF(DN$6=Assumptions!$P$36,Assumptions!$Q$37,0),0)</f>
        <v>0</v>
      </c>
      <c r="DO145" s="242">
        <f>IF(Assumptions!$Q$33="Yes",IF(DO$6=Assumptions!$P$36,Assumptions!$Q$37,0),0)</f>
        <v>0</v>
      </c>
      <c r="DP145" s="242">
        <f>IF(Assumptions!$Q$33="Yes",IF(DP$6=Assumptions!$P$36,Assumptions!$Q$37,0),0)</f>
        <v>0</v>
      </c>
      <c r="DQ145" s="242">
        <f>IF(Assumptions!$Q$33="Yes",IF(DQ$6=Assumptions!$P$36,Assumptions!$Q$37,0),0)</f>
        <v>0</v>
      </c>
      <c r="DR145" s="242">
        <f>IF(Assumptions!$Q$33="Yes",IF(DR$6=Assumptions!$P$36,Assumptions!$Q$37,0),0)</f>
        <v>0</v>
      </c>
      <c r="DS145" s="242">
        <f>IF(Assumptions!$Q$33="Yes",IF(DS$6=Assumptions!$P$36,Assumptions!$Q$37,0),0)</f>
        <v>0</v>
      </c>
      <c r="DT145" s="242">
        <f>IF(Assumptions!$Q$33="Yes",IF(DT$6=Assumptions!$P$36,Assumptions!$Q$37,0),0)</f>
        <v>0</v>
      </c>
      <c r="DU145" s="242">
        <f>IF(Assumptions!$Q$33="Yes",IF(DU$6=Assumptions!$P$36,Assumptions!$Q$37,0),0)</f>
        <v>0</v>
      </c>
      <c r="DV145" s="242">
        <f>IF(Assumptions!$Q$33="Yes",IF(DV$6=Assumptions!$P$36,Assumptions!$Q$37,0),0)</f>
        <v>0</v>
      </c>
      <c r="DW145" s="242">
        <f>IF(Assumptions!$Q$33="Yes",IF(DW$6=Assumptions!$P$36,Assumptions!$Q$37,0),0)</f>
        <v>0</v>
      </c>
      <c r="DX145" s="242">
        <f>IF(Assumptions!$Q$33="Yes",IF(DX$6=Assumptions!$P$36,Assumptions!$Q$37,0),0)</f>
        <v>0</v>
      </c>
      <c r="DY145" s="242">
        <f>IF(Assumptions!$Q$33="Yes",IF(DY$6=Assumptions!$P$36,Assumptions!$Q$37,0),0)</f>
        <v>0</v>
      </c>
      <c r="DZ145" s="242">
        <f>IF(Assumptions!$Q$33="Yes",IF(DZ$6=Assumptions!$P$36,Assumptions!$Q$37,0),0)</f>
        <v>0</v>
      </c>
      <c r="EA145" s="242">
        <f>IF(Assumptions!$Q$33="Yes",IF(EA$6=Assumptions!$P$36,Assumptions!$Q$37,0),0)</f>
        <v>0</v>
      </c>
      <c r="EB145" s="242">
        <f>IF(Assumptions!$Q$33="Yes",IF(EB$6=Assumptions!$P$36,Assumptions!$Q$37,0),0)</f>
        <v>0</v>
      </c>
      <c r="EC145" s="242">
        <f>IF(Assumptions!$Q$33="Yes",IF(EC$6=Assumptions!$P$36,Assumptions!$Q$37,0),0)</f>
        <v>0</v>
      </c>
      <c r="ED145" s="242">
        <f>IF(Assumptions!$Q$33="Yes",IF(ED$6=Assumptions!$P$36,Assumptions!$Q$37,0),0)</f>
        <v>0</v>
      </c>
      <c r="EE145" s="242">
        <f>IF(Assumptions!$Q$33="Yes",IF(EE$6=Assumptions!$P$36,Assumptions!$Q$37,0),0)</f>
        <v>0</v>
      </c>
      <c r="EF145" s="242">
        <f>IF(Assumptions!$Q$33="Yes",IF(EF$6=Assumptions!$P$36,Assumptions!$Q$37,0),0)</f>
        <v>0</v>
      </c>
      <c r="EG145" s="242">
        <f>IF(Assumptions!$Q$33="Yes",IF(EG$6=Assumptions!$P$36,Assumptions!$Q$37,0),0)</f>
        <v>0</v>
      </c>
      <c r="EH145" s="242">
        <f>IF(Assumptions!$Q$33="Yes",IF(EH$6=Assumptions!$P$36,Assumptions!$Q$37,0),0)</f>
        <v>0</v>
      </c>
      <c r="EI145" s="242">
        <f>IF(Assumptions!$Q$33="Yes",IF(EI$6=Assumptions!$P$36,Assumptions!$Q$37,0),0)</f>
        <v>0</v>
      </c>
      <c r="EJ145" s="242">
        <f>IF(Assumptions!$Q$33="Yes",IF(EJ$6=Assumptions!$P$36,Assumptions!$Q$37,0),0)</f>
        <v>0</v>
      </c>
      <c r="EK145" s="242">
        <f>IF(Assumptions!$Q$33="Yes",IF(EK$6=Assumptions!$P$36,Assumptions!$Q$37,0),0)</f>
        <v>0</v>
      </c>
      <c r="EL145" s="242">
        <f>IF(Assumptions!$Q$33="Yes",IF(EL$6=Assumptions!$P$36,Assumptions!$Q$37,0),0)</f>
        <v>0</v>
      </c>
      <c r="EM145" s="242">
        <f>IF(Assumptions!$Q$33="Yes",IF(EM$6=Assumptions!$P$36,Assumptions!$Q$37,0),0)</f>
        <v>0</v>
      </c>
      <c r="EN145" s="242">
        <f>IF(Assumptions!$Q$33="Yes",IF(EN$6=Assumptions!$P$36,Assumptions!$Q$37,0),0)</f>
        <v>0</v>
      </c>
      <c r="EO145" s="242">
        <f>IF(Assumptions!$Q$33="Yes",IF(EO$6=Assumptions!$P$36,Assumptions!$Q$37,0),0)</f>
        <v>0</v>
      </c>
      <c r="EP145" s="242">
        <f>IF(Assumptions!$Q$33="Yes",IF(EP$6=Assumptions!$P$36,Assumptions!$Q$37,0),0)</f>
        <v>0</v>
      </c>
      <c r="EQ145" s="242">
        <f>IF(Assumptions!$Q$33="Yes",IF(EQ$6=Assumptions!$P$36,Assumptions!$Q$37,0),0)</f>
        <v>0</v>
      </c>
      <c r="ER145" s="242">
        <f>IF(Assumptions!$Q$33="Yes",IF(ER$6=Assumptions!$P$36,Assumptions!$Q$37,0),0)</f>
        <v>0</v>
      </c>
      <c r="ES145" s="242">
        <f>IF(Assumptions!$Q$33="Yes",IF(ES$6=Assumptions!$P$36,Assumptions!$Q$37,0),0)</f>
        <v>0</v>
      </c>
      <c r="ET145" s="242">
        <f>IF(Assumptions!$Q$33="Yes",IF(ET$6=Assumptions!$P$36,Assumptions!$Q$37,0),0)</f>
        <v>0</v>
      </c>
    </row>
    <row r="146" spans="2:150" x14ac:dyDescent="0.2">
      <c r="B146" t="s">
        <v>102</v>
      </c>
      <c r="F146" s="242">
        <f>IF(Assumptions!$Q$33="Yes",IF(F$6=Assumptions!$P$36,Assumptions!$Q$38,0),0)</f>
        <v>0</v>
      </c>
      <c r="G146" s="242">
        <f>IF(Assumptions!$Q$33="Yes",IF(G$6=Assumptions!$P$36,Assumptions!$Q$38,0),0)</f>
        <v>0</v>
      </c>
      <c r="H146" s="242">
        <f>IF(Assumptions!$Q$33="Yes",IF(H$6=Assumptions!$P$36,Assumptions!$Q$38,0),0)</f>
        <v>0</v>
      </c>
      <c r="I146" s="242">
        <f>IF(Assumptions!$Q$33="Yes",IF(I$6=Assumptions!$P$36,Assumptions!$Q$38,0),0)</f>
        <v>0</v>
      </c>
      <c r="J146" s="242">
        <f>IF(Assumptions!$Q$33="Yes",IF(J$6=Assumptions!$P$36,Assumptions!$Q$38,0),0)</f>
        <v>0</v>
      </c>
      <c r="K146" s="242">
        <f>IF(Assumptions!$Q$33="Yes",IF(K$6=Assumptions!$P$36,Assumptions!$Q$38,0),0)</f>
        <v>0</v>
      </c>
      <c r="L146" s="242">
        <f>IF(Assumptions!$Q$33="Yes",IF(L$6=Assumptions!$P$36,Assumptions!$Q$38,0),0)</f>
        <v>0</v>
      </c>
      <c r="M146" s="242">
        <f>IF(Assumptions!$Q$33="Yes",IF(M$6=Assumptions!$P$36,Assumptions!$Q$38,0),0)</f>
        <v>0</v>
      </c>
      <c r="N146" s="242">
        <f>IF(Assumptions!$Q$33="Yes",IF(N$6=Assumptions!$P$36,Assumptions!$Q$38,0),0)</f>
        <v>0</v>
      </c>
      <c r="O146" s="242">
        <f>IF(Assumptions!$Q$33="Yes",IF(O$6=Assumptions!$P$36,Assumptions!$Q$38,0),0)</f>
        <v>0</v>
      </c>
      <c r="P146" s="242">
        <f>IF(Assumptions!$Q$33="Yes",IF(P$6=Assumptions!$P$36,Assumptions!$Q$38,0),0)</f>
        <v>0</v>
      </c>
      <c r="Q146" s="242">
        <f>IF(Assumptions!$Q$33="Yes",IF(Q$6=Assumptions!$P$36,Assumptions!$Q$38,0),0)</f>
        <v>0</v>
      </c>
      <c r="R146" s="242">
        <f>IF(Assumptions!$Q$33="Yes",IF(R$6=Assumptions!$P$36,Assumptions!$Q$38,0),0)</f>
        <v>0</v>
      </c>
      <c r="S146" s="242">
        <f>IF(Assumptions!$Q$33="Yes",IF(S$6=Assumptions!$P$36,Assumptions!$Q$38,0),0)</f>
        <v>0</v>
      </c>
      <c r="T146" s="242">
        <f>IF(Assumptions!$Q$33="Yes",IF(T$6=Assumptions!$P$36,Assumptions!$Q$38,0),0)</f>
        <v>0</v>
      </c>
      <c r="U146" s="242">
        <f>IF(Assumptions!$Q$33="Yes",IF(U$6=Assumptions!$P$36,Assumptions!$Q$38,0),0)</f>
        <v>0</v>
      </c>
      <c r="V146" s="242">
        <f>IF(Assumptions!$Q$33="Yes",IF(V$6=Assumptions!$P$36,Assumptions!$Q$38,0),0)</f>
        <v>0</v>
      </c>
      <c r="W146" s="242">
        <f>IF(Assumptions!$Q$33="Yes",IF(W$6=Assumptions!$P$36,Assumptions!$Q$38,0),0)</f>
        <v>0</v>
      </c>
      <c r="X146" s="242">
        <f>IF(Assumptions!$Q$33="Yes",IF(X$6=Assumptions!$P$36,Assumptions!$Q$38,0),0)</f>
        <v>0</v>
      </c>
      <c r="Y146" s="242">
        <f>IF(Assumptions!$Q$33="Yes",IF(Y$6=Assumptions!$P$36,Assumptions!$Q$38,0),0)</f>
        <v>0</v>
      </c>
      <c r="Z146" s="242">
        <f>IF(Assumptions!$Q$33="Yes",IF(Z$6=Assumptions!$P$36,Assumptions!$Q$38,0),0)</f>
        <v>0</v>
      </c>
      <c r="AA146" s="242">
        <f>IF(Assumptions!$Q$33="Yes",IF(AA$6=Assumptions!$P$36,Assumptions!$Q$38,0),0)</f>
        <v>0</v>
      </c>
      <c r="AB146" s="242">
        <f>IF(Assumptions!$Q$33="Yes",IF(AB$6=Assumptions!$P$36,Assumptions!$Q$38,0),0)</f>
        <v>0</v>
      </c>
      <c r="AC146" s="242">
        <f>IF(Assumptions!$Q$33="Yes",IF(AC$6=Assumptions!$P$36,Assumptions!$Q$38,0),0)</f>
        <v>0</v>
      </c>
      <c r="AD146" s="242">
        <f>IF(Assumptions!$Q$33="Yes",IF(AD$6=Assumptions!$P$36,Assumptions!$Q$38,0),0)</f>
        <v>0</v>
      </c>
      <c r="AE146" s="242">
        <f>IF(Assumptions!$Q$33="Yes",IF(AE$6=Assumptions!$P$36,Assumptions!$Q$38,0),0)</f>
        <v>0</v>
      </c>
      <c r="AF146" s="242">
        <f>IF(Assumptions!$Q$33="Yes",IF(AF$6=Assumptions!$P$36,Assumptions!$Q$38,0),0)</f>
        <v>0</v>
      </c>
      <c r="AG146" s="242">
        <f>IF(Assumptions!$Q$33="Yes",IF(AG$6=Assumptions!$P$36,Assumptions!$Q$38,0),0)</f>
        <v>0</v>
      </c>
      <c r="AH146" s="242">
        <f>IF(Assumptions!$Q$33="Yes",IF(AH$6=Assumptions!$P$36,Assumptions!$Q$38,0),0)</f>
        <v>0</v>
      </c>
      <c r="AI146" s="242">
        <f>IF(Assumptions!$Q$33="Yes",IF(AI$6=Assumptions!$P$36,Assumptions!$Q$38,0),0)</f>
        <v>0</v>
      </c>
      <c r="AJ146" s="242">
        <f>IF(Assumptions!$Q$33="Yes",IF(AJ$6=Assumptions!$P$36,Assumptions!$Q$38,0),0)</f>
        <v>0</v>
      </c>
      <c r="AK146" s="242">
        <f>IF(Assumptions!$Q$33="Yes",IF(AK$6=Assumptions!$P$36,Assumptions!$Q$38,0),0)</f>
        <v>0</v>
      </c>
      <c r="AL146" s="242">
        <f>IF(Assumptions!$Q$33="Yes",IF(AL$6=Assumptions!$P$36,Assumptions!$Q$38,0),0)</f>
        <v>0</v>
      </c>
      <c r="AM146" s="242">
        <f>IF(Assumptions!$Q$33="Yes",IF(AM$6=Assumptions!$P$36,Assumptions!$Q$38,0),0)</f>
        <v>0</v>
      </c>
      <c r="AN146" s="242">
        <f>IF(Assumptions!$Q$33="Yes",IF(AN$6=Assumptions!$P$36,Assumptions!$Q$38,0),0)</f>
        <v>0</v>
      </c>
      <c r="AO146" s="242">
        <f>IF(Assumptions!$Q$33="Yes",IF(AO$6=Assumptions!$P$36,Assumptions!$Q$38,0),0)</f>
        <v>0</v>
      </c>
      <c r="AP146" s="242">
        <f>IF(Assumptions!$Q$33="Yes",IF(AP$6=Assumptions!$P$36,Assumptions!$Q$38,0),0)</f>
        <v>0</v>
      </c>
      <c r="AQ146" s="242">
        <f>IF(Assumptions!$Q$33="Yes",IF(AQ$6=Assumptions!$P$36,Assumptions!$Q$38,0),0)</f>
        <v>0</v>
      </c>
      <c r="AR146" s="242">
        <f>IF(Assumptions!$Q$33="Yes",IF(AR$6=Assumptions!$P$36,Assumptions!$Q$38,0),0)</f>
        <v>0</v>
      </c>
      <c r="AS146" s="242">
        <f>IF(Assumptions!$Q$33="Yes",IF(AS$6=Assumptions!$P$36,Assumptions!$Q$38,0),0)</f>
        <v>0</v>
      </c>
      <c r="AT146" s="242">
        <f>IF(Assumptions!$Q$33="Yes",IF(AT$6=Assumptions!$P$36,Assumptions!$Q$38,0),0)</f>
        <v>0</v>
      </c>
      <c r="AU146" s="242">
        <f>IF(Assumptions!$Q$33="Yes",IF(AU$6=Assumptions!$P$36,Assumptions!$Q$38,0),0)</f>
        <v>0</v>
      </c>
      <c r="AV146" s="242">
        <f>IF(Assumptions!$Q$33="Yes",IF(AV$6=Assumptions!$P$36,Assumptions!$Q$38,0),0)</f>
        <v>0</v>
      </c>
      <c r="AW146" s="242">
        <f>IF(Assumptions!$Q$33="Yes",IF(AW$6=Assumptions!$P$36,Assumptions!$Q$38,0),0)</f>
        <v>0</v>
      </c>
      <c r="AX146" s="242">
        <f>IF(Assumptions!$Q$33="Yes",IF(AX$6=Assumptions!$P$36,Assumptions!$Q$38,0),0)</f>
        <v>0</v>
      </c>
      <c r="AY146" s="242">
        <f>IF(Assumptions!$Q$33="Yes",IF(AY$6=Assumptions!$P$36,Assumptions!$Q$38,0),0)</f>
        <v>0</v>
      </c>
      <c r="AZ146" s="242">
        <f>IF(Assumptions!$Q$33="Yes",IF(AZ$6=Assumptions!$P$36,Assumptions!$Q$38,0),0)</f>
        <v>0</v>
      </c>
      <c r="BA146" s="242">
        <f>IF(Assumptions!$Q$33="Yes",IF(BA$6=Assumptions!$P$36,Assumptions!$Q$38,0),0)</f>
        <v>0</v>
      </c>
      <c r="BB146" s="242">
        <f>IF(Assumptions!$Q$33="Yes",IF(BB$6=Assumptions!$P$36,Assumptions!$Q$38,0),0)</f>
        <v>0</v>
      </c>
      <c r="BC146" s="242">
        <f>IF(Assumptions!$Q$33="Yes",IF(BC$6=Assumptions!$P$36,Assumptions!$Q$38,0),0)</f>
        <v>0</v>
      </c>
      <c r="BD146" s="242">
        <f>IF(Assumptions!$Q$33="Yes",IF(BD$6=Assumptions!$P$36,Assumptions!$Q$38,0),0)</f>
        <v>0</v>
      </c>
      <c r="BE146" s="242">
        <f>IF(Assumptions!$Q$33="Yes",IF(BE$6=Assumptions!$P$36,Assumptions!$Q$38,0),0)</f>
        <v>0</v>
      </c>
      <c r="BF146" s="242">
        <f>IF(Assumptions!$Q$33="Yes",IF(BF$6=Assumptions!$P$36,Assumptions!$Q$38,0),0)</f>
        <v>0</v>
      </c>
      <c r="BG146" s="242">
        <f>IF(Assumptions!$Q$33="Yes",IF(BG$6=Assumptions!$P$36,Assumptions!$Q$38,0),0)</f>
        <v>0</v>
      </c>
      <c r="BH146" s="242">
        <f>IF(Assumptions!$Q$33="Yes",IF(BH$6=Assumptions!$P$36,Assumptions!$Q$38,0),0)</f>
        <v>0</v>
      </c>
      <c r="BI146" s="242">
        <f>IF(Assumptions!$Q$33="Yes",IF(BI$6=Assumptions!$P$36,Assumptions!$Q$38,0),0)</f>
        <v>0</v>
      </c>
      <c r="BJ146" s="242">
        <f>IF(Assumptions!$Q$33="Yes",IF(BJ$6=Assumptions!$P$36,Assumptions!$Q$38,0),0)</f>
        <v>0</v>
      </c>
      <c r="BK146" s="242">
        <f>IF(Assumptions!$Q$33="Yes",IF(BK$6=Assumptions!$P$36,Assumptions!$Q$38,0),0)</f>
        <v>0</v>
      </c>
      <c r="BL146" s="242">
        <f>IF(Assumptions!$Q$33="Yes",IF(BL$6=Assumptions!$P$36,Assumptions!$Q$38,0),0)</f>
        <v>0</v>
      </c>
      <c r="BM146" s="242">
        <f>IF(Assumptions!$Q$33="Yes",IF(BM$6=Assumptions!$P$36,Assumptions!$Q$38,0),0)</f>
        <v>0</v>
      </c>
      <c r="BN146" s="242">
        <f>IF(Assumptions!$Q$33="Yes",IF(BN$6=Assumptions!$P$36,Assumptions!$Q$38,0),0)</f>
        <v>0</v>
      </c>
      <c r="BO146" s="242">
        <f>IF(Assumptions!$Q$33="Yes",IF(BO$6=Assumptions!$P$36,Assumptions!$Q$38,0),0)</f>
        <v>0</v>
      </c>
      <c r="BP146" s="242">
        <f>IF(Assumptions!$Q$33="Yes",IF(BP$6=Assumptions!$P$36,Assumptions!$Q$38,0),0)</f>
        <v>0</v>
      </c>
      <c r="BQ146" s="242">
        <f>IF(Assumptions!$Q$33="Yes",IF(BQ$6=Assumptions!$P$36,Assumptions!$Q$38,0),0)</f>
        <v>0</v>
      </c>
      <c r="BR146" s="242">
        <f>IF(Assumptions!$Q$33="Yes",IF(BR$6=Assumptions!$P$36,Assumptions!$Q$38,0),0)</f>
        <v>0</v>
      </c>
      <c r="BS146" s="242">
        <f>IF(Assumptions!$Q$33="Yes",IF(BS$6=Assumptions!$P$36,Assumptions!$Q$38,0),0)</f>
        <v>0</v>
      </c>
      <c r="BT146" s="242">
        <f>IF(Assumptions!$Q$33="Yes",IF(BT$6=Assumptions!$P$36,Assumptions!$Q$38,0),0)</f>
        <v>0</v>
      </c>
      <c r="BU146" s="242">
        <f>IF(Assumptions!$Q$33="Yes",IF(BU$6=Assumptions!$P$36,Assumptions!$Q$38,0),0)</f>
        <v>0</v>
      </c>
      <c r="BV146" s="242">
        <f>IF(Assumptions!$Q$33="Yes",IF(BV$6=Assumptions!$P$36,Assumptions!$Q$38,0),0)</f>
        <v>0</v>
      </c>
      <c r="BW146" s="242">
        <f>IF(Assumptions!$Q$33="Yes",IF(BW$6=Assumptions!$P$36,Assumptions!$Q$38,0),0)</f>
        <v>0</v>
      </c>
      <c r="BX146" s="242">
        <f>IF(Assumptions!$Q$33="Yes",IF(BX$6=Assumptions!$P$36,Assumptions!$Q$38,0),0)</f>
        <v>0</v>
      </c>
      <c r="BY146" s="242">
        <f>IF(Assumptions!$Q$33="Yes",IF(BY$6=Assumptions!$P$36,Assumptions!$Q$38,0),0)</f>
        <v>0</v>
      </c>
      <c r="BZ146" s="242">
        <f>IF(Assumptions!$Q$33="Yes",IF(BZ$6=Assumptions!$P$36,Assumptions!$Q$38,0),0)</f>
        <v>0</v>
      </c>
      <c r="CA146" s="242">
        <f>IF(Assumptions!$Q$33="Yes",IF(CA$6=Assumptions!$P$36,Assumptions!$Q$38,0),0)</f>
        <v>0</v>
      </c>
      <c r="CB146" s="242">
        <f>IF(Assumptions!$Q$33="Yes",IF(CB$6=Assumptions!$P$36,Assumptions!$Q$38,0),0)</f>
        <v>0</v>
      </c>
      <c r="CC146" s="242">
        <f>IF(Assumptions!$Q$33="Yes",IF(CC$6=Assumptions!$P$36,Assumptions!$Q$38,0),0)</f>
        <v>0</v>
      </c>
      <c r="CD146" s="242">
        <f>IF(Assumptions!$Q$33="Yes",IF(CD$6=Assumptions!$P$36,Assumptions!$Q$38,0),0)</f>
        <v>0</v>
      </c>
      <c r="CE146" s="242">
        <f>IF(Assumptions!$Q$33="Yes",IF(CE$6=Assumptions!$P$36,Assumptions!$Q$38,0),0)</f>
        <v>0</v>
      </c>
      <c r="CF146" s="242">
        <f>IF(Assumptions!$Q$33="Yes",IF(CF$6=Assumptions!$P$36,Assumptions!$Q$38,0),0)</f>
        <v>0</v>
      </c>
      <c r="CG146" s="242">
        <f>IF(Assumptions!$Q$33="Yes",IF(CG$6=Assumptions!$P$36,Assumptions!$Q$38,0),0)</f>
        <v>0</v>
      </c>
      <c r="CH146" s="242">
        <f>IF(Assumptions!$Q$33="Yes",IF(CH$6=Assumptions!$P$36,Assumptions!$Q$38,0),0)</f>
        <v>0</v>
      </c>
      <c r="CI146" s="242">
        <f>IF(Assumptions!$Q$33="Yes",IF(CI$6=Assumptions!$P$36,Assumptions!$Q$38,0),0)</f>
        <v>0</v>
      </c>
      <c r="CJ146" s="242">
        <f>IF(Assumptions!$Q$33="Yes",IF(CJ$6=Assumptions!$P$36,Assumptions!$Q$38,0),0)</f>
        <v>0</v>
      </c>
      <c r="CK146" s="242">
        <f>IF(Assumptions!$Q$33="Yes",IF(CK$6=Assumptions!$P$36,Assumptions!$Q$38,0),0)</f>
        <v>0</v>
      </c>
      <c r="CL146" s="242">
        <f>IF(Assumptions!$Q$33="Yes",IF(CL$6=Assumptions!$P$36,Assumptions!$Q$38,0),0)</f>
        <v>0</v>
      </c>
      <c r="CM146" s="242">
        <f>IF(Assumptions!$Q$33="Yes",IF(CM$6=Assumptions!$P$36,Assumptions!$Q$38,0),0)</f>
        <v>0</v>
      </c>
      <c r="CN146" s="242">
        <f>IF(Assumptions!$Q$33="Yes",IF(CN$6=Assumptions!$P$36,Assumptions!$Q$38,0),0)</f>
        <v>0</v>
      </c>
      <c r="CO146" s="242">
        <f>IF(Assumptions!$Q$33="Yes",IF(CO$6=Assumptions!$P$36,Assumptions!$Q$38,0),0)</f>
        <v>0</v>
      </c>
      <c r="CP146" s="242">
        <f>IF(Assumptions!$Q$33="Yes",IF(CP$6=Assumptions!$P$36,Assumptions!$Q$38,0),0)</f>
        <v>0</v>
      </c>
      <c r="CQ146" s="242">
        <f>IF(Assumptions!$Q$33="Yes",IF(CQ$6=Assumptions!$P$36,Assumptions!$Q$38,0),0)</f>
        <v>0</v>
      </c>
      <c r="CR146" s="242">
        <f>IF(Assumptions!$Q$33="Yes",IF(CR$6=Assumptions!$P$36,Assumptions!$Q$38,0),0)</f>
        <v>0</v>
      </c>
      <c r="CS146" s="242">
        <f>IF(Assumptions!$Q$33="Yes",IF(CS$6=Assumptions!$P$36,Assumptions!$Q$38,0),0)</f>
        <v>0</v>
      </c>
      <c r="CT146" s="242">
        <f>IF(Assumptions!$Q$33="Yes",IF(CT$6=Assumptions!$P$36,Assumptions!$Q$38,0),0)</f>
        <v>0</v>
      </c>
      <c r="CU146" s="242">
        <f>IF(Assumptions!$Q$33="Yes",IF(CU$6=Assumptions!$P$36,Assumptions!$Q$38,0),0)</f>
        <v>0</v>
      </c>
      <c r="CV146" s="242">
        <f>IF(Assumptions!$Q$33="Yes",IF(CV$6=Assumptions!$P$36,Assumptions!$Q$38,0),0)</f>
        <v>0</v>
      </c>
      <c r="CW146" s="242">
        <f>IF(Assumptions!$Q$33="Yes",IF(CW$6=Assumptions!$P$36,Assumptions!$Q$38,0),0)</f>
        <v>0</v>
      </c>
      <c r="CX146" s="242">
        <f>IF(Assumptions!$Q$33="Yes",IF(CX$6=Assumptions!$P$36,Assumptions!$Q$38,0),0)</f>
        <v>0</v>
      </c>
      <c r="CY146" s="242">
        <f>IF(Assumptions!$Q$33="Yes",IF(CY$6=Assumptions!$P$36,Assumptions!$Q$38,0),0)</f>
        <v>0</v>
      </c>
      <c r="CZ146" s="242">
        <f>IF(Assumptions!$Q$33="Yes",IF(CZ$6=Assumptions!$P$36,Assumptions!$Q$38,0),0)</f>
        <v>0</v>
      </c>
      <c r="DA146" s="242">
        <f>IF(Assumptions!$Q$33="Yes",IF(DA$6=Assumptions!$P$36,Assumptions!$Q$38,0),0)</f>
        <v>0</v>
      </c>
      <c r="DB146" s="242">
        <f>IF(Assumptions!$Q$33="Yes",IF(DB$6=Assumptions!$P$36,Assumptions!$Q$38,0),0)</f>
        <v>0</v>
      </c>
      <c r="DC146" s="242">
        <f>IF(Assumptions!$Q$33="Yes",IF(DC$6=Assumptions!$P$36,Assumptions!$Q$38,0),0)</f>
        <v>0</v>
      </c>
      <c r="DD146" s="242">
        <f>IF(Assumptions!$Q$33="Yes",IF(DD$6=Assumptions!$P$36,Assumptions!$Q$38,0),0)</f>
        <v>0</v>
      </c>
      <c r="DE146" s="242">
        <f>IF(Assumptions!$Q$33="Yes",IF(DE$6=Assumptions!$P$36,Assumptions!$Q$38,0),0)</f>
        <v>0</v>
      </c>
      <c r="DF146" s="242">
        <f>IF(Assumptions!$Q$33="Yes",IF(DF$6=Assumptions!$P$36,Assumptions!$Q$38,0),0)</f>
        <v>0</v>
      </c>
      <c r="DG146" s="242">
        <f>IF(Assumptions!$Q$33="Yes",IF(DG$6=Assumptions!$P$36,Assumptions!$Q$38,0),0)</f>
        <v>0</v>
      </c>
      <c r="DH146" s="242">
        <f>IF(Assumptions!$Q$33="Yes",IF(DH$6=Assumptions!$P$36,Assumptions!$Q$38,0),0)</f>
        <v>0</v>
      </c>
      <c r="DI146" s="242">
        <f>IF(Assumptions!$Q$33="Yes",IF(DI$6=Assumptions!$P$36,Assumptions!$Q$38,0),0)</f>
        <v>0</v>
      </c>
      <c r="DJ146" s="242">
        <f>IF(Assumptions!$Q$33="Yes",IF(DJ$6=Assumptions!$P$36,Assumptions!$Q$38,0),0)</f>
        <v>0</v>
      </c>
      <c r="DK146" s="242">
        <f>IF(Assumptions!$Q$33="Yes",IF(DK$6=Assumptions!$P$36,Assumptions!$Q$38,0),0)</f>
        <v>0</v>
      </c>
      <c r="DL146" s="242">
        <f>IF(Assumptions!$Q$33="Yes",IF(DL$6=Assumptions!$P$36,Assumptions!$Q$38,0),0)</f>
        <v>0</v>
      </c>
      <c r="DM146" s="242">
        <f>IF(Assumptions!$Q$33="Yes",IF(DM$6=Assumptions!$P$36,Assumptions!$Q$38,0),0)</f>
        <v>0</v>
      </c>
      <c r="DN146" s="242">
        <f>IF(Assumptions!$Q$33="Yes",IF(DN$6=Assumptions!$P$36,Assumptions!$Q$38,0),0)</f>
        <v>0</v>
      </c>
      <c r="DO146" s="242">
        <f>IF(Assumptions!$Q$33="Yes",IF(DO$6=Assumptions!$P$36,Assumptions!$Q$38,0),0)</f>
        <v>0</v>
      </c>
      <c r="DP146" s="242">
        <f>IF(Assumptions!$Q$33="Yes",IF(DP$6=Assumptions!$P$36,Assumptions!$Q$38,0),0)</f>
        <v>0</v>
      </c>
      <c r="DQ146" s="242">
        <f>IF(Assumptions!$Q$33="Yes",IF(DQ$6=Assumptions!$P$36,Assumptions!$Q$38,0),0)</f>
        <v>0</v>
      </c>
      <c r="DR146" s="242">
        <f>IF(Assumptions!$Q$33="Yes",IF(DR$6=Assumptions!$P$36,Assumptions!$Q$38,0),0)</f>
        <v>0</v>
      </c>
      <c r="DS146" s="242">
        <f>IF(Assumptions!$Q$33="Yes",IF(DS$6=Assumptions!$P$36,Assumptions!$Q$38,0),0)</f>
        <v>0</v>
      </c>
      <c r="DT146" s="242">
        <f>IF(Assumptions!$Q$33="Yes",IF(DT$6=Assumptions!$P$36,Assumptions!$Q$38,0),0)</f>
        <v>0</v>
      </c>
      <c r="DU146" s="242">
        <f>IF(Assumptions!$Q$33="Yes",IF(DU$6=Assumptions!$P$36,Assumptions!$Q$38,0),0)</f>
        <v>0</v>
      </c>
      <c r="DV146" s="242">
        <f>IF(Assumptions!$Q$33="Yes",IF(DV$6=Assumptions!$P$36,Assumptions!$Q$38,0),0)</f>
        <v>0</v>
      </c>
      <c r="DW146" s="242">
        <f>IF(Assumptions!$Q$33="Yes",IF(DW$6=Assumptions!$P$36,Assumptions!$Q$38,0),0)</f>
        <v>0</v>
      </c>
      <c r="DX146" s="242">
        <f>IF(Assumptions!$Q$33="Yes",IF(DX$6=Assumptions!$P$36,Assumptions!$Q$38,0),0)</f>
        <v>0</v>
      </c>
      <c r="DY146" s="242">
        <f>IF(Assumptions!$Q$33="Yes",IF(DY$6=Assumptions!$P$36,Assumptions!$Q$38,0),0)</f>
        <v>0</v>
      </c>
      <c r="DZ146" s="242">
        <f>IF(Assumptions!$Q$33="Yes",IF(DZ$6=Assumptions!$P$36,Assumptions!$Q$38,0),0)</f>
        <v>0</v>
      </c>
      <c r="EA146" s="242">
        <f>IF(Assumptions!$Q$33="Yes",IF(EA$6=Assumptions!$P$36,Assumptions!$Q$38,0),0)</f>
        <v>0</v>
      </c>
      <c r="EB146" s="242">
        <f>IF(Assumptions!$Q$33="Yes",IF(EB$6=Assumptions!$P$36,Assumptions!$Q$38,0),0)</f>
        <v>0</v>
      </c>
      <c r="EC146" s="242">
        <f>IF(Assumptions!$Q$33="Yes",IF(EC$6=Assumptions!$P$36,Assumptions!$Q$38,0),0)</f>
        <v>0</v>
      </c>
      <c r="ED146" s="242">
        <f>IF(Assumptions!$Q$33="Yes",IF(ED$6=Assumptions!$P$36,Assumptions!$Q$38,0),0)</f>
        <v>0</v>
      </c>
      <c r="EE146" s="242">
        <f>IF(Assumptions!$Q$33="Yes",IF(EE$6=Assumptions!$P$36,Assumptions!$Q$38,0),0)</f>
        <v>0</v>
      </c>
      <c r="EF146" s="242">
        <f>IF(Assumptions!$Q$33="Yes",IF(EF$6=Assumptions!$P$36,Assumptions!$Q$38,0),0)</f>
        <v>0</v>
      </c>
      <c r="EG146" s="242">
        <f>IF(Assumptions!$Q$33="Yes",IF(EG$6=Assumptions!$P$36,Assumptions!$Q$38,0),0)</f>
        <v>0</v>
      </c>
      <c r="EH146" s="242">
        <f>IF(Assumptions!$Q$33="Yes",IF(EH$6=Assumptions!$P$36,Assumptions!$Q$38,0),0)</f>
        <v>0</v>
      </c>
      <c r="EI146" s="242">
        <f>IF(Assumptions!$Q$33="Yes",IF(EI$6=Assumptions!$P$36,Assumptions!$Q$38,0),0)</f>
        <v>0</v>
      </c>
      <c r="EJ146" s="242">
        <f>IF(Assumptions!$Q$33="Yes",IF(EJ$6=Assumptions!$P$36,Assumptions!$Q$38,0),0)</f>
        <v>0</v>
      </c>
      <c r="EK146" s="242">
        <f>IF(Assumptions!$Q$33="Yes",IF(EK$6=Assumptions!$P$36,Assumptions!$Q$38,0),0)</f>
        <v>0</v>
      </c>
      <c r="EL146" s="242">
        <f>IF(Assumptions!$Q$33="Yes",IF(EL$6=Assumptions!$P$36,Assumptions!$Q$38,0),0)</f>
        <v>0</v>
      </c>
      <c r="EM146" s="242">
        <f>IF(Assumptions!$Q$33="Yes",IF(EM$6=Assumptions!$P$36,Assumptions!$Q$38,0),0)</f>
        <v>0</v>
      </c>
      <c r="EN146" s="242">
        <f>IF(Assumptions!$Q$33="Yes",IF(EN$6=Assumptions!$P$36,Assumptions!$Q$38,0),0)</f>
        <v>0</v>
      </c>
      <c r="EO146" s="242">
        <f>IF(Assumptions!$Q$33="Yes",IF(EO$6=Assumptions!$P$36,Assumptions!$Q$38,0),0)</f>
        <v>0</v>
      </c>
      <c r="EP146" s="242">
        <f>IF(Assumptions!$Q$33="Yes",IF(EP$6=Assumptions!$P$36,Assumptions!$Q$38,0),0)</f>
        <v>0</v>
      </c>
      <c r="EQ146" s="242">
        <f>IF(Assumptions!$Q$33="Yes",IF(EQ$6=Assumptions!$P$36,Assumptions!$Q$38,0),0)</f>
        <v>0</v>
      </c>
      <c r="ER146" s="242">
        <f>IF(Assumptions!$Q$33="Yes",IF(ER$6=Assumptions!$P$36,Assumptions!$Q$38,0),0)</f>
        <v>0</v>
      </c>
      <c r="ES146" s="242">
        <f>IF(Assumptions!$Q$33="Yes",IF(ES$6=Assumptions!$P$36,Assumptions!$Q$38,0),0)</f>
        <v>0</v>
      </c>
      <c r="ET146" s="242">
        <f>IF(Assumptions!$Q$33="Yes",IF(ET$6=Assumptions!$P$36,Assumptions!$Q$38,0),0)</f>
        <v>0</v>
      </c>
    </row>
    <row r="147" spans="2:150" x14ac:dyDescent="0.2">
      <c r="B147" t="s">
        <v>174</v>
      </c>
      <c r="F147" s="242">
        <f>F144*Assumptions!$Q$41/12</f>
        <v>0</v>
      </c>
      <c r="G147" s="242">
        <f>G144*Assumptions!$Q$41/12</f>
        <v>0</v>
      </c>
      <c r="H147" s="242">
        <f>H144*Assumptions!$Q$41/12</f>
        <v>0</v>
      </c>
      <c r="I147" s="242">
        <f>I144*Assumptions!$Q$41/12</f>
        <v>0</v>
      </c>
      <c r="J147" s="242">
        <f>J144*Assumptions!$Q$41/12</f>
        <v>0</v>
      </c>
      <c r="K147" s="242">
        <f>K144*Assumptions!$Q$41/12</f>
        <v>0</v>
      </c>
      <c r="L147" s="242">
        <f>L144*Assumptions!$Q$41/12</f>
        <v>0</v>
      </c>
      <c r="M147" s="242">
        <f>M144*Assumptions!$Q$41/12</f>
        <v>0</v>
      </c>
      <c r="N147" s="242">
        <f>N144*Assumptions!$Q$41/12</f>
        <v>0</v>
      </c>
      <c r="O147" s="242">
        <f>O144*Assumptions!$Q$41/12</f>
        <v>0</v>
      </c>
      <c r="P147" s="242">
        <f>P144*Assumptions!$Q$41/12</f>
        <v>0</v>
      </c>
      <c r="Q147" s="242">
        <f>Q144*Assumptions!$Q$41/12</f>
        <v>0</v>
      </c>
      <c r="R147" s="242">
        <f>R144*Assumptions!$Q$41/12</f>
        <v>0</v>
      </c>
      <c r="S147" s="242">
        <f>S144*Assumptions!$Q$41/12</f>
        <v>0</v>
      </c>
      <c r="T147" s="242">
        <f>T144*Assumptions!$Q$41/12</f>
        <v>0</v>
      </c>
      <c r="U147" s="242">
        <f>U144*Assumptions!$Q$41/12</f>
        <v>0</v>
      </c>
      <c r="V147" s="242">
        <f>V144*Assumptions!$Q$41/12</f>
        <v>0</v>
      </c>
      <c r="W147" s="242">
        <f>W144*Assumptions!$Q$41/12</f>
        <v>0</v>
      </c>
      <c r="X147" s="242">
        <f>X144*Assumptions!$Q$41/12</f>
        <v>0</v>
      </c>
      <c r="Y147" s="242">
        <f>Y144*Assumptions!$Q$41/12</f>
        <v>0</v>
      </c>
      <c r="Z147" s="242">
        <f>Z144*Assumptions!$Q$41/12</f>
        <v>0</v>
      </c>
      <c r="AA147" s="242">
        <f>AA144*Assumptions!$Q$41/12</f>
        <v>0</v>
      </c>
      <c r="AB147" s="242">
        <f>AB144*Assumptions!$Q$41/12</f>
        <v>0</v>
      </c>
      <c r="AC147" s="242">
        <f>AC144*Assumptions!$Q$41/12</f>
        <v>0</v>
      </c>
      <c r="AD147" s="242">
        <f>AD144*Assumptions!$Q$41/12</f>
        <v>0</v>
      </c>
      <c r="AE147" s="242">
        <f>AE144*Assumptions!$Q$41/12</f>
        <v>0</v>
      </c>
      <c r="AF147" s="242">
        <f>AF144*Assumptions!$Q$41/12</f>
        <v>0</v>
      </c>
      <c r="AG147" s="242">
        <f>AG144*Assumptions!$Q$41/12</f>
        <v>0</v>
      </c>
      <c r="AH147" s="242">
        <f>AH144*Assumptions!$Q$41/12</f>
        <v>0</v>
      </c>
      <c r="AI147" s="242">
        <f>AI144*Assumptions!$Q$41/12</f>
        <v>0</v>
      </c>
      <c r="AJ147" s="242">
        <f>AJ144*Assumptions!$Q$41/12</f>
        <v>0</v>
      </c>
      <c r="AK147" s="242">
        <f>AK144*Assumptions!$Q$41/12</f>
        <v>0</v>
      </c>
      <c r="AL147" s="242">
        <f>AL144*Assumptions!$Q$41/12</f>
        <v>0</v>
      </c>
      <c r="AM147" s="242">
        <f>AM144*Assumptions!$Q$41/12</f>
        <v>0</v>
      </c>
      <c r="AN147" s="242">
        <f>AN144*Assumptions!$Q$41/12</f>
        <v>0</v>
      </c>
      <c r="AO147" s="242">
        <f>AO144*Assumptions!$Q$41/12</f>
        <v>0</v>
      </c>
      <c r="AP147" s="242">
        <f>AP144*Assumptions!$Q$41/12</f>
        <v>0</v>
      </c>
      <c r="AQ147" s="242">
        <f>AQ144*Assumptions!$Q$41/12</f>
        <v>0</v>
      </c>
      <c r="AR147" s="242">
        <f>AR144*Assumptions!$Q$41/12</f>
        <v>0</v>
      </c>
      <c r="AS147" s="242">
        <f>AS144*Assumptions!$Q$41/12</f>
        <v>0</v>
      </c>
      <c r="AT147" s="242">
        <f>AT144*Assumptions!$Q$41/12</f>
        <v>0</v>
      </c>
      <c r="AU147" s="242">
        <f>AU144*Assumptions!$Q$41/12</f>
        <v>0</v>
      </c>
      <c r="AV147" s="242">
        <f>AV144*Assumptions!$Q$41/12</f>
        <v>0</v>
      </c>
      <c r="AW147" s="242">
        <f>AW144*Assumptions!$Q$41/12</f>
        <v>0</v>
      </c>
      <c r="AX147" s="242">
        <f>AX144*Assumptions!$Q$41/12</f>
        <v>0</v>
      </c>
      <c r="AY147" s="242">
        <f>AY144*Assumptions!$Q$41/12</f>
        <v>0</v>
      </c>
      <c r="AZ147" s="242">
        <f>AZ144*Assumptions!$Q$41/12</f>
        <v>0</v>
      </c>
      <c r="BA147" s="242">
        <f>BA144*Assumptions!$Q$41/12</f>
        <v>0</v>
      </c>
      <c r="BB147" s="242">
        <f>BB144*Assumptions!$Q$41/12</f>
        <v>0</v>
      </c>
      <c r="BC147" s="242">
        <f>BC144*Assumptions!$Q$41/12</f>
        <v>0</v>
      </c>
      <c r="BD147" s="242">
        <f>BD144*Assumptions!$Q$41/12</f>
        <v>0</v>
      </c>
      <c r="BE147" s="242">
        <f>BE144*Assumptions!$Q$41/12</f>
        <v>0</v>
      </c>
      <c r="BF147" s="242">
        <f>BF144*Assumptions!$Q$41/12</f>
        <v>0</v>
      </c>
      <c r="BG147" s="242">
        <f>BG144*Assumptions!$Q$41/12</f>
        <v>0</v>
      </c>
      <c r="BH147" s="242">
        <f>BH144*Assumptions!$Q$41/12</f>
        <v>0</v>
      </c>
      <c r="BI147" s="242">
        <f>BI144*Assumptions!$Q$41/12</f>
        <v>0</v>
      </c>
      <c r="BJ147" s="242">
        <f>BJ144*Assumptions!$Q$41/12</f>
        <v>0</v>
      </c>
      <c r="BK147" s="242">
        <f>BK144*Assumptions!$Q$41/12</f>
        <v>0</v>
      </c>
      <c r="BL147" s="242">
        <f>BL144*Assumptions!$Q$41/12</f>
        <v>0</v>
      </c>
      <c r="BM147" s="242">
        <f>BM144*Assumptions!$Q$41/12</f>
        <v>0</v>
      </c>
      <c r="BN147" s="242">
        <f>BN144*Assumptions!$Q$41/12</f>
        <v>0</v>
      </c>
      <c r="BO147" s="242">
        <f>BO144*Assumptions!$Q$41/12</f>
        <v>0</v>
      </c>
      <c r="BP147" s="242">
        <f>BP144*Assumptions!$Q$41/12</f>
        <v>0</v>
      </c>
      <c r="BQ147" s="242">
        <f>BQ144*Assumptions!$Q$41/12</f>
        <v>0</v>
      </c>
      <c r="BR147" s="242">
        <f>BR144*Assumptions!$Q$41/12</f>
        <v>0</v>
      </c>
      <c r="BS147" s="242">
        <f>BS144*Assumptions!$Q$41/12</f>
        <v>0</v>
      </c>
      <c r="BT147" s="242">
        <f>BT144*Assumptions!$Q$41/12</f>
        <v>0</v>
      </c>
      <c r="BU147" s="242">
        <f>BU144*Assumptions!$Q$41/12</f>
        <v>0</v>
      </c>
      <c r="BV147" s="242">
        <f>BV144*Assumptions!$Q$41/12</f>
        <v>0</v>
      </c>
      <c r="BW147" s="242">
        <f>BW144*Assumptions!$Q$41/12</f>
        <v>0</v>
      </c>
      <c r="BX147" s="242">
        <f>BX144*Assumptions!$Q$41/12</f>
        <v>0</v>
      </c>
      <c r="BY147" s="242">
        <f>BY144*Assumptions!$Q$41/12</f>
        <v>0</v>
      </c>
      <c r="BZ147" s="242">
        <f>BZ144*Assumptions!$Q$41/12</f>
        <v>0</v>
      </c>
      <c r="CA147" s="242">
        <f>CA144*Assumptions!$Q$41/12</f>
        <v>0</v>
      </c>
      <c r="CB147" s="242">
        <f>CB144*Assumptions!$Q$41/12</f>
        <v>0</v>
      </c>
      <c r="CC147" s="242">
        <f>CC144*Assumptions!$Q$41/12</f>
        <v>0</v>
      </c>
      <c r="CD147" s="242">
        <f>CD144*Assumptions!$Q$41/12</f>
        <v>0</v>
      </c>
      <c r="CE147" s="242">
        <f>CE144*Assumptions!$Q$41/12</f>
        <v>0</v>
      </c>
      <c r="CF147" s="242">
        <f>CF144*Assumptions!$Q$41/12</f>
        <v>0</v>
      </c>
      <c r="CG147" s="242">
        <f>CG144*Assumptions!$Q$41/12</f>
        <v>0</v>
      </c>
      <c r="CH147" s="242">
        <f>CH144*Assumptions!$Q$41/12</f>
        <v>0</v>
      </c>
      <c r="CI147" s="242">
        <f>CI144*Assumptions!$Q$41/12</f>
        <v>0</v>
      </c>
      <c r="CJ147" s="242">
        <f>CJ144*Assumptions!$Q$41/12</f>
        <v>0</v>
      </c>
      <c r="CK147" s="242">
        <f>CK144*Assumptions!$Q$41/12</f>
        <v>0</v>
      </c>
      <c r="CL147" s="242">
        <f>CL144*Assumptions!$Q$41/12</f>
        <v>0</v>
      </c>
      <c r="CM147" s="242">
        <f>CM144*Assumptions!$Q$41/12</f>
        <v>0</v>
      </c>
      <c r="CN147" s="242">
        <f>CN144*Assumptions!$Q$41/12</f>
        <v>0</v>
      </c>
      <c r="CO147" s="242">
        <f>CO144*Assumptions!$Q$41/12</f>
        <v>0</v>
      </c>
      <c r="CP147" s="242">
        <f>CP144*Assumptions!$Q$41/12</f>
        <v>0</v>
      </c>
      <c r="CQ147" s="242">
        <f>CQ144*Assumptions!$Q$41/12</f>
        <v>0</v>
      </c>
      <c r="CR147" s="242">
        <f>CR144*Assumptions!$Q$41/12</f>
        <v>0</v>
      </c>
      <c r="CS147" s="242">
        <f>CS144*Assumptions!$Q$41/12</f>
        <v>0</v>
      </c>
      <c r="CT147" s="242">
        <f>CT144*Assumptions!$Q$41/12</f>
        <v>0</v>
      </c>
      <c r="CU147" s="242">
        <f>CU144*Assumptions!$Q$41/12</f>
        <v>0</v>
      </c>
      <c r="CV147" s="242">
        <f>CV144*Assumptions!$Q$41/12</f>
        <v>0</v>
      </c>
      <c r="CW147" s="242">
        <f>CW144*Assumptions!$Q$41/12</f>
        <v>0</v>
      </c>
      <c r="CX147" s="242">
        <f>CX144*Assumptions!$Q$41/12</f>
        <v>0</v>
      </c>
      <c r="CY147" s="242">
        <f>CY144*Assumptions!$Q$41/12</f>
        <v>0</v>
      </c>
      <c r="CZ147" s="242">
        <f>CZ144*Assumptions!$Q$41/12</f>
        <v>0</v>
      </c>
      <c r="DA147" s="242">
        <f>DA144*Assumptions!$Q$41/12</f>
        <v>0</v>
      </c>
      <c r="DB147" s="242">
        <f>DB144*Assumptions!$Q$41/12</f>
        <v>0</v>
      </c>
      <c r="DC147" s="242">
        <f>DC144*Assumptions!$Q$41/12</f>
        <v>0</v>
      </c>
      <c r="DD147" s="242">
        <f>DD144*Assumptions!$Q$41/12</f>
        <v>0</v>
      </c>
      <c r="DE147" s="242">
        <f>DE144*Assumptions!$Q$41/12</f>
        <v>0</v>
      </c>
      <c r="DF147" s="242">
        <f>DF144*Assumptions!$Q$41/12</f>
        <v>0</v>
      </c>
      <c r="DG147" s="242">
        <f>DG144*Assumptions!$Q$41/12</f>
        <v>0</v>
      </c>
      <c r="DH147" s="242">
        <f>DH144*Assumptions!$Q$41/12</f>
        <v>0</v>
      </c>
      <c r="DI147" s="242">
        <f>DI144*Assumptions!$Q$41/12</f>
        <v>0</v>
      </c>
      <c r="DJ147" s="242">
        <f>DJ144*Assumptions!$Q$41/12</f>
        <v>0</v>
      </c>
      <c r="DK147" s="242">
        <f>DK144*Assumptions!$Q$41/12</f>
        <v>0</v>
      </c>
      <c r="DL147" s="242">
        <f>DL144*Assumptions!$Q$41/12</f>
        <v>0</v>
      </c>
      <c r="DM147" s="242">
        <f>DM144*Assumptions!$Q$41/12</f>
        <v>0</v>
      </c>
      <c r="DN147" s="242">
        <f>DN144*Assumptions!$Q$41/12</f>
        <v>0</v>
      </c>
      <c r="DO147" s="242">
        <f>DO144*Assumptions!$Q$41/12</f>
        <v>0</v>
      </c>
      <c r="DP147" s="242">
        <f>DP144*Assumptions!$Q$41/12</f>
        <v>0</v>
      </c>
      <c r="DQ147" s="242">
        <f>DQ144*Assumptions!$Q$41/12</f>
        <v>0</v>
      </c>
      <c r="DR147" s="242">
        <f>DR144*Assumptions!$Q$41/12</f>
        <v>0</v>
      </c>
      <c r="DS147" s="242">
        <f>DS144*Assumptions!$Q$41/12</f>
        <v>0</v>
      </c>
      <c r="DT147" s="242">
        <f>DT144*Assumptions!$Q$41/12</f>
        <v>0</v>
      </c>
      <c r="DU147" s="242">
        <f>DU144*Assumptions!$Q$41/12</f>
        <v>0</v>
      </c>
      <c r="DV147" s="242">
        <f>DV144*Assumptions!$Q$41/12</f>
        <v>0</v>
      </c>
      <c r="DW147" s="242">
        <f>DW144*Assumptions!$Q$41/12</f>
        <v>0</v>
      </c>
      <c r="DX147" s="242">
        <f>DX144*Assumptions!$Q$41/12</f>
        <v>0</v>
      </c>
      <c r="DY147" s="242">
        <f>DY144*Assumptions!$Q$41/12</f>
        <v>0</v>
      </c>
      <c r="DZ147" s="242">
        <f>DZ144*Assumptions!$Q$41/12</f>
        <v>0</v>
      </c>
      <c r="EA147" s="242">
        <f>EA144*Assumptions!$Q$41/12</f>
        <v>0</v>
      </c>
      <c r="EB147" s="242">
        <f>EB144*Assumptions!$Q$41/12</f>
        <v>0</v>
      </c>
      <c r="EC147" s="242">
        <f>EC144*Assumptions!$Q$41/12</f>
        <v>0</v>
      </c>
      <c r="ED147" s="242">
        <f>ED144*Assumptions!$Q$41/12</f>
        <v>0</v>
      </c>
      <c r="EE147" s="242">
        <f>EE144*Assumptions!$Q$41/12</f>
        <v>0</v>
      </c>
      <c r="EF147" s="242">
        <f>EF144*Assumptions!$Q$41/12</f>
        <v>0</v>
      </c>
      <c r="EG147" s="242">
        <f>EG144*Assumptions!$Q$41/12</f>
        <v>0</v>
      </c>
      <c r="EH147" s="242">
        <f>EH144*Assumptions!$Q$41/12</f>
        <v>0</v>
      </c>
      <c r="EI147" s="242">
        <f>EI144*Assumptions!$Q$41/12</f>
        <v>0</v>
      </c>
      <c r="EJ147" s="242">
        <f>EJ144*Assumptions!$Q$41/12</f>
        <v>0</v>
      </c>
      <c r="EK147" s="242">
        <f>EK144*Assumptions!$Q$41/12</f>
        <v>0</v>
      </c>
      <c r="EL147" s="242">
        <f>EL144*Assumptions!$Q$41/12</f>
        <v>0</v>
      </c>
      <c r="EM147" s="242">
        <f>EM144*Assumptions!$Q$41/12</f>
        <v>0</v>
      </c>
      <c r="EN147" s="242">
        <f>EN144*Assumptions!$Q$41/12</f>
        <v>0</v>
      </c>
      <c r="EO147" s="242">
        <f>EO144*Assumptions!$Q$41/12</f>
        <v>0</v>
      </c>
      <c r="EP147" s="242">
        <f>EP144*Assumptions!$Q$41/12</f>
        <v>0</v>
      </c>
      <c r="EQ147" s="242">
        <f>EQ144*Assumptions!$Q$41/12</f>
        <v>0</v>
      </c>
      <c r="ER147" s="242">
        <f>ER144*Assumptions!$Q$41/12</f>
        <v>0</v>
      </c>
      <c r="ES147" s="242">
        <f>ES144*Assumptions!$Q$41/12</f>
        <v>0</v>
      </c>
      <c r="ET147" s="242">
        <f>ET144*Assumptions!$Q$41/12</f>
        <v>0</v>
      </c>
    </row>
    <row r="148" spans="2:150" x14ac:dyDescent="0.2">
      <c r="B148" t="s">
        <v>250</v>
      </c>
      <c r="F148" s="242">
        <f>IF(F144&gt;0,F147-Assumptions!$Q$45/12,0)</f>
        <v>0</v>
      </c>
      <c r="G148" s="242">
        <f>IF(G144&gt;0,G147-Assumptions!$Q$45/12,0)</f>
        <v>0</v>
      </c>
      <c r="H148" s="242">
        <f>IF(H144&gt;0,H147-Assumptions!$Q$45/12,0)</f>
        <v>0</v>
      </c>
      <c r="I148" s="242">
        <f>IF(I144&gt;0,I147-Assumptions!$Q$45/12,0)</f>
        <v>0</v>
      </c>
      <c r="J148" s="242">
        <f>IF(J144&gt;0,J147-Assumptions!$Q$45/12,0)</f>
        <v>0</v>
      </c>
      <c r="K148" s="242">
        <f>IF(K144&gt;0,K147-Assumptions!$Q$45/12,0)</f>
        <v>0</v>
      </c>
      <c r="L148" s="242">
        <f>IF(L144&gt;0,L147-Assumptions!$Q$45/12,0)</f>
        <v>0</v>
      </c>
      <c r="M148" s="242">
        <f>IF(M144&gt;0,M147-Assumptions!$Q$45/12,0)</f>
        <v>0</v>
      </c>
      <c r="N148" s="242">
        <f>IF(N144&gt;0,N147-Assumptions!$Q$45/12,0)</f>
        <v>0</v>
      </c>
      <c r="O148" s="242">
        <f>IF(O144&gt;0,O147-Assumptions!$Q$45/12,0)</f>
        <v>0</v>
      </c>
      <c r="P148" s="242">
        <f>IF(P144&gt;0,P147-Assumptions!$Q$45/12,0)</f>
        <v>0</v>
      </c>
      <c r="Q148" s="242">
        <f>IF(Q144&gt;0,Q147-Assumptions!$Q$45/12,0)</f>
        <v>0</v>
      </c>
      <c r="R148" s="242">
        <f>IF(R144&gt;0,R147-Assumptions!$Q$45/12,0)</f>
        <v>0</v>
      </c>
      <c r="S148" s="242">
        <f>IF(S144&gt;0,S147-Assumptions!$Q$45/12,0)</f>
        <v>0</v>
      </c>
      <c r="T148" s="242">
        <f>IF(T144&gt;0,T147-Assumptions!$Q$45/12,0)</f>
        <v>0</v>
      </c>
      <c r="U148" s="242">
        <f>IF(U144&gt;0,U147-Assumptions!$Q$45/12,0)</f>
        <v>0</v>
      </c>
      <c r="V148" s="242">
        <f>IF(V144&gt;0,V147-Assumptions!$Q$45/12,0)</f>
        <v>0</v>
      </c>
      <c r="W148" s="242">
        <f>IF(W144&gt;0,W147-Assumptions!$Q$45/12,0)</f>
        <v>0</v>
      </c>
      <c r="X148" s="242">
        <f>IF(X144&gt;0,X147-Assumptions!$Q$45/12,0)</f>
        <v>0</v>
      </c>
      <c r="Y148" s="242">
        <f>IF(Y144&gt;0,Y147-Assumptions!$Q$45/12,0)</f>
        <v>0</v>
      </c>
      <c r="Z148" s="242">
        <f>IF(Z144&gt;0,Z147-Assumptions!$Q$45/12,0)</f>
        <v>0</v>
      </c>
      <c r="AA148" s="242">
        <f>IF(AA144&gt;0,AA147-Assumptions!$Q$45/12,0)</f>
        <v>0</v>
      </c>
      <c r="AB148" s="242">
        <f>IF(AB144&gt;0,AB147-Assumptions!$Q$45/12,0)</f>
        <v>0</v>
      </c>
      <c r="AC148" s="242">
        <f>IF(AC144&gt;0,AC147-Assumptions!$Q$45/12,0)</f>
        <v>0</v>
      </c>
      <c r="AD148" s="242">
        <f>IF(AD144&gt;0,AD147-Assumptions!$Q$45/12,0)</f>
        <v>0</v>
      </c>
      <c r="AE148" s="242">
        <f>IF(AE144&gt;0,AE147-Assumptions!$Q$45/12,0)</f>
        <v>0</v>
      </c>
      <c r="AF148" s="242">
        <f>IF(AF144&gt;0,AF147-Assumptions!$Q$45/12,0)</f>
        <v>0</v>
      </c>
      <c r="AG148" s="242">
        <f>IF(AG144&gt;0,AG147-Assumptions!$Q$45/12,0)</f>
        <v>0</v>
      </c>
      <c r="AH148" s="242">
        <f>IF(AH144&gt;0,AH147-Assumptions!$Q$45/12,0)</f>
        <v>0</v>
      </c>
      <c r="AI148" s="242">
        <f>IF(AI144&gt;0,AI147-Assumptions!$Q$45/12,0)</f>
        <v>0</v>
      </c>
      <c r="AJ148" s="242">
        <f>IF(AJ144&gt;0,AJ147-Assumptions!$Q$45/12,0)</f>
        <v>0</v>
      </c>
      <c r="AK148" s="242">
        <f>IF(AK144&gt;0,AK147-Assumptions!$Q$45/12,0)</f>
        <v>0</v>
      </c>
      <c r="AL148" s="242">
        <f>IF(AL144&gt;0,AL147-Assumptions!$Q$45/12,0)</f>
        <v>0</v>
      </c>
      <c r="AM148" s="242">
        <f>IF(AM144&gt;0,AM147-Assumptions!$Q$45/12,0)</f>
        <v>0</v>
      </c>
      <c r="AN148" s="242">
        <f>IF(AN144&gt;0,AN147-Assumptions!$Q$45/12,0)</f>
        <v>0</v>
      </c>
      <c r="AO148" s="242">
        <f>IF(AO144&gt;0,AO147-Assumptions!$Q$45/12,0)</f>
        <v>0</v>
      </c>
      <c r="AP148" s="242">
        <f>IF(AP144&gt;0,AP147-Assumptions!$Q$45/12,0)</f>
        <v>0</v>
      </c>
      <c r="AQ148" s="242">
        <f>IF(AQ144&gt;0,AQ147-Assumptions!$Q$45/12,0)</f>
        <v>0</v>
      </c>
      <c r="AR148" s="242">
        <f>IF(AR144&gt;0,AR147-Assumptions!$Q$45/12,0)</f>
        <v>0</v>
      </c>
      <c r="AS148" s="242">
        <f>IF(AS144&gt;0,AS147-Assumptions!$Q$45/12,0)</f>
        <v>0</v>
      </c>
      <c r="AT148" s="242">
        <f>IF(AT144&gt;0,AT147-Assumptions!$Q$45/12,0)</f>
        <v>0</v>
      </c>
      <c r="AU148" s="242">
        <f>IF(AU144&gt;0,AU147-Assumptions!$Q$45/12,0)</f>
        <v>0</v>
      </c>
      <c r="AV148" s="242">
        <f>IF(AV144&gt;0,AV147-Assumptions!$Q$45/12,0)</f>
        <v>0</v>
      </c>
      <c r="AW148" s="242">
        <f>IF(AW144&gt;0,AW147-Assumptions!$Q$45/12,0)</f>
        <v>0</v>
      </c>
      <c r="AX148" s="242">
        <f>IF(AX144&gt;0,AX147-Assumptions!$Q$45/12,0)</f>
        <v>0</v>
      </c>
      <c r="AY148" s="242">
        <f>IF(AY144&gt;0,AY147-Assumptions!$Q$45/12,0)</f>
        <v>0</v>
      </c>
      <c r="AZ148" s="242">
        <f>IF(AZ144&gt;0,AZ147-Assumptions!$Q$45/12,0)</f>
        <v>0</v>
      </c>
      <c r="BA148" s="242">
        <f>IF(BA144&gt;0,BA147-Assumptions!$Q$45/12,0)</f>
        <v>0</v>
      </c>
      <c r="BB148" s="242">
        <f>IF(BB144&gt;0,BB147-Assumptions!$Q$45/12,0)</f>
        <v>0</v>
      </c>
      <c r="BC148" s="242">
        <f>IF(BC144&gt;0,BC147-Assumptions!$Q$45/12,0)</f>
        <v>0</v>
      </c>
      <c r="BD148" s="242">
        <f>IF(BD144&gt;0,BD147-Assumptions!$Q$45/12,0)</f>
        <v>0</v>
      </c>
      <c r="BE148" s="242">
        <f>IF(BE144&gt;0,BE147-Assumptions!$Q$45/12,0)</f>
        <v>0</v>
      </c>
      <c r="BF148" s="242">
        <f>IF(BF144&gt;0,BF147-Assumptions!$Q$45/12,0)</f>
        <v>0</v>
      </c>
      <c r="BG148" s="242">
        <f>IF(BG144&gt;0,BG147-Assumptions!$Q$45/12,0)</f>
        <v>0</v>
      </c>
      <c r="BH148" s="242">
        <f>IF(BH144&gt;0,BH147-Assumptions!$Q$45/12,0)</f>
        <v>0</v>
      </c>
      <c r="BI148" s="242">
        <f>IF(BI144&gt;0,BI147-Assumptions!$Q$45/12,0)</f>
        <v>0</v>
      </c>
      <c r="BJ148" s="242">
        <f>IF(BJ144&gt;0,BJ147-Assumptions!$Q$45/12,0)</f>
        <v>0</v>
      </c>
      <c r="BK148" s="242">
        <f>IF(BK144&gt;0,BK147-Assumptions!$Q$45/12,0)</f>
        <v>0</v>
      </c>
      <c r="BL148" s="242">
        <f>IF(BL144&gt;0,BL147-Assumptions!$Q$45/12,0)</f>
        <v>0</v>
      </c>
      <c r="BM148" s="242">
        <f>IF(BM144&gt;0,BM147-Assumptions!$Q$45/12,0)</f>
        <v>0</v>
      </c>
      <c r="BN148" s="242">
        <f>IF(BN144&gt;0,BN147-Assumptions!$Q$45/12,0)</f>
        <v>0</v>
      </c>
      <c r="BO148" s="242">
        <f>IF(BO144&gt;0,BO147-Assumptions!$Q$45/12,0)</f>
        <v>0</v>
      </c>
      <c r="BP148" s="242">
        <f>IF(BP144&gt;0,BP147-Assumptions!$Q$45/12,0)</f>
        <v>0</v>
      </c>
      <c r="BQ148" s="242">
        <f>IF(BQ144&gt;0,BQ147-Assumptions!$Q$45/12,0)</f>
        <v>0</v>
      </c>
      <c r="BR148" s="242">
        <f>IF(BR144&gt;0,BR147-Assumptions!$Q$45/12,0)</f>
        <v>0</v>
      </c>
      <c r="BS148" s="242">
        <f>IF(BS144&gt;0,BS147-Assumptions!$Q$45/12,0)</f>
        <v>0</v>
      </c>
      <c r="BT148" s="242">
        <f>IF(BT144&gt;0,BT147-Assumptions!$Q$45/12,0)</f>
        <v>0</v>
      </c>
      <c r="BU148" s="242">
        <f>IF(BU144&gt;0,BU147-Assumptions!$Q$45/12,0)</f>
        <v>0</v>
      </c>
      <c r="BV148" s="242">
        <f>IF(BV144&gt;0,BV147-Assumptions!$Q$45/12,0)</f>
        <v>0</v>
      </c>
      <c r="BW148" s="242">
        <f>IF(BW144&gt;0,BW147-Assumptions!$Q$45/12,0)</f>
        <v>0</v>
      </c>
      <c r="BX148" s="242">
        <f>IF(BX144&gt;0,BX147-Assumptions!$Q$45/12,0)</f>
        <v>0</v>
      </c>
      <c r="BY148" s="242">
        <f>IF(BY144&gt;0,BY147-Assumptions!$Q$45/12,0)</f>
        <v>0</v>
      </c>
      <c r="BZ148" s="242">
        <f>IF(BZ144&gt;0,BZ147-Assumptions!$Q$45/12,0)</f>
        <v>0</v>
      </c>
      <c r="CA148" s="242">
        <f>IF(CA144&gt;0,CA147-Assumptions!$Q$45/12,0)</f>
        <v>0</v>
      </c>
      <c r="CB148" s="242">
        <f>IF(CB144&gt;0,CB147-Assumptions!$Q$45/12,0)</f>
        <v>0</v>
      </c>
      <c r="CC148" s="242">
        <f>IF(CC144&gt;0,CC147-Assumptions!$Q$45/12,0)</f>
        <v>0</v>
      </c>
      <c r="CD148" s="242">
        <f>IF(CD144&gt;0,CD147-Assumptions!$Q$45/12,0)</f>
        <v>0</v>
      </c>
      <c r="CE148" s="242">
        <f>IF(CE144&gt;0,CE147-Assumptions!$Q$45/12,0)</f>
        <v>0</v>
      </c>
      <c r="CF148" s="242">
        <f>IF(CF144&gt;0,CF147-Assumptions!$Q$45/12,0)</f>
        <v>0</v>
      </c>
      <c r="CG148" s="242">
        <f>IF(CG144&gt;0,CG147-Assumptions!$Q$45/12,0)</f>
        <v>0</v>
      </c>
      <c r="CH148" s="242">
        <f>IF(CH144&gt;0,CH147-Assumptions!$Q$45/12,0)</f>
        <v>0</v>
      </c>
      <c r="CI148" s="242">
        <f>IF(CI144&gt;0,CI147-Assumptions!$Q$45/12,0)</f>
        <v>0</v>
      </c>
      <c r="CJ148" s="242">
        <f>IF(CJ144&gt;0,CJ147-Assumptions!$Q$45/12,0)</f>
        <v>0</v>
      </c>
      <c r="CK148" s="242">
        <f>IF(CK144&gt;0,CK147-Assumptions!$Q$45/12,0)</f>
        <v>0</v>
      </c>
      <c r="CL148" s="242">
        <f>IF(CL144&gt;0,CL147-Assumptions!$Q$45/12,0)</f>
        <v>0</v>
      </c>
      <c r="CM148" s="242">
        <f>IF(CM144&gt;0,CM147-Assumptions!$Q$45/12,0)</f>
        <v>0</v>
      </c>
      <c r="CN148" s="242">
        <f>IF(CN144&gt;0,CN147-Assumptions!$Q$45/12,0)</f>
        <v>0</v>
      </c>
      <c r="CO148" s="242">
        <f>IF(CO144&gt;0,CO147-Assumptions!$Q$45/12,0)</f>
        <v>0</v>
      </c>
      <c r="CP148" s="242">
        <f>IF(CP144&gt;0,CP147-Assumptions!$Q$45/12,0)</f>
        <v>0</v>
      </c>
      <c r="CQ148" s="242">
        <f>IF(CQ144&gt;0,CQ147-Assumptions!$Q$45/12,0)</f>
        <v>0</v>
      </c>
      <c r="CR148" s="242">
        <f>IF(CR144&gt;0,CR147-Assumptions!$Q$45/12,0)</f>
        <v>0</v>
      </c>
      <c r="CS148" s="242">
        <f>IF(CS144&gt;0,CS147-Assumptions!$Q$45/12,0)</f>
        <v>0</v>
      </c>
      <c r="CT148" s="242">
        <f>IF(CT144&gt;0,CT147-Assumptions!$Q$45/12,0)</f>
        <v>0</v>
      </c>
      <c r="CU148" s="242">
        <f>IF(CU144&gt;0,CU147-Assumptions!$Q$45/12,0)</f>
        <v>0</v>
      </c>
      <c r="CV148" s="242">
        <f>IF(CV144&gt;0,CV147-Assumptions!$Q$45/12,0)</f>
        <v>0</v>
      </c>
      <c r="CW148" s="242">
        <f>IF(CW144&gt;0,CW147-Assumptions!$Q$45/12,0)</f>
        <v>0</v>
      </c>
      <c r="CX148" s="242">
        <f>IF(CX144&gt;0,CX147-Assumptions!$Q$45/12,0)</f>
        <v>0</v>
      </c>
      <c r="CY148" s="242">
        <f>IF(CY144&gt;0,CY147-Assumptions!$Q$45/12,0)</f>
        <v>0</v>
      </c>
      <c r="CZ148" s="242">
        <f>IF(CZ144&gt;0,CZ147-Assumptions!$Q$45/12,0)</f>
        <v>0</v>
      </c>
      <c r="DA148" s="242">
        <f>IF(DA144&gt;0,DA147-Assumptions!$Q$45/12,0)</f>
        <v>0</v>
      </c>
      <c r="DB148" s="242">
        <f>IF(DB144&gt;0,DB147-Assumptions!$Q$45/12,0)</f>
        <v>0</v>
      </c>
      <c r="DC148" s="242">
        <f>IF(DC144&gt;0,DC147-Assumptions!$Q$45/12,0)</f>
        <v>0</v>
      </c>
      <c r="DD148" s="242">
        <f>IF(DD144&gt;0,DD147-Assumptions!$Q$45/12,0)</f>
        <v>0</v>
      </c>
      <c r="DE148" s="242">
        <f>IF(DE144&gt;0,DE147-Assumptions!$Q$45/12,0)</f>
        <v>0</v>
      </c>
      <c r="DF148" s="242">
        <f>IF(DF144&gt;0,DF147-Assumptions!$Q$45/12,0)</f>
        <v>0</v>
      </c>
      <c r="DG148" s="242">
        <f>IF(DG144&gt;0,DG147-Assumptions!$Q$45/12,0)</f>
        <v>0</v>
      </c>
      <c r="DH148" s="242">
        <f>IF(DH144&gt;0,DH147-Assumptions!$Q$45/12,0)</f>
        <v>0</v>
      </c>
      <c r="DI148" s="242">
        <f>IF(DI144&gt;0,DI147-Assumptions!$Q$45/12,0)</f>
        <v>0</v>
      </c>
      <c r="DJ148" s="242">
        <f>IF(DJ144&gt;0,DJ147-Assumptions!$Q$45/12,0)</f>
        <v>0</v>
      </c>
      <c r="DK148" s="242">
        <f>IF(DK144&gt;0,DK147-Assumptions!$Q$45/12,0)</f>
        <v>0</v>
      </c>
      <c r="DL148" s="242">
        <f>IF(DL144&gt;0,DL147-Assumptions!$Q$45/12,0)</f>
        <v>0</v>
      </c>
      <c r="DM148" s="242">
        <f>IF(DM144&gt;0,DM147-Assumptions!$Q$45/12,0)</f>
        <v>0</v>
      </c>
      <c r="DN148" s="242">
        <f>IF(DN144&gt;0,DN147-Assumptions!$Q$45/12,0)</f>
        <v>0</v>
      </c>
      <c r="DO148" s="242">
        <f>IF(DO144&gt;0,DO147-Assumptions!$Q$45/12,0)</f>
        <v>0</v>
      </c>
      <c r="DP148" s="242">
        <f>IF(DP144&gt;0,DP147-Assumptions!$Q$45/12,0)</f>
        <v>0</v>
      </c>
      <c r="DQ148" s="242">
        <f>IF(DQ144&gt;0,DQ147-Assumptions!$Q$45/12,0)</f>
        <v>0</v>
      </c>
      <c r="DR148" s="242">
        <f>IF(DR144&gt;0,DR147-Assumptions!$Q$45/12,0)</f>
        <v>0</v>
      </c>
      <c r="DS148" s="242">
        <f>IF(DS144&gt;0,DS147-Assumptions!$Q$45/12,0)</f>
        <v>0</v>
      </c>
      <c r="DT148" s="242">
        <f>IF(DT144&gt;0,DT147-Assumptions!$Q$45/12,0)</f>
        <v>0</v>
      </c>
      <c r="DU148" s="242">
        <f>IF(DU144&gt;0,DU147-Assumptions!$Q$45/12,0)</f>
        <v>0</v>
      </c>
      <c r="DV148" s="242">
        <f>IF(DV144&gt;0,DV147-Assumptions!$Q$45/12,0)</f>
        <v>0</v>
      </c>
      <c r="DW148" s="242">
        <f>IF(DW144&gt;0,DW147-Assumptions!$Q$45/12,0)</f>
        <v>0</v>
      </c>
      <c r="DX148" s="242">
        <f>IF(DX144&gt;0,DX147-Assumptions!$Q$45/12,0)</f>
        <v>0</v>
      </c>
      <c r="DY148" s="242">
        <f>IF(DY144&gt;0,DY147-Assumptions!$Q$45/12,0)</f>
        <v>0</v>
      </c>
      <c r="DZ148" s="242">
        <f>IF(DZ144&gt;0,DZ147-Assumptions!$Q$45/12,0)</f>
        <v>0</v>
      </c>
      <c r="EA148" s="242">
        <f>IF(EA144&gt;0,EA147-Assumptions!$Q$45/12,0)</f>
        <v>0</v>
      </c>
      <c r="EB148" s="242">
        <f>IF(EB144&gt;0,EB147-Assumptions!$Q$45/12,0)</f>
        <v>0</v>
      </c>
      <c r="EC148" s="242">
        <f>IF(EC144&gt;0,EC147-Assumptions!$Q$45/12,0)</f>
        <v>0</v>
      </c>
      <c r="ED148" s="242">
        <f>IF(ED144&gt;0,ED147-Assumptions!$Q$45/12,0)</f>
        <v>0</v>
      </c>
      <c r="EE148" s="242">
        <f>IF(EE144&gt;0,EE147-Assumptions!$Q$45/12,0)</f>
        <v>0</v>
      </c>
      <c r="EF148" s="242">
        <f>IF(EF144&gt;0,EF147-Assumptions!$Q$45/12,0)</f>
        <v>0</v>
      </c>
      <c r="EG148" s="242">
        <f>IF(EG144&gt;0,EG147-Assumptions!$Q$45/12,0)</f>
        <v>0</v>
      </c>
      <c r="EH148" s="242">
        <f>IF(EH144&gt;0,EH147-Assumptions!$Q$45/12,0)</f>
        <v>0</v>
      </c>
      <c r="EI148" s="242">
        <f>IF(EI144&gt;0,EI147-Assumptions!$Q$45/12,0)</f>
        <v>0</v>
      </c>
      <c r="EJ148" s="242">
        <f>IF(EJ144&gt;0,EJ147-Assumptions!$Q$45/12,0)</f>
        <v>0</v>
      </c>
      <c r="EK148" s="242">
        <f>IF(EK144&gt;0,EK147-Assumptions!$Q$45/12,0)</f>
        <v>0</v>
      </c>
      <c r="EL148" s="242">
        <f>IF(EL144&gt;0,EL147-Assumptions!$Q$45/12,0)</f>
        <v>0</v>
      </c>
      <c r="EM148" s="242">
        <f>IF(EM144&gt;0,EM147-Assumptions!$Q$45/12,0)</f>
        <v>0</v>
      </c>
      <c r="EN148" s="242">
        <f>IF(EN144&gt;0,EN147-Assumptions!$Q$45/12,0)</f>
        <v>0</v>
      </c>
      <c r="EO148" s="242">
        <f>IF(EO144&gt;0,EO147-Assumptions!$Q$45/12,0)</f>
        <v>0</v>
      </c>
      <c r="EP148" s="242">
        <f>IF(EP144&gt;0,EP147-Assumptions!$Q$45/12,0)</f>
        <v>0</v>
      </c>
      <c r="EQ148" s="242">
        <f>IF(EQ144&gt;0,EQ147-Assumptions!$Q$45/12,0)</f>
        <v>0</v>
      </c>
      <c r="ER148" s="242">
        <f>IF(ER144&gt;0,ER147-Assumptions!$Q$45/12,0)</f>
        <v>0</v>
      </c>
      <c r="ES148" s="242">
        <f>IF(ES144&gt;0,ES147-Assumptions!$Q$45/12,0)</f>
        <v>0</v>
      </c>
      <c r="ET148" s="242">
        <f>IF(ET144&gt;0,ET147-Assumptions!$Q$45/12,0)</f>
        <v>0</v>
      </c>
    </row>
    <row r="149" spans="2:150" x14ac:dyDescent="0.2">
      <c r="B149" t="s">
        <v>314</v>
      </c>
      <c r="F149" s="242">
        <f>IF(F6=Assumptions!$F$40,IF(SUM(F144:F146,F148)&gt;0,-SUM(F144:F146,F148),0),0)</f>
        <v>0</v>
      </c>
      <c r="G149" s="242">
        <f>IF(G6=Assumptions!$F$40,IF(SUM(G144:G146,G148)&gt;0,-SUM(G144:G146,G148),0),0)</f>
        <v>0</v>
      </c>
      <c r="H149" s="242">
        <f>IF(H6=Assumptions!$F$40,IF(SUM(H144:H146,H148)&gt;0,-SUM(H144:H146,H148),0),0)</f>
        <v>0</v>
      </c>
      <c r="I149" s="242">
        <f>IF(I6=Assumptions!$F$40,IF(SUM(I144:I146,I148)&gt;0,-SUM(I144:I146,I148),0),0)</f>
        <v>0</v>
      </c>
      <c r="J149" s="242">
        <f>IF(J6=Assumptions!$F$40,IF(SUM(J144:J146,J148)&gt;0,-SUM(J144:J146,J148),0),0)</f>
        <v>0</v>
      </c>
      <c r="K149" s="242">
        <f>IF(K6=Assumptions!$F$40,IF(SUM(K144:K146,K148)&gt;0,-SUM(K144:K146,K148),0),0)</f>
        <v>0</v>
      </c>
      <c r="L149" s="242">
        <f>IF(L6=Assumptions!$F$40,IF(SUM(L144:L146,L148)&gt;0,-SUM(L144:L146,L148),0),0)</f>
        <v>0</v>
      </c>
      <c r="M149" s="242">
        <f>IF(M6=Assumptions!$F$40,IF(SUM(M144:M146,M148)&gt;0,-SUM(M144:M146,M148),0),0)</f>
        <v>0</v>
      </c>
      <c r="N149" s="242">
        <f>IF(N6=Assumptions!$F$40,IF(SUM(N144:N146,N148)&gt;0,-SUM(N144:N146,N148),0),0)</f>
        <v>0</v>
      </c>
      <c r="O149" s="242">
        <f>IF(O6=Assumptions!$F$40,IF(SUM(O144:O146,O148)&gt;0,-SUM(O144:O146,O148),0),0)</f>
        <v>0</v>
      </c>
      <c r="P149" s="242">
        <f>IF(P6=Assumptions!$F$40,IF(SUM(P144:P146,P148)&gt;0,-SUM(P144:P146,P148),0),0)</f>
        <v>0</v>
      </c>
      <c r="Q149" s="242">
        <f>IF(Q6=Assumptions!$F$40,IF(SUM(Q144:Q146,Q148)&gt;0,-SUM(Q144:Q146,Q148),0),0)</f>
        <v>0</v>
      </c>
      <c r="R149" s="242">
        <f>IF(R6=Assumptions!$F$40,IF(SUM(R144:R146,R148)&gt;0,-SUM(R144:R146,R148),0),0)</f>
        <v>0</v>
      </c>
      <c r="S149" s="242">
        <f>IF(S6=Assumptions!$F$40,IF(SUM(S144:S146,S148)&gt;0,-SUM(S144:S146,S148),0),0)</f>
        <v>0</v>
      </c>
      <c r="T149" s="242">
        <f>IF(T6=Assumptions!$F$40,IF(SUM(T144:T146,T148)&gt;0,-SUM(T144:T146,T148),0),0)</f>
        <v>0</v>
      </c>
      <c r="U149" s="242">
        <f>IF(U6=Assumptions!$F$40,IF(SUM(U144:U146,U148)&gt;0,-SUM(U144:U146,U148),0),0)</f>
        <v>0</v>
      </c>
      <c r="V149" s="242">
        <f>IF(V6=Assumptions!$F$40,IF(SUM(V144:V146,V148)&gt;0,-SUM(V144:V146,V148),0),0)</f>
        <v>0</v>
      </c>
      <c r="W149" s="242">
        <f>IF(W6=Assumptions!$F$40,IF(SUM(W144:W146,W148)&gt;0,-SUM(W144:W146,W148),0),0)</f>
        <v>0</v>
      </c>
      <c r="X149" s="242">
        <f>IF(X6=Assumptions!$F$40,IF(SUM(X144:X146,X148)&gt;0,-SUM(X144:X146,X148),0),0)</f>
        <v>0</v>
      </c>
      <c r="Y149" s="242">
        <f>IF(Y6=Assumptions!$F$40,IF(SUM(Y144:Y146,Y148)&gt;0,-SUM(Y144:Y146,Y148),0),0)</f>
        <v>0</v>
      </c>
      <c r="Z149" s="242">
        <f>IF(Z6=Assumptions!$F$40,IF(SUM(Z144:Z146,Z148)&gt;0,-SUM(Z144:Z146,Z148),0),0)</f>
        <v>0</v>
      </c>
      <c r="AA149" s="242">
        <f>IF(AA6=Assumptions!$F$40,IF(SUM(AA144:AA146,AA148)&gt;0,-SUM(AA144:AA146,AA148),0),0)</f>
        <v>0</v>
      </c>
      <c r="AB149" s="242">
        <f>IF(AB6=Assumptions!$F$40,IF(SUM(AB144:AB146,AB148)&gt;0,-SUM(AB144:AB146,AB148),0),0)</f>
        <v>0</v>
      </c>
      <c r="AC149" s="242">
        <f>IF(AC6=Assumptions!$F$40,IF(SUM(AC144:AC146,AC148)&gt;0,-SUM(AC144:AC146,AC148),0),0)</f>
        <v>0</v>
      </c>
      <c r="AD149" s="242">
        <f>IF(AD6=Assumptions!$F$40,IF(SUM(AD144:AD146,AD148)&gt;0,-SUM(AD144:AD146,AD148),0),0)</f>
        <v>0</v>
      </c>
      <c r="AE149" s="242">
        <f>IF(AE6=Assumptions!$F$40,IF(SUM(AE144:AE146,AE148)&gt;0,-SUM(AE144:AE146,AE148),0),0)</f>
        <v>0</v>
      </c>
      <c r="AF149" s="242">
        <f>IF(AF6=Assumptions!$F$40,IF(SUM(AF144:AF146,AF148)&gt;0,-SUM(AF144:AF146,AF148),0),0)</f>
        <v>0</v>
      </c>
      <c r="AG149" s="242">
        <f>IF(AG6=Assumptions!$F$40,IF(SUM(AG144:AG146,AG148)&gt;0,-SUM(AG144:AG146,AG148),0),0)</f>
        <v>0</v>
      </c>
      <c r="AH149" s="242">
        <f>IF(AH6=Assumptions!$F$40,IF(SUM(AH144:AH146,AH148)&gt;0,-SUM(AH144:AH146,AH148),0),0)</f>
        <v>0</v>
      </c>
      <c r="AI149" s="242">
        <f>IF(AI6=Assumptions!$F$40,IF(SUM(AI144:AI146,AI148)&gt;0,-SUM(AI144:AI146,AI148),0),0)</f>
        <v>0</v>
      </c>
      <c r="AJ149" s="242">
        <f>IF(AJ6=Assumptions!$F$40,IF(SUM(AJ144:AJ146,AJ148)&gt;0,-SUM(AJ144:AJ146,AJ148),0),0)</f>
        <v>0</v>
      </c>
      <c r="AK149" s="242">
        <f>IF(AK6=Assumptions!$F$40,IF(SUM(AK144:AK146,AK148)&gt;0,-SUM(AK144:AK146,AK148),0),0)</f>
        <v>0</v>
      </c>
      <c r="AL149" s="242">
        <f>IF(AL6=Assumptions!$F$40,IF(SUM(AL144:AL146,AL148)&gt;0,-SUM(AL144:AL146,AL148),0),0)</f>
        <v>0</v>
      </c>
      <c r="AM149" s="242">
        <f>IF(AM6=Assumptions!$F$40,IF(SUM(AM144:AM146,AM148)&gt;0,-SUM(AM144:AM146,AM148),0),0)</f>
        <v>0</v>
      </c>
      <c r="AN149" s="242">
        <f>IF(AN6=Assumptions!$F$40,IF(SUM(AN144:AN146,AN148)&gt;0,-SUM(AN144:AN146,AN148),0),0)</f>
        <v>0</v>
      </c>
      <c r="AO149" s="242">
        <f>IF(AO6=Assumptions!$F$40,IF(SUM(AO144:AO146,AO148)&gt;0,-SUM(AO144:AO146,AO148),0),0)</f>
        <v>0</v>
      </c>
      <c r="AP149" s="242">
        <f>IF(AP6=Assumptions!$F$40,IF(SUM(AP144:AP146,AP148)&gt;0,-SUM(AP144:AP146,AP148),0),0)</f>
        <v>0</v>
      </c>
      <c r="AQ149" s="242">
        <f>IF(AQ6=Assumptions!$F$40,IF(SUM(AQ144:AQ146,AQ148)&gt;0,-SUM(AQ144:AQ146,AQ148),0),0)</f>
        <v>0</v>
      </c>
      <c r="AR149" s="242">
        <f>IF(AR6=Assumptions!$F$40,IF(SUM(AR144:AR146,AR148)&gt;0,-SUM(AR144:AR146,AR148),0),0)</f>
        <v>0</v>
      </c>
      <c r="AS149" s="242">
        <f>IF(AS6=Assumptions!$F$40,IF(SUM(AS144:AS146,AS148)&gt;0,-SUM(AS144:AS146,AS148),0),0)</f>
        <v>0</v>
      </c>
      <c r="AT149" s="242">
        <f>IF(AT6=Assumptions!$F$40,IF(SUM(AT144:AT146,AT148)&gt;0,-SUM(AT144:AT146,AT148),0),0)</f>
        <v>0</v>
      </c>
      <c r="AU149" s="242">
        <f>IF(AU6=Assumptions!$F$40,IF(SUM(AU144:AU146,AU148)&gt;0,-SUM(AU144:AU146,AU148),0),0)</f>
        <v>0</v>
      </c>
      <c r="AV149" s="242">
        <f>IF(AV6=Assumptions!$F$40,IF(SUM(AV144:AV146,AV148)&gt;0,-SUM(AV144:AV146,AV148),0),0)</f>
        <v>0</v>
      </c>
      <c r="AW149" s="242">
        <f>IF(AW6=Assumptions!$F$40,IF(SUM(AW144:AW146,AW148)&gt;0,-SUM(AW144:AW146,AW148),0),0)</f>
        <v>0</v>
      </c>
      <c r="AX149" s="242">
        <f>IF(AX6=Assumptions!$F$40,IF(SUM(AX144:AX146,AX148)&gt;0,-SUM(AX144:AX146,AX148),0),0)</f>
        <v>0</v>
      </c>
      <c r="AY149" s="242">
        <f>IF(AY6=Assumptions!$F$40,IF(SUM(AY144:AY146,AY148)&gt;0,-SUM(AY144:AY146,AY148),0),0)</f>
        <v>0</v>
      </c>
      <c r="AZ149" s="242">
        <f>IF(AZ6=Assumptions!$F$40,IF(SUM(AZ144:AZ146,AZ148)&gt;0,-SUM(AZ144:AZ146,AZ148),0),0)</f>
        <v>0</v>
      </c>
      <c r="BA149" s="242">
        <f>IF(BA6=Assumptions!$F$40,IF(SUM(BA144:BA146,BA148)&gt;0,-SUM(BA144:BA146,BA148),0),0)</f>
        <v>0</v>
      </c>
      <c r="BB149" s="242">
        <f>IF(BB6=Assumptions!$F$40,IF(SUM(BB144:BB146,BB148)&gt;0,-SUM(BB144:BB146,BB148),0),0)</f>
        <v>0</v>
      </c>
      <c r="BC149" s="242">
        <f>IF(BC6=Assumptions!$F$40,IF(SUM(BC144:BC146,BC148)&gt;0,-SUM(BC144:BC146,BC148),0),0)</f>
        <v>0</v>
      </c>
      <c r="BD149" s="242">
        <f>IF(BD6=Assumptions!$F$40,IF(SUM(BD144:BD146,BD148)&gt;0,-SUM(BD144:BD146,BD148),0),0)</f>
        <v>0</v>
      </c>
      <c r="BE149" s="242">
        <f>IF(BE6=Assumptions!$F$40,IF(SUM(BE144:BE146,BE148)&gt;0,-SUM(BE144:BE146,BE148),0),0)</f>
        <v>0</v>
      </c>
      <c r="BF149" s="242">
        <f>IF(BF6=Assumptions!$F$40,IF(SUM(BF144:BF146,BF148)&gt;0,-SUM(BF144:BF146,BF148),0),0)</f>
        <v>0</v>
      </c>
      <c r="BG149" s="242">
        <f>IF(BG6=Assumptions!$F$40,IF(SUM(BG144:BG146,BG148)&gt;0,-SUM(BG144:BG146,BG148),0),0)</f>
        <v>0</v>
      </c>
      <c r="BH149" s="242">
        <f>IF(BH6=Assumptions!$F$40,IF(SUM(BH144:BH146,BH148)&gt;0,-SUM(BH144:BH146,BH148),0),0)</f>
        <v>0</v>
      </c>
      <c r="BI149" s="242">
        <f>IF(BI6=Assumptions!$F$40,IF(SUM(BI144:BI146,BI148)&gt;0,-SUM(BI144:BI146,BI148),0),0)</f>
        <v>0</v>
      </c>
      <c r="BJ149" s="242">
        <f>IF(BJ6=Assumptions!$F$40,IF(SUM(BJ144:BJ146,BJ148)&gt;0,-SUM(BJ144:BJ146,BJ148),0),0)</f>
        <v>0</v>
      </c>
      <c r="BK149" s="242">
        <f>IF(BK6=Assumptions!$F$40,IF(SUM(BK144:BK146,BK148)&gt;0,-SUM(BK144:BK146,BK148),0),0)</f>
        <v>0</v>
      </c>
      <c r="BL149" s="242">
        <f>IF(BL6=Assumptions!$F$40,IF(SUM(BL144:BL146,BL148)&gt;0,-SUM(BL144:BL146,BL148),0),0)</f>
        <v>0</v>
      </c>
      <c r="BM149" s="242">
        <f>IF(BM6=Assumptions!$F$40,IF(SUM(BM144:BM146,BM148)&gt;0,-SUM(BM144:BM146,BM148),0),0)</f>
        <v>0</v>
      </c>
      <c r="BN149" s="242">
        <f>IF(BN6=Assumptions!$F$40,IF(SUM(BN144:BN146,BN148)&gt;0,-SUM(BN144:BN146,BN148),0),0)</f>
        <v>0</v>
      </c>
      <c r="BO149" s="242">
        <f>IF(BO6=Assumptions!$F$40,IF(SUM(BO144:BO146,BO148)&gt;0,-SUM(BO144:BO146,BO148),0),0)</f>
        <v>0</v>
      </c>
      <c r="BP149" s="242">
        <f>IF(BP6=Assumptions!$F$40,IF(SUM(BP144:BP146,BP148)&gt;0,-SUM(BP144:BP146,BP148),0),0)</f>
        <v>0</v>
      </c>
      <c r="BQ149" s="242">
        <f>IF(BQ6=Assumptions!$F$40,IF(SUM(BQ144:BQ146,BQ148)&gt;0,-SUM(BQ144:BQ146,BQ148),0),0)</f>
        <v>0</v>
      </c>
      <c r="BR149" s="242">
        <f>IF(BR6=Assumptions!$F$40,IF(SUM(BR144:BR146,BR148)&gt;0,-SUM(BR144:BR146,BR148),0),0)</f>
        <v>0</v>
      </c>
      <c r="BS149" s="242">
        <f>IF(BS6=Assumptions!$F$40,IF(SUM(BS144:BS146,BS148)&gt;0,-SUM(BS144:BS146,BS148),0),0)</f>
        <v>0</v>
      </c>
      <c r="BT149" s="242">
        <f>IF(BT6=Assumptions!$F$40,IF(SUM(BT144:BT146,BT148)&gt;0,-SUM(BT144:BT146,BT148),0),0)</f>
        <v>0</v>
      </c>
      <c r="BU149" s="242">
        <f>IF(BU6=Assumptions!$F$40,IF(SUM(BU144:BU146,BU148)&gt;0,-SUM(BU144:BU146,BU148),0),0)</f>
        <v>0</v>
      </c>
      <c r="BV149" s="242">
        <f>IF(BV6=Assumptions!$F$40,IF(SUM(BV144:BV146,BV148)&gt;0,-SUM(BV144:BV146,BV148),0),0)</f>
        <v>0</v>
      </c>
      <c r="BW149" s="242">
        <f>IF(BW6=Assumptions!$F$40,IF(SUM(BW144:BW146,BW148)&gt;0,-SUM(BW144:BW146,BW148),0),0)</f>
        <v>0</v>
      </c>
      <c r="BX149" s="242">
        <f>IF(BX6=Assumptions!$F$40,IF(SUM(BX144:BX146,BX148)&gt;0,-SUM(BX144:BX146,BX148),0),0)</f>
        <v>0</v>
      </c>
      <c r="BY149" s="242">
        <f>IF(BY6=Assumptions!$F$40,IF(SUM(BY144:BY146,BY148)&gt;0,-SUM(BY144:BY146,BY148),0),0)</f>
        <v>0</v>
      </c>
      <c r="BZ149" s="242">
        <f>IF(BZ6=Assumptions!$F$40,IF(SUM(BZ144:BZ146,BZ148)&gt;0,-SUM(BZ144:BZ146,BZ148),0),0)</f>
        <v>0</v>
      </c>
      <c r="CA149" s="242">
        <f>IF(CA6=Assumptions!$F$40,IF(SUM(CA144:CA146,CA148)&gt;0,-SUM(CA144:CA146,CA148),0),0)</f>
        <v>0</v>
      </c>
      <c r="CB149" s="242">
        <f>IF(CB6=Assumptions!$F$40,IF(SUM(CB144:CB146,CB148)&gt;0,-SUM(CB144:CB146,CB148),0),0)</f>
        <v>0</v>
      </c>
      <c r="CC149" s="242">
        <f>IF(CC6=Assumptions!$F$40,IF(SUM(CC144:CC146,CC148)&gt;0,-SUM(CC144:CC146,CC148),0),0)</f>
        <v>0</v>
      </c>
      <c r="CD149" s="242">
        <f>IF(CD6=Assumptions!$F$40,IF(SUM(CD144:CD146,CD148)&gt;0,-SUM(CD144:CD146,CD148),0),0)</f>
        <v>0</v>
      </c>
      <c r="CE149" s="242">
        <f>IF(CE6=Assumptions!$F$40,IF(SUM(CE144:CE146,CE148)&gt;0,-SUM(CE144:CE146,CE148),0),0)</f>
        <v>0</v>
      </c>
      <c r="CF149" s="242">
        <f>IF(CF6=Assumptions!$F$40,IF(SUM(CF144:CF146,CF148)&gt;0,-SUM(CF144:CF146,CF148),0),0)</f>
        <v>0</v>
      </c>
      <c r="CG149" s="242">
        <f>IF(CG6=Assumptions!$F$40,IF(SUM(CG144:CG146,CG148)&gt;0,-SUM(CG144:CG146,CG148),0),0)</f>
        <v>0</v>
      </c>
      <c r="CH149" s="242">
        <f>IF(CH6=Assumptions!$F$40,IF(SUM(CH144:CH146,CH148)&gt;0,-SUM(CH144:CH146,CH148),0),0)</f>
        <v>0</v>
      </c>
      <c r="CI149" s="242">
        <f>IF(CI6=Assumptions!$F$40,IF(SUM(CI144:CI146,CI148)&gt;0,-SUM(CI144:CI146,CI148),0),0)</f>
        <v>0</v>
      </c>
      <c r="CJ149" s="242">
        <f>IF(CJ6=Assumptions!$F$40,IF(SUM(CJ144:CJ146,CJ148)&gt;0,-SUM(CJ144:CJ146,CJ148),0),0)</f>
        <v>0</v>
      </c>
      <c r="CK149" s="242">
        <f>IF(CK6=Assumptions!$F$40,IF(SUM(CK144:CK146,CK148)&gt;0,-SUM(CK144:CK146,CK148),0),0)</f>
        <v>0</v>
      </c>
      <c r="CL149" s="242">
        <f>IF(CL6=Assumptions!$F$40,IF(SUM(CL144:CL146,CL148)&gt;0,-SUM(CL144:CL146,CL148),0),0)</f>
        <v>0</v>
      </c>
      <c r="CM149" s="242">
        <f>IF(CM6=Assumptions!$F$40,IF(SUM(CM144:CM146,CM148)&gt;0,-SUM(CM144:CM146,CM148),0),0)</f>
        <v>0</v>
      </c>
      <c r="CN149" s="242">
        <f>IF(CN6=Assumptions!$F$40,IF(SUM(CN144:CN146,CN148)&gt;0,-SUM(CN144:CN146,CN148),0),0)</f>
        <v>0</v>
      </c>
      <c r="CO149" s="242">
        <f>IF(CO6=Assumptions!$F$40,IF(SUM(CO144:CO146,CO148)&gt;0,-SUM(CO144:CO146,CO148),0),0)</f>
        <v>0</v>
      </c>
      <c r="CP149" s="242">
        <f>IF(CP6=Assumptions!$F$40,IF(SUM(CP144:CP146,CP148)&gt;0,-SUM(CP144:CP146,CP148),0),0)</f>
        <v>0</v>
      </c>
      <c r="CQ149" s="242">
        <f>IF(CQ6=Assumptions!$F$40,IF(SUM(CQ144:CQ146,CQ148)&gt;0,-SUM(CQ144:CQ146,CQ148),0),0)</f>
        <v>0</v>
      </c>
      <c r="CR149" s="242">
        <f>IF(CR6=Assumptions!$F$40,IF(SUM(CR144:CR146,CR148)&gt;0,-SUM(CR144:CR146,CR148),0),0)</f>
        <v>0</v>
      </c>
      <c r="CS149" s="242">
        <f>IF(CS6=Assumptions!$F$40,IF(SUM(CS144:CS146,CS148)&gt;0,-SUM(CS144:CS146,CS148),0),0)</f>
        <v>0</v>
      </c>
      <c r="CT149" s="242">
        <f>IF(CT6=Assumptions!$F$40,IF(SUM(CT144:CT146,CT148)&gt;0,-SUM(CT144:CT146,CT148),0),0)</f>
        <v>0</v>
      </c>
      <c r="CU149" s="242">
        <f>IF(CU6=Assumptions!$F$40,IF(SUM(CU144:CU146,CU148)&gt;0,-SUM(CU144:CU146,CU148),0),0)</f>
        <v>0</v>
      </c>
      <c r="CV149" s="242">
        <f>IF(CV6=Assumptions!$F$40,IF(SUM(CV144:CV146,CV148)&gt;0,-SUM(CV144:CV146,CV148),0),0)</f>
        <v>0</v>
      </c>
      <c r="CW149" s="242">
        <f>IF(CW6=Assumptions!$F$40,IF(SUM(CW144:CW146,CW148)&gt;0,-SUM(CW144:CW146,CW148),0),0)</f>
        <v>0</v>
      </c>
      <c r="CX149" s="242">
        <f>IF(CX6=Assumptions!$F$40,IF(SUM(CX144:CX146,CX148)&gt;0,-SUM(CX144:CX146,CX148),0),0)</f>
        <v>0</v>
      </c>
      <c r="CY149" s="242">
        <f>IF(CY6=Assumptions!$F$40,IF(SUM(CY144:CY146,CY148)&gt;0,-SUM(CY144:CY146,CY148),0),0)</f>
        <v>0</v>
      </c>
      <c r="CZ149" s="242">
        <f>IF(CZ6=Assumptions!$F$40,IF(SUM(CZ144:CZ146,CZ148)&gt;0,-SUM(CZ144:CZ146,CZ148),0),0)</f>
        <v>0</v>
      </c>
      <c r="DA149" s="242">
        <f>IF(DA6=Assumptions!$F$40,IF(SUM(DA144:DA146,DA148)&gt;0,-SUM(DA144:DA146,DA148),0),0)</f>
        <v>0</v>
      </c>
      <c r="DB149" s="242">
        <f>IF(DB6=Assumptions!$F$40,IF(SUM(DB144:DB146,DB148)&gt;0,-SUM(DB144:DB146,DB148),0),0)</f>
        <v>0</v>
      </c>
      <c r="DC149" s="242">
        <f>IF(DC6=Assumptions!$F$40,IF(SUM(DC144:DC146,DC148)&gt;0,-SUM(DC144:DC146,DC148),0),0)</f>
        <v>0</v>
      </c>
      <c r="DD149" s="242">
        <f>IF(DD6=Assumptions!$F$40,IF(SUM(DD144:DD146,DD148)&gt;0,-SUM(DD144:DD146,DD148),0),0)</f>
        <v>0</v>
      </c>
      <c r="DE149" s="242">
        <f>IF(DE6=Assumptions!$F$40,IF(SUM(DE144:DE146,DE148)&gt;0,-SUM(DE144:DE146,DE148),0),0)</f>
        <v>0</v>
      </c>
      <c r="DF149" s="242">
        <f>IF(DF6=Assumptions!$F$40,IF(SUM(DF144:DF146,DF148)&gt;0,-SUM(DF144:DF146,DF148),0),0)</f>
        <v>0</v>
      </c>
      <c r="DG149" s="242">
        <f>IF(DG6=Assumptions!$F$40,IF(SUM(DG144:DG146,DG148)&gt;0,-SUM(DG144:DG146,DG148),0),0)</f>
        <v>0</v>
      </c>
      <c r="DH149" s="242">
        <f>IF(DH6=Assumptions!$F$40,IF(SUM(DH144:DH146,DH148)&gt;0,-SUM(DH144:DH146,DH148),0),0)</f>
        <v>0</v>
      </c>
      <c r="DI149" s="242">
        <f>IF(DI6=Assumptions!$F$40,IF(SUM(DI144:DI146,DI148)&gt;0,-SUM(DI144:DI146,DI148),0),0)</f>
        <v>0</v>
      </c>
      <c r="DJ149" s="242">
        <f>IF(DJ6=Assumptions!$F$40,IF(SUM(DJ144:DJ146,DJ148)&gt;0,-SUM(DJ144:DJ146,DJ148),0),0)</f>
        <v>0</v>
      </c>
      <c r="DK149" s="242">
        <f>IF(DK6=Assumptions!$F$40,IF(SUM(DK144:DK146,DK148)&gt;0,-SUM(DK144:DK146,DK148),0),0)</f>
        <v>0</v>
      </c>
      <c r="DL149" s="242">
        <f>IF(DL6=Assumptions!$F$40,IF(SUM(DL144:DL146,DL148)&gt;0,-SUM(DL144:DL146,DL148),0),0)</f>
        <v>0</v>
      </c>
      <c r="DM149" s="242">
        <f>IF(DM6=Assumptions!$F$40,IF(SUM(DM144:DM146,DM148)&gt;0,-SUM(DM144:DM146,DM148),0),0)</f>
        <v>0</v>
      </c>
      <c r="DN149" s="242">
        <f>IF(DN6=Assumptions!$F$40,IF(SUM(DN144:DN146,DN148)&gt;0,-SUM(DN144:DN146,DN148),0),0)</f>
        <v>0</v>
      </c>
      <c r="DO149" s="242">
        <f>IF(DO6=Assumptions!$F$40,IF(SUM(DO144:DO146,DO148)&gt;0,-SUM(DO144:DO146,DO148),0),0)</f>
        <v>0</v>
      </c>
      <c r="DP149" s="242">
        <f>IF(DP6=Assumptions!$F$40,IF(SUM(DP144:DP146,DP148)&gt;0,-SUM(DP144:DP146,DP148),0),0)</f>
        <v>0</v>
      </c>
      <c r="DQ149" s="242">
        <f>IF(DQ6=Assumptions!$F$40,IF(SUM(DQ144:DQ146,DQ148)&gt;0,-SUM(DQ144:DQ146,DQ148),0),0)</f>
        <v>0</v>
      </c>
      <c r="DR149" s="242">
        <f>IF(DR6=Assumptions!$F$40,IF(SUM(DR144:DR146,DR148)&gt;0,-SUM(DR144:DR146,DR148),0),0)</f>
        <v>0</v>
      </c>
      <c r="DS149" s="242">
        <f>IF(DS6=Assumptions!$F$40,IF(SUM(DS144:DS146,DS148)&gt;0,-SUM(DS144:DS146,DS148),0),0)</f>
        <v>0</v>
      </c>
      <c r="DT149" s="242">
        <f>IF(DT6=Assumptions!$F$40,IF(SUM(DT144:DT146,DT148)&gt;0,-SUM(DT144:DT146,DT148),0),0)</f>
        <v>0</v>
      </c>
      <c r="DU149" s="242">
        <f>IF(DU6=Assumptions!$F$40,IF(SUM(DU144:DU146,DU148)&gt;0,-SUM(DU144:DU146,DU148),0),0)</f>
        <v>0</v>
      </c>
      <c r="DV149" s="242">
        <f>IF(DV6=Assumptions!$F$40,IF(SUM(DV144:DV146,DV148)&gt;0,-SUM(DV144:DV146,DV148),0),0)</f>
        <v>0</v>
      </c>
      <c r="DW149" s="242">
        <f>IF(DW6=Assumptions!$F$40,IF(SUM(DW144:DW146,DW148)&gt;0,-SUM(DW144:DW146,DW148),0),0)</f>
        <v>0</v>
      </c>
      <c r="DX149" s="242">
        <f>IF(DX6=Assumptions!$F$40,IF(SUM(DX144:DX146,DX148)&gt;0,-SUM(DX144:DX146,DX148),0),0)</f>
        <v>0</v>
      </c>
      <c r="DY149" s="242">
        <f>IF(DY6=Assumptions!$F$40,IF(SUM(DY144:DY146,DY148)&gt;0,-SUM(DY144:DY146,DY148),0),0)</f>
        <v>0</v>
      </c>
      <c r="DZ149" s="242">
        <f>IF(DZ6=Assumptions!$F$40,IF(SUM(DZ144:DZ146,DZ148)&gt;0,-SUM(DZ144:DZ146,DZ148),0),0)</f>
        <v>0</v>
      </c>
      <c r="EA149" s="242">
        <f>IF(EA6=Assumptions!$F$40,IF(SUM(EA144:EA146,EA148)&gt;0,-SUM(EA144:EA146,EA148),0),0)</f>
        <v>0</v>
      </c>
      <c r="EB149" s="242">
        <f>IF(EB6=Assumptions!$F$40,IF(SUM(EB144:EB146,EB148)&gt;0,-SUM(EB144:EB146,EB148),0),0)</f>
        <v>0</v>
      </c>
      <c r="EC149" s="242">
        <f>IF(EC6=Assumptions!$F$40,IF(SUM(EC144:EC146,EC148)&gt;0,-SUM(EC144:EC146,EC148),0),0)</f>
        <v>0</v>
      </c>
      <c r="ED149" s="242">
        <f>IF(ED6=Assumptions!$F$40,IF(SUM(ED144:ED146,ED148)&gt;0,-SUM(ED144:ED146,ED148),0),0)</f>
        <v>0</v>
      </c>
      <c r="EE149" s="242">
        <f>IF(EE6=Assumptions!$F$40,IF(SUM(EE144:EE146,EE148)&gt;0,-SUM(EE144:EE146,EE148),0),0)</f>
        <v>0</v>
      </c>
      <c r="EF149" s="242">
        <f>IF(EF6=Assumptions!$F$40,IF(SUM(EF144:EF146,EF148)&gt;0,-SUM(EF144:EF146,EF148),0),0)</f>
        <v>0</v>
      </c>
      <c r="EG149" s="242">
        <f>IF(EG6=Assumptions!$F$40,IF(SUM(EG144:EG146,EG148)&gt;0,-SUM(EG144:EG146,EG148),0),0)</f>
        <v>0</v>
      </c>
      <c r="EH149" s="242">
        <f>IF(EH6=Assumptions!$F$40,IF(SUM(EH144:EH146,EH148)&gt;0,-SUM(EH144:EH146,EH148),0),0)</f>
        <v>0</v>
      </c>
      <c r="EI149" s="242">
        <f>IF(EI6=Assumptions!$F$40,IF(SUM(EI144:EI146,EI148)&gt;0,-SUM(EI144:EI146,EI148),0),0)</f>
        <v>0</v>
      </c>
      <c r="EJ149" s="242">
        <f>IF(EJ6=Assumptions!$F$40,IF(SUM(EJ144:EJ146,EJ148)&gt;0,-SUM(EJ144:EJ146,EJ148),0),0)</f>
        <v>0</v>
      </c>
      <c r="EK149" s="242">
        <f>IF(EK6=Assumptions!$F$40,IF(SUM(EK144:EK146,EK148)&gt;0,-SUM(EK144:EK146,EK148),0),0)</f>
        <v>0</v>
      </c>
      <c r="EL149" s="242">
        <f>IF(EL6=Assumptions!$F$40,IF(SUM(EL144:EL146,EL148)&gt;0,-SUM(EL144:EL146,EL148),0),0)</f>
        <v>0</v>
      </c>
      <c r="EM149" s="242">
        <f>IF(EM6=Assumptions!$F$40,IF(SUM(EM144:EM146,EM148)&gt;0,-SUM(EM144:EM146,EM148),0),0)</f>
        <v>0</v>
      </c>
      <c r="EN149" s="242">
        <f>IF(EN6=Assumptions!$F$40,IF(SUM(EN144:EN146,EN148)&gt;0,-SUM(EN144:EN146,EN148),0),0)</f>
        <v>0</v>
      </c>
      <c r="EO149" s="242">
        <f>IF(EO6=Assumptions!$F$40,IF(SUM(EO144:EO146,EO148)&gt;0,-SUM(EO144:EO146,EO148),0),0)</f>
        <v>0</v>
      </c>
      <c r="EP149" s="242">
        <f>IF(EP6=Assumptions!$F$40,IF(SUM(EP144:EP146,EP148)&gt;0,-SUM(EP144:EP146,EP148),0),0)</f>
        <v>0</v>
      </c>
      <c r="EQ149" s="242">
        <f>IF(EQ6=Assumptions!$F$40,IF(SUM(EQ144:EQ146,EQ148)&gt;0,-SUM(EQ144:EQ146,EQ148),0),0)</f>
        <v>0</v>
      </c>
      <c r="ER149" s="242">
        <f>IF(ER6=Assumptions!$F$40,IF(SUM(ER144:ER146,ER148)&gt;0,-SUM(ER144:ER146,ER148),0),0)</f>
        <v>0</v>
      </c>
      <c r="ES149" s="242">
        <f>IF(ES6=Assumptions!$F$40,IF(SUM(ES144:ES146,ES148)&gt;0,-SUM(ES144:ES146,ES148),0),0)</f>
        <v>0</v>
      </c>
      <c r="ET149" s="242">
        <f>IF(ET6=Assumptions!$F$40,IF(SUM(ET144:ET146,ET148)&gt;0,-SUM(ET144:ET146,ET148),0),0)</f>
        <v>0</v>
      </c>
    </row>
    <row r="150" spans="2:150" x14ac:dyDescent="0.2">
      <c r="B150" s="98" t="s">
        <v>169</v>
      </c>
      <c r="C150" s="98"/>
      <c r="D150" s="97"/>
      <c r="E150" s="98"/>
      <c r="F150" s="251">
        <f>F144+F145+F148+F149</f>
        <v>0</v>
      </c>
      <c r="G150" s="251">
        <f t="shared" ref="G150:BR150" si="1619">G144+G145+G148+G149</f>
        <v>0</v>
      </c>
      <c r="H150" s="251">
        <f t="shared" si="1619"/>
        <v>0</v>
      </c>
      <c r="I150" s="251">
        <f t="shared" si="1619"/>
        <v>0</v>
      </c>
      <c r="J150" s="251">
        <f t="shared" si="1619"/>
        <v>0</v>
      </c>
      <c r="K150" s="251">
        <f t="shared" si="1619"/>
        <v>0</v>
      </c>
      <c r="L150" s="251">
        <f t="shared" si="1619"/>
        <v>0</v>
      </c>
      <c r="M150" s="251">
        <f t="shared" si="1619"/>
        <v>0</v>
      </c>
      <c r="N150" s="251">
        <f t="shared" si="1619"/>
        <v>0</v>
      </c>
      <c r="O150" s="251">
        <f t="shared" si="1619"/>
        <v>0</v>
      </c>
      <c r="P150" s="251">
        <f t="shared" si="1619"/>
        <v>0</v>
      </c>
      <c r="Q150" s="251">
        <f t="shared" si="1619"/>
        <v>0</v>
      </c>
      <c r="R150" s="251">
        <f t="shared" si="1619"/>
        <v>0</v>
      </c>
      <c r="S150" s="251">
        <f t="shared" si="1619"/>
        <v>0</v>
      </c>
      <c r="T150" s="251">
        <f t="shared" si="1619"/>
        <v>0</v>
      </c>
      <c r="U150" s="251">
        <f t="shared" si="1619"/>
        <v>0</v>
      </c>
      <c r="V150" s="251">
        <f t="shared" si="1619"/>
        <v>0</v>
      </c>
      <c r="W150" s="251">
        <f t="shared" si="1619"/>
        <v>0</v>
      </c>
      <c r="X150" s="251">
        <f t="shared" si="1619"/>
        <v>0</v>
      </c>
      <c r="Y150" s="251">
        <f t="shared" si="1619"/>
        <v>0</v>
      </c>
      <c r="Z150" s="251">
        <f t="shared" si="1619"/>
        <v>0</v>
      </c>
      <c r="AA150" s="251">
        <f t="shared" si="1619"/>
        <v>0</v>
      </c>
      <c r="AB150" s="251">
        <f t="shared" si="1619"/>
        <v>0</v>
      </c>
      <c r="AC150" s="251">
        <f t="shared" si="1619"/>
        <v>0</v>
      </c>
      <c r="AD150" s="251">
        <f t="shared" si="1619"/>
        <v>0</v>
      </c>
      <c r="AE150" s="251">
        <f t="shared" si="1619"/>
        <v>0</v>
      </c>
      <c r="AF150" s="251">
        <f t="shared" si="1619"/>
        <v>0</v>
      </c>
      <c r="AG150" s="251">
        <f t="shared" si="1619"/>
        <v>0</v>
      </c>
      <c r="AH150" s="251">
        <f t="shared" si="1619"/>
        <v>0</v>
      </c>
      <c r="AI150" s="251">
        <f t="shared" si="1619"/>
        <v>0</v>
      </c>
      <c r="AJ150" s="251">
        <f t="shared" si="1619"/>
        <v>0</v>
      </c>
      <c r="AK150" s="251">
        <f t="shared" si="1619"/>
        <v>0</v>
      </c>
      <c r="AL150" s="251">
        <f t="shared" si="1619"/>
        <v>0</v>
      </c>
      <c r="AM150" s="251">
        <f t="shared" si="1619"/>
        <v>0</v>
      </c>
      <c r="AN150" s="251">
        <f t="shared" si="1619"/>
        <v>0</v>
      </c>
      <c r="AO150" s="251">
        <f t="shared" si="1619"/>
        <v>0</v>
      </c>
      <c r="AP150" s="251">
        <f t="shared" si="1619"/>
        <v>0</v>
      </c>
      <c r="AQ150" s="251">
        <f t="shared" si="1619"/>
        <v>0</v>
      </c>
      <c r="AR150" s="251">
        <f t="shared" si="1619"/>
        <v>0</v>
      </c>
      <c r="AS150" s="251">
        <f t="shared" si="1619"/>
        <v>0</v>
      </c>
      <c r="AT150" s="251">
        <f t="shared" si="1619"/>
        <v>0</v>
      </c>
      <c r="AU150" s="251">
        <f t="shared" si="1619"/>
        <v>0</v>
      </c>
      <c r="AV150" s="251">
        <f t="shared" si="1619"/>
        <v>0</v>
      </c>
      <c r="AW150" s="251">
        <f t="shared" si="1619"/>
        <v>0</v>
      </c>
      <c r="AX150" s="251">
        <f t="shared" si="1619"/>
        <v>0</v>
      </c>
      <c r="AY150" s="251">
        <f t="shared" si="1619"/>
        <v>0</v>
      </c>
      <c r="AZ150" s="251">
        <f t="shared" si="1619"/>
        <v>0</v>
      </c>
      <c r="BA150" s="251">
        <f t="shared" si="1619"/>
        <v>0</v>
      </c>
      <c r="BB150" s="251">
        <f t="shared" si="1619"/>
        <v>0</v>
      </c>
      <c r="BC150" s="251">
        <f t="shared" si="1619"/>
        <v>0</v>
      </c>
      <c r="BD150" s="251">
        <f t="shared" si="1619"/>
        <v>0</v>
      </c>
      <c r="BE150" s="251">
        <f t="shared" si="1619"/>
        <v>0</v>
      </c>
      <c r="BF150" s="251">
        <f t="shared" si="1619"/>
        <v>0</v>
      </c>
      <c r="BG150" s="251">
        <f t="shared" si="1619"/>
        <v>0</v>
      </c>
      <c r="BH150" s="251">
        <f t="shared" si="1619"/>
        <v>0</v>
      </c>
      <c r="BI150" s="251">
        <f t="shared" si="1619"/>
        <v>0</v>
      </c>
      <c r="BJ150" s="251">
        <f t="shared" si="1619"/>
        <v>0</v>
      </c>
      <c r="BK150" s="251">
        <f t="shared" si="1619"/>
        <v>0</v>
      </c>
      <c r="BL150" s="251">
        <f t="shared" si="1619"/>
        <v>0</v>
      </c>
      <c r="BM150" s="251">
        <f t="shared" si="1619"/>
        <v>0</v>
      </c>
      <c r="BN150" s="251">
        <f t="shared" si="1619"/>
        <v>0</v>
      </c>
      <c r="BO150" s="251">
        <f t="shared" si="1619"/>
        <v>0</v>
      </c>
      <c r="BP150" s="251">
        <f t="shared" si="1619"/>
        <v>0</v>
      </c>
      <c r="BQ150" s="251">
        <f t="shared" si="1619"/>
        <v>0</v>
      </c>
      <c r="BR150" s="251">
        <f t="shared" si="1619"/>
        <v>0</v>
      </c>
      <c r="BS150" s="251">
        <f t="shared" ref="BS150:BZ150" si="1620">BS144+BS145+BS148+BS149</f>
        <v>0</v>
      </c>
      <c r="BT150" s="251">
        <f t="shared" si="1620"/>
        <v>0</v>
      </c>
      <c r="BU150" s="251">
        <f t="shared" si="1620"/>
        <v>0</v>
      </c>
      <c r="BV150" s="251">
        <f t="shared" si="1620"/>
        <v>0</v>
      </c>
      <c r="BW150" s="251">
        <f t="shared" si="1620"/>
        <v>0</v>
      </c>
      <c r="BX150" s="251">
        <f t="shared" si="1620"/>
        <v>0</v>
      </c>
      <c r="BY150" s="251">
        <f t="shared" si="1620"/>
        <v>0</v>
      </c>
      <c r="BZ150" s="251">
        <f t="shared" si="1620"/>
        <v>0</v>
      </c>
      <c r="CA150" s="251">
        <f t="shared" ref="CA150:EL150" si="1621">CA144+CA145+CA148+CA149</f>
        <v>0</v>
      </c>
      <c r="CB150" s="251">
        <f t="shared" si="1621"/>
        <v>0</v>
      </c>
      <c r="CC150" s="251">
        <f t="shared" si="1621"/>
        <v>0</v>
      </c>
      <c r="CD150" s="251">
        <f t="shared" si="1621"/>
        <v>0</v>
      </c>
      <c r="CE150" s="251">
        <f t="shared" si="1621"/>
        <v>0</v>
      </c>
      <c r="CF150" s="251">
        <f t="shared" si="1621"/>
        <v>0</v>
      </c>
      <c r="CG150" s="251">
        <f t="shared" si="1621"/>
        <v>0</v>
      </c>
      <c r="CH150" s="251">
        <f t="shared" si="1621"/>
        <v>0</v>
      </c>
      <c r="CI150" s="251">
        <f t="shared" si="1621"/>
        <v>0</v>
      </c>
      <c r="CJ150" s="251">
        <f t="shared" si="1621"/>
        <v>0</v>
      </c>
      <c r="CK150" s="251">
        <f t="shared" si="1621"/>
        <v>0</v>
      </c>
      <c r="CL150" s="251">
        <f t="shared" si="1621"/>
        <v>0</v>
      </c>
      <c r="CM150" s="251">
        <f t="shared" si="1621"/>
        <v>0</v>
      </c>
      <c r="CN150" s="251">
        <f t="shared" si="1621"/>
        <v>0</v>
      </c>
      <c r="CO150" s="251">
        <f t="shared" si="1621"/>
        <v>0</v>
      </c>
      <c r="CP150" s="251">
        <f t="shared" si="1621"/>
        <v>0</v>
      </c>
      <c r="CQ150" s="251">
        <f t="shared" si="1621"/>
        <v>0</v>
      </c>
      <c r="CR150" s="251">
        <f t="shared" si="1621"/>
        <v>0</v>
      </c>
      <c r="CS150" s="251">
        <f t="shared" si="1621"/>
        <v>0</v>
      </c>
      <c r="CT150" s="251">
        <f t="shared" si="1621"/>
        <v>0</v>
      </c>
      <c r="CU150" s="251">
        <f t="shared" si="1621"/>
        <v>0</v>
      </c>
      <c r="CV150" s="251">
        <f t="shared" si="1621"/>
        <v>0</v>
      </c>
      <c r="CW150" s="251">
        <f t="shared" si="1621"/>
        <v>0</v>
      </c>
      <c r="CX150" s="251">
        <f t="shared" si="1621"/>
        <v>0</v>
      </c>
      <c r="CY150" s="251">
        <f t="shared" si="1621"/>
        <v>0</v>
      </c>
      <c r="CZ150" s="251">
        <f t="shared" si="1621"/>
        <v>0</v>
      </c>
      <c r="DA150" s="251">
        <f t="shared" si="1621"/>
        <v>0</v>
      </c>
      <c r="DB150" s="251">
        <f t="shared" si="1621"/>
        <v>0</v>
      </c>
      <c r="DC150" s="251">
        <f t="shared" si="1621"/>
        <v>0</v>
      </c>
      <c r="DD150" s="251">
        <f t="shared" si="1621"/>
        <v>0</v>
      </c>
      <c r="DE150" s="251">
        <f t="shared" si="1621"/>
        <v>0</v>
      </c>
      <c r="DF150" s="251">
        <f t="shared" si="1621"/>
        <v>0</v>
      </c>
      <c r="DG150" s="251">
        <f t="shared" si="1621"/>
        <v>0</v>
      </c>
      <c r="DH150" s="251">
        <f t="shared" si="1621"/>
        <v>0</v>
      </c>
      <c r="DI150" s="251">
        <f t="shared" si="1621"/>
        <v>0</v>
      </c>
      <c r="DJ150" s="251">
        <f t="shared" si="1621"/>
        <v>0</v>
      </c>
      <c r="DK150" s="251">
        <f t="shared" si="1621"/>
        <v>0</v>
      </c>
      <c r="DL150" s="251">
        <f t="shared" si="1621"/>
        <v>0</v>
      </c>
      <c r="DM150" s="251">
        <f t="shared" si="1621"/>
        <v>0</v>
      </c>
      <c r="DN150" s="251">
        <f t="shared" si="1621"/>
        <v>0</v>
      </c>
      <c r="DO150" s="251">
        <f t="shared" si="1621"/>
        <v>0</v>
      </c>
      <c r="DP150" s="251">
        <f t="shared" si="1621"/>
        <v>0</v>
      </c>
      <c r="DQ150" s="251">
        <f t="shared" si="1621"/>
        <v>0</v>
      </c>
      <c r="DR150" s="251">
        <f t="shared" si="1621"/>
        <v>0</v>
      </c>
      <c r="DS150" s="251">
        <f t="shared" si="1621"/>
        <v>0</v>
      </c>
      <c r="DT150" s="251">
        <f t="shared" si="1621"/>
        <v>0</v>
      </c>
      <c r="DU150" s="251">
        <f t="shared" si="1621"/>
        <v>0</v>
      </c>
      <c r="DV150" s="251">
        <f t="shared" si="1621"/>
        <v>0</v>
      </c>
      <c r="DW150" s="251">
        <f t="shared" si="1621"/>
        <v>0</v>
      </c>
      <c r="DX150" s="251">
        <f t="shared" si="1621"/>
        <v>0</v>
      </c>
      <c r="DY150" s="251">
        <f t="shared" si="1621"/>
        <v>0</v>
      </c>
      <c r="DZ150" s="251">
        <f t="shared" si="1621"/>
        <v>0</v>
      </c>
      <c r="EA150" s="251">
        <f t="shared" si="1621"/>
        <v>0</v>
      </c>
      <c r="EB150" s="251">
        <f t="shared" si="1621"/>
        <v>0</v>
      </c>
      <c r="EC150" s="251">
        <f t="shared" si="1621"/>
        <v>0</v>
      </c>
      <c r="ED150" s="251">
        <f t="shared" si="1621"/>
        <v>0</v>
      </c>
      <c r="EE150" s="251">
        <f t="shared" si="1621"/>
        <v>0</v>
      </c>
      <c r="EF150" s="251">
        <f t="shared" si="1621"/>
        <v>0</v>
      </c>
      <c r="EG150" s="251">
        <f t="shared" si="1621"/>
        <v>0</v>
      </c>
      <c r="EH150" s="251">
        <f t="shared" si="1621"/>
        <v>0</v>
      </c>
      <c r="EI150" s="251">
        <f t="shared" si="1621"/>
        <v>0</v>
      </c>
      <c r="EJ150" s="251">
        <f t="shared" si="1621"/>
        <v>0</v>
      </c>
      <c r="EK150" s="251">
        <f t="shared" si="1621"/>
        <v>0</v>
      </c>
      <c r="EL150" s="251">
        <f t="shared" si="1621"/>
        <v>0</v>
      </c>
      <c r="EM150" s="251">
        <f t="shared" ref="EM150:ET150" si="1622">EM144+EM145+EM148+EM149</f>
        <v>0</v>
      </c>
      <c r="EN150" s="251">
        <f t="shared" si="1622"/>
        <v>0</v>
      </c>
      <c r="EO150" s="251">
        <f t="shared" si="1622"/>
        <v>0</v>
      </c>
      <c r="EP150" s="251">
        <f t="shared" si="1622"/>
        <v>0</v>
      </c>
      <c r="EQ150" s="251">
        <f t="shared" si="1622"/>
        <v>0</v>
      </c>
      <c r="ER150" s="251">
        <f t="shared" si="1622"/>
        <v>0</v>
      </c>
      <c r="ES150" s="251">
        <f t="shared" si="1622"/>
        <v>0</v>
      </c>
      <c r="ET150" s="251">
        <f t="shared" si="1622"/>
        <v>0</v>
      </c>
    </row>
    <row r="151" spans="2:150" s="95" customFormat="1" ht="16" thickBot="1" x14ac:dyDescent="0.25">
      <c r="D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</row>
    <row r="152" spans="2:150" x14ac:dyDescent="0.2"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spans="2:150" x14ac:dyDescent="0.2">
      <c r="B153" s="83" t="s">
        <v>176</v>
      </c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spans="2:150" x14ac:dyDescent="0.2">
      <c r="B154" s="16" t="s">
        <v>177</v>
      </c>
      <c r="C154" s="17"/>
      <c r="D154" s="91"/>
      <c r="E154" s="17"/>
      <c r="F154" s="252">
        <f t="shared" ref="F154:AK154" ca="1" si="1623">F89</f>
        <v>-2021575.8597919773</v>
      </c>
      <c r="G154" s="252">
        <f t="shared" ca="1" si="1623"/>
        <v>-133075.85979197739</v>
      </c>
      <c r="H154" s="252">
        <f t="shared" ca="1" si="1623"/>
        <v>-133075.85979197739</v>
      </c>
      <c r="I154" s="252">
        <f t="shared" ca="1" si="1623"/>
        <v>-133075.85979197739</v>
      </c>
      <c r="J154" s="252">
        <f t="shared" ca="1" si="1623"/>
        <v>-133075.85979197739</v>
      </c>
      <c r="K154" s="252">
        <f t="shared" ca="1" si="1623"/>
        <v>-133075.85979197739</v>
      </c>
      <c r="L154" s="252">
        <f t="shared" ca="1" si="1623"/>
        <v>-133075.85979197739</v>
      </c>
      <c r="M154" s="252">
        <f t="shared" ca="1" si="1623"/>
        <v>-133075.85979197739</v>
      </c>
      <c r="N154" s="252">
        <f t="shared" ca="1" si="1623"/>
        <v>-133075.85979197739</v>
      </c>
      <c r="O154" s="252">
        <f t="shared" ca="1" si="1623"/>
        <v>-133075.85979197739</v>
      </c>
      <c r="P154" s="252">
        <f t="shared" ca="1" si="1623"/>
        <v>-133075.85979197739</v>
      </c>
      <c r="Q154" s="252">
        <f t="shared" ca="1" si="1623"/>
        <v>-133075.85979197739</v>
      </c>
      <c r="R154" s="252">
        <f t="shared" ca="1" si="1623"/>
        <v>-133075.85979197739</v>
      </c>
      <c r="S154" s="252">
        <f t="shared" ca="1" si="1623"/>
        <v>-133075.85979197739</v>
      </c>
      <c r="T154" s="252">
        <f t="shared" ca="1" si="1623"/>
        <v>-133075.85979197739</v>
      </c>
      <c r="U154" s="252">
        <f t="shared" ca="1" si="1623"/>
        <v>-1109050.8597919773</v>
      </c>
      <c r="V154" s="252">
        <f t="shared" ca="1" si="1623"/>
        <v>-1109050.8597919773</v>
      </c>
      <c r="W154" s="252">
        <f t="shared" ca="1" si="1623"/>
        <v>-1109050.8597919773</v>
      </c>
      <c r="X154" s="252">
        <f t="shared" ca="1" si="1623"/>
        <v>-334243.05899830069</v>
      </c>
      <c r="Y154" s="252">
        <f t="shared" ca="1" si="1623"/>
        <v>0</v>
      </c>
      <c r="Z154" s="252">
        <f t="shared" ca="1" si="1623"/>
        <v>0</v>
      </c>
      <c r="AA154" s="252">
        <f t="shared" ca="1" si="1623"/>
        <v>0</v>
      </c>
      <c r="AB154" s="252">
        <f t="shared" ca="1" si="1623"/>
        <v>0</v>
      </c>
      <c r="AC154" s="252">
        <f t="shared" ca="1" si="1623"/>
        <v>0</v>
      </c>
      <c r="AD154" s="252">
        <f t="shared" ca="1" si="1623"/>
        <v>0</v>
      </c>
      <c r="AE154" s="252">
        <f t="shared" ca="1" si="1623"/>
        <v>0</v>
      </c>
      <c r="AF154" s="252">
        <f t="shared" ca="1" si="1623"/>
        <v>0</v>
      </c>
      <c r="AG154" s="252">
        <f t="shared" ca="1" si="1623"/>
        <v>0</v>
      </c>
      <c r="AH154" s="252">
        <f t="shared" ca="1" si="1623"/>
        <v>0</v>
      </c>
      <c r="AI154" s="252">
        <f t="shared" ca="1" si="1623"/>
        <v>0</v>
      </c>
      <c r="AJ154" s="252">
        <f t="shared" ca="1" si="1623"/>
        <v>0</v>
      </c>
      <c r="AK154" s="252">
        <f t="shared" ca="1" si="1623"/>
        <v>0</v>
      </c>
      <c r="AL154" s="252">
        <f t="shared" ref="AL154:BQ154" ca="1" si="1624">AL89</f>
        <v>0</v>
      </c>
      <c r="AM154" s="252">
        <f t="shared" ca="1" si="1624"/>
        <v>0</v>
      </c>
      <c r="AN154" s="252">
        <f t="shared" ca="1" si="1624"/>
        <v>0</v>
      </c>
      <c r="AO154" s="252">
        <f t="shared" ca="1" si="1624"/>
        <v>0</v>
      </c>
      <c r="AP154" s="252">
        <f t="shared" ca="1" si="1624"/>
        <v>0</v>
      </c>
      <c r="AQ154" s="252">
        <f t="shared" ca="1" si="1624"/>
        <v>0</v>
      </c>
      <c r="AR154" s="252">
        <f t="shared" ca="1" si="1624"/>
        <v>0</v>
      </c>
      <c r="AS154" s="252">
        <f t="shared" ca="1" si="1624"/>
        <v>0</v>
      </c>
      <c r="AT154" s="252">
        <f t="shared" ca="1" si="1624"/>
        <v>0</v>
      </c>
      <c r="AU154" s="252">
        <f t="shared" ca="1" si="1624"/>
        <v>0</v>
      </c>
      <c r="AV154" s="252">
        <f t="shared" ca="1" si="1624"/>
        <v>0</v>
      </c>
      <c r="AW154" s="252">
        <f t="shared" ca="1" si="1624"/>
        <v>0</v>
      </c>
      <c r="AX154" s="252">
        <f t="shared" ca="1" si="1624"/>
        <v>0</v>
      </c>
      <c r="AY154" s="252">
        <f t="shared" ca="1" si="1624"/>
        <v>0</v>
      </c>
      <c r="AZ154" s="252">
        <f t="shared" ca="1" si="1624"/>
        <v>0</v>
      </c>
      <c r="BA154" s="252">
        <f t="shared" ca="1" si="1624"/>
        <v>0</v>
      </c>
      <c r="BB154" s="252">
        <f t="shared" ca="1" si="1624"/>
        <v>0</v>
      </c>
      <c r="BC154" s="252">
        <f t="shared" ca="1" si="1624"/>
        <v>0</v>
      </c>
      <c r="BD154" s="252">
        <f t="shared" ca="1" si="1624"/>
        <v>0</v>
      </c>
      <c r="BE154" s="252">
        <f t="shared" ca="1" si="1624"/>
        <v>0</v>
      </c>
      <c r="BF154" s="252">
        <f t="shared" ca="1" si="1624"/>
        <v>0</v>
      </c>
      <c r="BG154" s="252">
        <f t="shared" ca="1" si="1624"/>
        <v>0</v>
      </c>
      <c r="BH154" s="252">
        <f t="shared" ca="1" si="1624"/>
        <v>0</v>
      </c>
      <c r="BI154" s="252">
        <f t="shared" ca="1" si="1624"/>
        <v>0</v>
      </c>
      <c r="BJ154" s="252">
        <f t="shared" ca="1" si="1624"/>
        <v>0</v>
      </c>
      <c r="BK154" s="252">
        <f t="shared" ca="1" si="1624"/>
        <v>0</v>
      </c>
      <c r="BL154" s="252">
        <f t="shared" ca="1" si="1624"/>
        <v>0</v>
      </c>
      <c r="BM154" s="252">
        <f t="shared" ca="1" si="1624"/>
        <v>0</v>
      </c>
      <c r="BN154" s="252">
        <f t="shared" ca="1" si="1624"/>
        <v>0</v>
      </c>
      <c r="BO154" s="252">
        <f t="shared" ca="1" si="1624"/>
        <v>0</v>
      </c>
      <c r="BP154" s="252">
        <f t="shared" ca="1" si="1624"/>
        <v>0</v>
      </c>
      <c r="BQ154" s="252">
        <f t="shared" ca="1" si="1624"/>
        <v>0</v>
      </c>
      <c r="BR154" s="252">
        <f t="shared" ref="BR154:BZ154" ca="1" si="1625">BR89</f>
        <v>0</v>
      </c>
      <c r="BS154" s="252">
        <f t="shared" ca="1" si="1625"/>
        <v>0</v>
      </c>
      <c r="BT154" s="252">
        <f t="shared" ca="1" si="1625"/>
        <v>0</v>
      </c>
      <c r="BU154" s="252">
        <f t="shared" ca="1" si="1625"/>
        <v>0</v>
      </c>
      <c r="BV154" s="252">
        <f t="shared" ca="1" si="1625"/>
        <v>0</v>
      </c>
      <c r="BW154" s="252">
        <f t="shared" ca="1" si="1625"/>
        <v>0</v>
      </c>
      <c r="BX154" s="252">
        <f t="shared" ca="1" si="1625"/>
        <v>0</v>
      </c>
      <c r="BY154" s="252">
        <f t="shared" ca="1" si="1625"/>
        <v>0</v>
      </c>
      <c r="BZ154" s="252">
        <f t="shared" ca="1" si="1625"/>
        <v>0</v>
      </c>
      <c r="CA154" s="252">
        <f t="shared" ref="CA154:EL154" ca="1" si="1626">CA89</f>
        <v>0</v>
      </c>
      <c r="CB154" s="252">
        <f t="shared" ca="1" si="1626"/>
        <v>0</v>
      </c>
      <c r="CC154" s="252">
        <f t="shared" ca="1" si="1626"/>
        <v>0</v>
      </c>
      <c r="CD154" s="252">
        <f t="shared" ca="1" si="1626"/>
        <v>0</v>
      </c>
      <c r="CE154" s="252">
        <f t="shared" ca="1" si="1626"/>
        <v>0</v>
      </c>
      <c r="CF154" s="252">
        <f t="shared" ca="1" si="1626"/>
        <v>0</v>
      </c>
      <c r="CG154" s="252">
        <f t="shared" ca="1" si="1626"/>
        <v>0</v>
      </c>
      <c r="CH154" s="252">
        <f t="shared" ca="1" si="1626"/>
        <v>0</v>
      </c>
      <c r="CI154" s="252">
        <f t="shared" ca="1" si="1626"/>
        <v>0</v>
      </c>
      <c r="CJ154" s="252">
        <f t="shared" ca="1" si="1626"/>
        <v>0</v>
      </c>
      <c r="CK154" s="252">
        <f t="shared" ca="1" si="1626"/>
        <v>0</v>
      </c>
      <c r="CL154" s="252">
        <f t="shared" ca="1" si="1626"/>
        <v>0</v>
      </c>
      <c r="CM154" s="252">
        <f t="shared" ca="1" si="1626"/>
        <v>0</v>
      </c>
      <c r="CN154" s="252">
        <f t="shared" ca="1" si="1626"/>
        <v>0</v>
      </c>
      <c r="CO154" s="252">
        <f t="shared" ca="1" si="1626"/>
        <v>0</v>
      </c>
      <c r="CP154" s="252">
        <f t="shared" ca="1" si="1626"/>
        <v>0</v>
      </c>
      <c r="CQ154" s="252">
        <f t="shared" ca="1" si="1626"/>
        <v>0</v>
      </c>
      <c r="CR154" s="252">
        <f t="shared" ca="1" si="1626"/>
        <v>0</v>
      </c>
      <c r="CS154" s="252">
        <f t="shared" ca="1" si="1626"/>
        <v>0</v>
      </c>
      <c r="CT154" s="252">
        <f t="shared" ca="1" si="1626"/>
        <v>0</v>
      </c>
      <c r="CU154" s="252">
        <f t="shared" ca="1" si="1626"/>
        <v>0</v>
      </c>
      <c r="CV154" s="252">
        <f t="shared" ca="1" si="1626"/>
        <v>0</v>
      </c>
      <c r="CW154" s="252">
        <f t="shared" ca="1" si="1626"/>
        <v>0</v>
      </c>
      <c r="CX154" s="252">
        <f t="shared" ca="1" si="1626"/>
        <v>0</v>
      </c>
      <c r="CY154" s="252">
        <f t="shared" ca="1" si="1626"/>
        <v>0</v>
      </c>
      <c r="CZ154" s="252">
        <f t="shared" ca="1" si="1626"/>
        <v>0</v>
      </c>
      <c r="DA154" s="252">
        <f t="shared" ca="1" si="1626"/>
        <v>0</v>
      </c>
      <c r="DB154" s="252">
        <f t="shared" ca="1" si="1626"/>
        <v>0</v>
      </c>
      <c r="DC154" s="252">
        <f t="shared" ca="1" si="1626"/>
        <v>0</v>
      </c>
      <c r="DD154" s="252">
        <f t="shared" ca="1" si="1626"/>
        <v>0</v>
      </c>
      <c r="DE154" s="252">
        <f t="shared" ca="1" si="1626"/>
        <v>0</v>
      </c>
      <c r="DF154" s="252">
        <f t="shared" ca="1" si="1626"/>
        <v>0</v>
      </c>
      <c r="DG154" s="252">
        <f t="shared" ca="1" si="1626"/>
        <v>0</v>
      </c>
      <c r="DH154" s="252">
        <f t="shared" ca="1" si="1626"/>
        <v>0</v>
      </c>
      <c r="DI154" s="252">
        <f t="shared" ca="1" si="1626"/>
        <v>0</v>
      </c>
      <c r="DJ154" s="252">
        <f t="shared" ca="1" si="1626"/>
        <v>0</v>
      </c>
      <c r="DK154" s="252">
        <f t="shared" ca="1" si="1626"/>
        <v>0</v>
      </c>
      <c r="DL154" s="252">
        <f t="shared" ca="1" si="1626"/>
        <v>0</v>
      </c>
      <c r="DM154" s="252">
        <f t="shared" ca="1" si="1626"/>
        <v>0</v>
      </c>
      <c r="DN154" s="252">
        <f t="shared" ca="1" si="1626"/>
        <v>0</v>
      </c>
      <c r="DO154" s="252">
        <f t="shared" ca="1" si="1626"/>
        <v>0</v>
      </c>
      <c r="DP154" s="252">
        <f t="shared" ca="1" si="1626"/>
        <v>0</v>
      </c>
      <c r="DQ154" s="252">
        <f t="shared" ca="1" si="1626"/>
        <v>0</v>
      </c>
      <c r="DR154" s="252">
        <f t="shared" ca="1" si="1626"/>
        <v>0</v>
      </c>
      <c r="DS154" s="252">
        <f t="shared" ca="1" si="1626"/>
        <v>0</v>
      </c>
      <c r="DT154" s="252">
        <f t="shared" ca="1" si="1626"/>
        <v>0</v>
      </c>
      <c r="DU154" s="252">
        <f t="shared" ca="1" si="1626"/>
        <v>0</v>
      </c>
      <c r="DV154" s="252">
        <f t="shared" ca="1" si="1626"/>
        <v>0</v>
      </c>
      <c r="DW154" s="252">
        <f t="shared" ca="1" si="1626"/>
        <v>0</v>
      </c>
      <c r="DX154" s="252">
        <f t="shared" ca="1" si="1626"/>
        <v>0</v>
      </c>
      <c r="DY154" s="252">
        <f t="shared" ca="1" si="1626"/>
        <v>0</v>
      </c>
      <c r="DZ154" s="252">
        <f t="shared" ca="1" si="1626"/>
        <v>0</v>
      </c>
      <c r="EA154" s="252">
        <f t="shared" ca="1" si="1626"/>
        <v>0</v>
      </c>
      <c r="EB154" s="252">
        <f t="shared" ca="1" si="1626"/>
        <v>0</v>
      </c>
      <c r="EC154" s="252">
        <f t="shared" ca="1" si="1626"/>
        <v>0</v>
      </c>
      <c r="ED154" s="252">
        <f t="shared" ca="1" si="1626"/>
        <v>0</v>
      </c>
      <c r="EE154" s="252">
        <f t="shared" ca="1" si="1626"/>
        <v>0</v>
      </c>
      <c r="EF154" s="252">
        <f t="shared" ca="1" si="1626"/>
        <v>0</v>
      </c>
      <c r="EG154" s="252">
        <f t="shared" ca="1" si="1626"/>
        <v>0</v>
      </c>
      <c r="EH154" s="252">
        <f t="shared" ca="1" si="1626"/>
        <v>0</v>
      </c>
      <c r="EI154" s="252">
        <f t="shared" ca="1" si="1626"/>
        <v>0</v>
      </c>
      <c r="EJ154" s="252">
        <f t="shared" ca="1" si="1626"/>
        <v>0</v>
      </c>
      <c r="EK154" s="252">
        <f t="shared" ca="1" si="1626"/>
        <v>0</v>
      </c>
      <c r="EL154" s="252">
        <f t="shared" ca="1" si="1626"/>
        <v>0</v>
      </c>
      <c r="EM154" s="252">
        <f t="shared" ref="EM154:ET154" ca="1" si="1627">EM89</f>
        <v>0</v>
      </c>
      <c r="EN154" s="252">
        <f t="shared" ca="1" si="1627"/>
        <v>0</v>
      </c>
      <c r="EO154" s="252">
        <f t="shared" ca="1" si="1627"/>
        <v>0</v>
      </c>
      <c r="EP154" s="252">
        <f t="shared" ca="1" si="1627"/>
        <v>0</v>
      </c>
      <c r="EQ154" s="252">
        <f t="shared" ca="1" si="1627"/>
        <v>0</v>
      </c>
      <c r="ER154" s="252">
        <f t="shared" ca="1" si="1627"/>
        <v>0</v>
      </c>
      <c r="ES154" s="252">
        <f t="shared" ca="1" si="1627"/>
        <v>0</v>
      </c>
      <c r="ET154" s="252">
        <f t="shared" ca="1" si="1627"/>
        <v>0</v>
      </c>
    </row>
    <row r="155" spans="2:150" x14ac:dyDescent="0.2">
      <c r="B155" s="8" t="s">
        <v>178</v>
      </c>
      <c r="F155" s="242">
        <f>IF(F$6&gt;Assumptions!$F$40,0,IF(F63+F73&gt;0,F63,0))</f>
        <v>0</v>
      </c>
      <c r="G155" s="242">
        <f>IF(G$6&gt;Assumptions!$F$40,0,IF(G63+G73&gt;0,G63,0))</f>
        <v>0</v>
      </c>
      <c r="H155" s="242">
        <f>IF(H$6&gt;Assumptions!$F$40,0,IF(H63+H73&gt;0,H63,0))</f>
        <v>0</v>
      </c>
      <c r="I155" s="242">
        <f>IF(I$6&gt;Assumptions!$F$40,0,IF(I63+I73&gt;0,I63,0))</f>
        <v>0</v>
      </c>
      <c r="J155" s="242">
        <f>IF(J$6&gt;Assumptions!$F$40,0,IF(J63+J73&gt;0,J63,0))</f>
        <v>0</v>
      </c>
      <c r="K155" s="242">
        <f>IF(K$6&gt;Assumptions!$F$40,0,IF(K63+K73&gt;0,K63,0))</f>
        <v>0</v>
      </c>
      <c r="L155" s="242">
        <f>IF(L$6&gt;Assumptions!$F$40,0,IF(L63+L73&gt;0,L63,0))</f>
        <v>0</v>
      </c>
      <c r="M155" s="242">
        <f>IF(M$6&gt;Assumptions!$F$40,0,IF(M63+M73&gt;0,M63,0))</f>
        <v>0</v>
      </c>
      <c r="N155" s="242">
        <f>IF(N$6&gt;Assumptions!$F$40,0,IF(N63+N73&gt;0,N63,0))</f>
        <v>0</v>
      </c>
      <c r="O155" s="242">
        <f>IF(O$6&gt;Assumptions!$F$40,0,IF(O63+O73&gt;0,O63,0))</f>
        <v>0</v>
      </c>
      <c r="P155" s="242">
        <f>IF(P$6&gt;Assumptions!$F$40,0,IF(P63+P73&gt;0,P63,0))</f>
        <v>0</v>
      </c>
      <c r="Q155" s="242">
        <f>IF(Q$6&gt;Assumptions!$F$40,0,IF(Q63+Q73&gt;0,Q63,0))</f>
        <v>0</v>
      </c>
      <c r="R155" s="242">
        <f>IF(R$6&gt;Assumptions!$F$40,0,IF(R63+R73&gt;0,R63,0))</f>
        <v>0</v>
      </c>
      <c r="S155" s="242">
        <f>IF(S$6&gt;Assumptions!$F$40,0,IF(S63+S73&gt;0,S63,0))</f>
        <v>0</v>
      </c>
      <c r="T155" s="242">
        <f>IF(T$6&gt;Assumptions!$F$40,0,IF(T63+T73&gt;0,T63,0))</f>
        <v>0</v>
      </c>
      <c r="U155" s="242">
        <f>IF(U$6&gt;Assumptions!$F$40,0,IF(U63+U73&gt;0,U63,0))</f>
        <v>0</v>
      </c>
      <c r="V155" s="242">
        <f>IF(V$6&gt;Assumptions!$F$40,0,IF(V63+V73&gt;0,V63,0))</f>
        <v>0</v>
      </c>
      <c r="W155" s="242">
        <f>IF(W$6&gt;Assumptions!$F$40,0,IF(W63+W73&gt;0,W63,0))</f>
        <v>0</v>
      </c>
      <c r="X155" s="242">
        <f>IF(X$6&gt;Assumptions!$F$40,0,IF(X63+X73&gt;0,X63,0))</f>
        <v>0</v>
      </c>
      <c r="Y155" s="242">
        <f>IF(Y$6&gt;Assumptions!$F$40,0,IF(Y63+Y73&gt;0,Y63,0))</f>
        <v>0</v>
      </c>
      <c r="Z155" s="242">
        <f>IF(Z$6&gt;Assumptions!$F$40,0,IF(Z63+Z73&gt;0,Z63,0))</f>
        <v>0</v>
      </c>
      <c r="AA155" s="242">
        <f>IF(AA$6&gt;Assumptions!$F$40,0,IF(AA63+AA73&gt;0,AA63,0))</f>
        <v>0</v>
      </c>
      <c r="AB155" s="242">
        <f>IF(AB$6&gt;Assumptions!$F$40,0,IF(AB63+AB73&gt;0,AB63,0))</f>
        <v>0</v>
      </c>
      <c r="AC155" s="242">
        <f>IF(AC$6&gt;Assumptions!$F$40,0,IF(AC63+AC73&gt;0,AC63,0))</f>
        <v>0</v>
      </c>
      <c r="AD155" s="242">
        <f>IF(AD$6&gt;Assumptions!$F$40,0,IF(AD63+AD73&gt;0,AD63,0))</f>
        <v>0</v>
      </c>
      <c r="AE155" s="242">
        <f>IF(AE$6&gt;Assumptions!$F$40,0,IF(AE63+AE73&gt;0,AE63,0))</f>
        <v>0</v>
      </c>
      <c r="AF155" s="242">
        <f>IF(AF$6&gt;Assumptions!$F$40,0,IF(AF63+AF73&gt;0,AF63,0))</f>
        <v>0</v>
      </c>
      <c r="AG155" s="242">
        <f>IF(AG$6&gt;Assumptions!$F$40,0,IF(AG63+AG73&gt;0,AG63,0))</f>
        <v>0</v>
      </c>
      <c r="AH155" s="242">
        <f>IF(AH$6&gt;Assumptions!$F$40,0,IF(AH63+AH73&gt;0,AH63,0))</f>
        <v>0</v>
      </c>
      <c r="AI155" s="242">
        <f>IF(AI$6&gt;Assumptions!$F$40,0,IF(AI63+AI73&gt;0,AI63,0))</f>
        <v>0</v>
      </c>
      <c r="AJ155" s="242">
        <f>IF(AJ$6&gt;Assumptions!$F$40,0,IF(AJ63+AJ73&gt;0,AJ63,0))</f>
        <v>0</v>
      </c>
      <c r="AK155" s="242">
        <f>IF(AK$6&gt;Assumptions!$F$40,0,IF(AK63+AK73&gt;0,AK63,0))</f>
        <v>0</v>
      </c>
      <c r="AL155" s="242">
        <f>IF(AL$6&gt;Assumptions!$F$40,0,IF(AL63+AL73&gt;0,AL63,0))</f>
        <v>0</v>
      </c>
      <c r="AM155" s="242">
        <f>IF(AM$6&gt;Assumptions!$F$40,0,IF(AM63+AM73&gt;0,AM63,0))</f>
        <v>0</v>
      </c>
      <c r="AN155" s="242">
        <f>IF(AN$6&gt;Assumptions!$F$40,0,IF(AN63+AN73&gt;0,AN63,0))</f>
        <v>0</v>
      </c>
      <c r="AO155" s="242">
        <f ca="1">IF(AO$6&gt;Assumptions!$F$40,0,IF(AO63+AO73&gt;0,AO63,0))</f>
        <v>1049.6639200053687</v>
      </c>
      <c r="AP155" s="242">
        <f ca="1">IF(AP$6&gt;Assumptions!$F$40,0,IF(AP63+AP73&gt;0,AP63,0))</f>
        <v>18984.908248281281</v>
      </c>
      <c r="AQ155" s="242">
        <f ca="1">IF(AQ$6&gt;Assumptions!$F$40,0,IF(AQ63+AQ73&gt;0,AQ63,0))</f>
        <v>35342.255679447953</v>
      </c>
      <c r="AR155" s="242">
        <f ca="1">IF(AR$6&gt;Assumptions!$F$40,0,IF(AR63+AR73&gt;0,AR63,0))</f>
        <v>51699.603110614647</v>
      </c>
      <c r="AS155" s="242">
        <f ca="1">IF(AS$6&gt;Assumptions!$F$40,0,IF(AS63+AS73&gt;0,AS63,0))</f>
        <v>68057.544541781303</v>
      </c>
      <c r="AT155" s="242">
        <f ca="1">IF(AT$6&gt;Assumptions!$F$40,0,IF(AT63+AT73&gt;0,AT63,0))</f>
        <v>84415.782972948</v>
      </c>
      <c r="AU155" s="242">
        <f ca="1">IF(AU$6&gt;Assumptions!$F$40,0,IF(AU63+AU73&gt;0,AU63,0))</f>
        <v>100774.0214041147</v>
      </c>
      <c r="AV155" s="242">
        <f ca="1">IF(AV$6&gt;Assumptions!$F$40,0,IF(AV63+AV73&gt;0,AV63,0))</f>
        <v>114901.59095830409</v>
      </c>
      <c r="AW155" s="242">
        <f ca="1">IF(AW$6&gt;Assumptions!$F$40,0,IF(AW63+AW73&gt;0,AW63,0))</f>
        <v>114901.59095830409</v>
      </c>
      <c r="AX155" s="242">
        <f ca="1">IF(AX$6&gt;Assumptions!$F$40,0,IF(AX63+AX73&gt;0,AX63,0))</f>
        <v>114901.59095830409</v>
      </c>
      <c r="AY155" s="242">
        <f ca="1">IF(AY$6&gt;Assumptions!$F$40,0,IF(AY63+AY73&gt;0,AY63,0))</f>
        <v>114901.59095830409</v>
      </c>
      <c r="AZ155" s="242">
        <f ca="1">IF(AZ$6&gt;Assumptions!$F$40,0,IF(AZ63+AZ73&gt;0,AZ63,0))</f>
        <v>114901.59095830409</v>
      </c>
      <c r="BA155" s="242">
        <f ca="1">IF(BA$6&gt;Assumptions!$F$40,0,IF(BA63+BA73&gt;0,BA63,0))</f>
        <v>114617.25718330411</v>
      </c>
      <c r="BB155" s="242">
        <f ca="1">IF(BB$6&gt;Assumptions!$F$40,0,IF(BB63+BB73&gt;0,BB63,0))</f>
        <v>119429.63779781231</v>
      </c>
      <c r="BC155" s="242">
        <f ca="1">IF(BC$6&gt;Assumptions!$F$40,0,IF(BC63+BC73&gt;0,BC63,0))</f>
        <v>119429.63779781231</v>
      </c>
      <c r="BD155" s="242">
        <f ca="1">IF(BD$6&gt;Assumptions!$F$40,0,IF(BD63+BD73&gt;0,BD63,0))</f>
        <v>119429.63779781231</v>
      </c>
      <c r="BE155" s="242">
        <f ca="1">IF(BE$6&gt;Assumptions!$F$40,0,IF(BE63+BE73&gt;0,BE63,0))</f>
        <v>119429.63779781231</v>
      </c>
      <c r="BF155" s="242">
        <f ca="1">IF(BF$6&gt;Assumptions!$F$40,0,IF(BF63+BF73&gt;0,BF63,0))</f>
        <v>119429.63779781231</v>
      </c>
      <c r="BG155" s="242">
        <f ca="1">IF(BG$6&gt;Assumptions!$F$40,0,IF(BG63+BG73&gt;0,BG63,0))</f>
        <v>119429.63779781231</v>
      </c>
      <c r="BH155" s="242">
        <f ca="1">IF(BH$6&gt;Assumptions!$F$40,0,IF(BH63+BH73&gt;0,BH63,0))</f>
        <v>119429.63779781231</v>
      </c>
      <c r="BI155" s="242">
        <f ca="1">IF(BI$6&gt;Assumptions!$F$40,0,IF(BI63+BI73&gt;0,BI63,0))</f>
        <v>119429.63779781231</v>
      </c>
      <c r="BJ155" s="242">
        <f ca="1">IF(BJ$6&gt;Assumptions!$F$40,0,IF(BJ63+BJ73&gt;0,BJ63,0))</f>
        <v>119429.63779781231</v>
      </c>
      <c r="BK155" s="242">
        <f ca="1">IF(BK$6&gt;Assumptions!$F$40,0,IF(BK63+BK73&gt;0,BK63,0))</f>
        <v>119429.63779781231</v>
      </c>
      <c r="BL155" s="242">
        <f ca="1">IF(BL$6&gt;Assumptions!$F$40,0,IF(BL63+BL73&gt;0,BL63,0))</f>
        <v>119429.63779781231</v>
      </c>
      <c r="BM155" s="242">
        <f ca="1">IF(BM$6&gt;Assumptions!$F$40,0,IF(BM63+BM73&gt;0,BM63,0))</f>
        <v>119136.7740095623</v>
      </c>
      <c r="BN155" s="242">
        <f ca="1">IF(BN$6&gt;Assumptions!$F$40,0,IF(BN63+BN73&gt;0,BN63,0))</f>
        <v>124093.52604250571</v>
      </c>
      <c r="BO155" s="242">
        <f ca="1">IF(BO$6&gt;Assumptions!$F$40,0,IF(BO63+BO73&gt;0,BO63,0))</f>
        <v>124093.52604250571</v>
      </c>
      <c r="BP155" s="242">
        <f ca="1">IF(BP$6&gt;Assumptions!$F$40,0,IF(BP63+BP73&gt;0,BP63,0))</f>
        <v>124093.52604250571</v>
      </c>
      <c r="BQ155" s="242">
        <f ca="1">IF(BQ$6&gt;Assumptions!$F$40,0,IF(BQ63+BQ73&gt;0,BQ63,0))</f>
        <v>124093.52604250571</v>
      </c>
      <c r="BR155" s="242">
        <f ca="1">IF(BR$6&gt;Assumptions!$F$40,0,IF(BR63+BR73&gt;0,BR63,0))</f>
        <v>124093.52604250571</v>
      </c>
      <c r="BS155" s="242">
        <f ca="1">IF(BS$6&gt;Assumptions!$F$40,0,IF(BS63+BS73&gt;0,BS63,0))</f>
        <v>124093.52604250571</v>
      </c>
      <c r="BT155" s="242">
        <f ca="1">IF(BT$6&gt;Assumptions!$F$40,0,IF(BT63+BT73&gt;0,BT63,0))</f>
        <v>124093.52604250571</v>
      </c>
      <c r="BU155" s="242">
        <f ca="1">IF(BU$6&gt;Assumptions!$F$40,0,IF(BU63+BU73&gt;0,BU63,0))</f>
        <v>124093.52604250571</v>
      </c>
      <c r="BV155" s="242">
        <f ca="1">IF(BV$6&gt;Assumptions!$F$40,0,IF(BV63+BV73&gt;0,BV63,0))</f>
        <v>124093.52604250571</v>
      </c>
      <c r="BW155" s="242">
        <f ca="1">IF(BW$6&gt;Assumptions!$F$40,0,IF(BW63+BW73&gt;0,BW63,0))</f>
        <v>124093.52604250571</v>
      </c>
      <c r="BX155" s="242">
        <f ca="1">IF(BX$6&gt;Assumptions!$F$40,0,IF(BX63+BX73&gt;0,BX63,0))</f>
        <v>124093.52604250571</v>
      </c>
      <c r="BY155" s="242">
        <f ca="1">IF(BY$6&gt;Assumptions!$F$40,0,IF(BY63+BY73&gt;0,BY63,0))</f>
        <v>123791.8763406082</v>
      </c>
      <c r="BZ155" s="242">
        <f ca="1">IF(BZ$6&gt;Assumptions!$F$40,0,IF(BZ63+BZ73&gt;0,BZ63,0))</f>
        <v>128897.33093453992</v>
      </c>
      <c r="CA155" s="242">
        <f ca="1">IF(CA$6&gt;Assumptions!$F$40,0,IF(CA63+CA73&gt;0,CA63,0))</f>
        <v>128897.33093453992</v>
      </c>
      <c r="CB155" s="242">
        <f ca="1">IF(CB$6&gt;Assumptions!$F$40,0,IF(CB63+CB73&gt;0,CB63,0))</f>
        <v>128897.33093453992</v>
      </c>
      <c r="CC155" s="242">
        <f ca="1">IF(CC$6&gt;Assumptions!$F$40,0,IF(CC63+CC73&gt;0,CC63,0))</f>
        <v>128897.33093453992</v>
      </c>
      <c r="CD155" s="242">
        <f ca="1">IF(CD$6&gt;Assumptions!$F$40,0,IF(CD63+CD73&gt;0,CD63,0))</f>
        <v>128897.33093453992</v>
      </c>
      <c r="CE155" s="242">
        <f ca="1">IF(CE$6&gt;Assumptions!$F$40,0,IF(CE63+CE73&gt;0,CE63,0))</f>
        <v>128897.33093453992</v>
      </c>
      <c r="CF155" s="242">
        <f ca="1">IF(CF$6&gt;Assumptions!$F$40,0,IF(CF63+CF73&gt;0,CF63,0))</f>
        <v>128897.33093453992</v>
      </c>
      <c r="CG155" s="242">
        <f ca="1">IF(CG$6&gt;Assumptions!$F$40,0,IF(CG63+CG73&gt;0,CG63,0))</f>
        <v>128897.33093453992</v>
      </c>
      <c r="CH155" s="242">
        <f ca="1">IF(CH$6&gt;Assumptions!$F$40,0,IF(CH63+CH73&gt;0,CH63,0))</f>
        <v>128897.33093453992</v>
      </c>
      <c r="CI155" s="242">
        <f ca="1">IF(CI$6&gt;Assumptions!$F$40,0,IF(CI63+CI73&gt;0,CI63,0))</f>
        <v>128897.33093453992</v>
      </c>
      <c r="CJ155" s="242">
        <f ca="1">IF(CJ$6&gt;Assumptions!$F$40,0,IF(CJ63+CJ73&gt;0,CJ63,0))</f>
        <v>128897.33093453992</v>
      </c>
      <c r="CK155" s="242">
        <f ca="1">IF(CK$6&gt;Assumptions!$F$40,0,IF(CK63+CK73&gt;0,CK63,0))</f>
        <v>128586.63174158552</v>
      </c>
      <c r="CL155" s="242">
        <f>IF(CL$6&gt;Assumptions!$F$40,0,IF(CL63+CL73&gt;0,CL63,0))</f>
        <v>0</v>
      </c>
      <c r="CM155" s="242">
        <f>IF(CM$6&gt;Assumptions!$F$40,0,IF(CM63+CM73&gt;0,CM63,0))</f>
        <v>0</v>
      </c>
      <c r="CN155" s="242">
        <f>IF(CN$6&gt;Assumptions!$F$40,0,IF(CN63+CN73&gt;0,CN63,0))</f>
        <v>0</v>
      </c>
      <c r="CO155" s="242">
        <f>IF(CO$6&gt;Assumptions!$F$40,0,IF(CO63+CO73&gt;0,CO63,0))</f>
        <v>0</v>
      </c>
      <c r="CP155" s="242">
        <f>IF(CP$6&gt;Assumptions!$F$40,0,IF(CP63+CP73&gt;0,CP63,0))</f>
        <v>0</v>
      </c>
      <c r="CQ155" s="242">
        <f>IF(CQ$6&gt;Assumptions!$F$40,0,IF(CQ63+CQ73&gt;0,CQ63,0))</f>
        <v>0</v>
      </c>
      <c r="CR155" s="242">
        <f>IF(CR$6&gt;Assumptions!$F$40,0,IF(CR63+CR73&gt;0,CR63,0))</f>
        <v>0</v>
      </c>
      <c r="CS155" s="242">
        <f>IF(CS$6&gt;Assumptions!$F$40,0,IF(CS63+CS73&gt;0,CS63,0))</f>
        <v>0</v>
      </c>
      <c r="CT155" s="242">
        <f>IF(CT$6&gt;Assumptions!$F$40,0,IF(CT63+CT73&gt;0,CT63,0))</f>
        <v>0</v>
      </c>
      <c r="CU155" s="242">
        <f>IF(CU$6&gt;Assumptions!$F$40,0,IF(CU63+CU73&gt;0,CU63,0))</f>
        <v>0</v>
      </c>
      <c r="CV155" s="242">
        <f>IF(CV$6&gt;Assumptions!$F$40,0,IF(CV63+CV73&gt;0,CV63,0))</f>
        <v>0</v>
      </c>
      <c r="CW155" s="242">
        <f>IF(CW$6&gt;Assumptions!$F$40,0,IF(CW63+CW73&gt;0,CW63,0))</f>
        <v>0</v>
      </c>
      <c r="CX155" s="242">
        <f>IF(CX$6&gt;Assumptions!$F$40,0,IF(CX63+CX73&gt;0,CX63,0))</f>
        <v>0</v>
      </c>
      <c r="CY155" s="242">
        <f>IF(CY$6&gt;Assumptions!$F$40,0,IF(CY63+CY73&gt;0,CY63,0))</f>
        <v>0</v>
      </c>
      <c r="CZ155" s="242">
        <f>IF(CZ$6&gt;Assumptions!$F$40,0,IF(CZ63+CZ73&gt;0,CZ63,0))</f>
        <v>0</v>
      </c>
      <c r="DA155" s="242">
        <f>IF(DA$6&gt;Assumptions!$F$40,0,IF(DA63+DA73&gt;0,DA63,0))</f>
        <v>0</v>
      </c>
      <c r="DB155" s="242">
        <f>IF(DB$6&gt;Assumptions!$F$40,0,IF(DB63+DB73&gt;0,DB63,0))</f>
        <v>0</v>
      </c>
      <c r="DC155" s="242">
        <f>IF(DC$6&gt;Assumptions!$F$40,0,IF(DC63+DC73&gt;0,DC63,0))</f>
        <v>0</v>
      </c>
      <c r="DD155" s="242">
        <f>IF(DD$6&gt;Assumptions!$F$40,0,IF(DD63+DD73&gt;0,DD63,0))</f>
        <v>0</v>
      </c>
      <c r="DE155" s="242">
        <f>IF(DE$6&gt;Assumptions!$F$40,0,IF(DE63+DE73&gt;0,DE63,0))</f>
        <v>0</v>
      </c>
      <c r="DF155" s="242">
        <f>IF(DF$6&gt;Assumptions!$F$40,0,IF(DF63+DF73&gt;0,DF63,0))</f>
        <v>0</v>
      </c>
      <c r="DG155" s="242">
        <f>IF(DG$6&gt;Assumptions!$F$40,0,IF(DG63+DG73&gt;0,DG63,0))</f>
        <v>0</v>
      </c>
      <c r="DH155" s="242">
        <f>IF(DH$6&gt;Assumptions!$F$40,0,IF(DH63+DH73&gt;0,DH63,0))</f>
        <v>0</v>
      </c>
      <c r="DI155" s="242">
        <f>IF(DI$6&gt;Assumptions!$F$40,0,IF(DI63+DI73&gt;0,DI63,0))</f>
        <v>0</v>
      </c>
      <c r="DJ155" s="242">
        <f>IF(DJ$6&gt;Assumptions!$F$40,0,IF(DJ63+DJ73&gt;0,DJ63,0))</f>
        <v>0</v>
      </c>
      <c r="DK155" s="242">
        <f>IF(DK$6&gt;Assumptions!$F$40,0,IF(DK63+DK73&gt;0,DK63,0))</f>
        <v>0</v>
      </c>
      <c r="DL155" s="242">
        <f>IF(DL$6&gt;Assumptions!$F$40,0,IF(DL63+DL73&gt;0,DL63,0))</f>
        <v>0</v>
      </c>
      <c r="DM155" s="242">
        <f>IF(DM$6&gt;Assumptions!$F$40,0,IF(DM63+DM73&gt;0,DM63,0))</f>
        <v>0</v>
      </c>
      <c r="DN155" s="242">
        <f>IF(DN$6&gt;Assumptions!$F$40,0,IF(DN63+DN73&gt;0,DN63,0))</f>
        <v>0</v>
      </c>
      <c r="DO155" s="242">
        <f>IF(DO$6&gt;Assumptions!$F$40,0,IF(DO63+DO73&gt;0,DO63,0))</f>
        <v>0</v>
      </c>
      <c r="DP155" s="242">
        <f>IF(DP$6&gt;Assumptions!$F$40,0,IF(DP63+DP73&gt;0,DP63,0))</f>
        <v>0</v>
      </c>
      <c r="DQ155" s="242">
        <f>IF(DQ$6&gt;Assumptions!$F$40,0,IF(DQ63+DQ73&gt;0,DQ63,0))</f>
        <v>0</v>
      </c>
      <c r="DR155" s="242">
        <f>IF(DR$6&gt;Assumptions!$F$40,0,IF(DR63+DR73&gt;0,DR63,0))</f>
        <v>0</v>
      </c>
      <c r="DS155" s="242">
        <f>IF(DS$6&gt;Assumptions!$F$40,0,IF(DS63+DS73&gt;0,DS63,0))</f>
        <v>0</v>
      </c>
      <c r="DT155" s="242">
        <f>IF(DT$6&gt;Assumptions!$F$40,0,IF(DT63+DT73&gt;0,DT63,0))</f>
        <v>0</v>
      </c>
      <c r="DU155" s="242">
        <f>IF(DU$6&gt;Assumptions!$F$40,0,IF(DU63+DU73&gt;0,DU63,0))</f>
        <v>0</v>
      </c>
      <c r="DV155" s="242">
        <f>IF(DV$6&gt;Assumptions!$F$40,0,IF(DV63+DV73&gt;0,DV63,0))</f>
        <v>0</v>
      </c>
      <c r="DW155" s="242">
        <f>IF(DW$6&gt;Assumptions!$F$40,0,IF(DW63+DW73&gt;0,DW63,0))</f>
        <v>0</v>
      </c>
      <c r="DX155" s="242">
        <f>IF(DX$6&gt;Assumptions!$F$40,0,IF(DX63+DX73&gt;0,DX63,0))</f>
        <v>0</v>
      </c>
      <c r="DY155" s="242">
        <f>IF(DY$6&gt;Assumptions!$F$40,0,IF(DY63+DY73&gt;0,DY63,0))</f>
        <v>0</v>
      </c>
      <c r="DZ155" s="242">
        <f>IF(DZ$6&gt;Assumptions!$F$40,0,IF(DZ63+DZ73&gt;0,DZ63,0))</f>
        <v>0</v>
      </c>
      <c r="EA155" s="242">
        <f>IF(EA$6&gt;Assumptions!$F$40,0,IF(EA63+EA73&gt;0,EA63,0))</f>
        <v>0</v>
      </c>
      <c r="EB155" s="242">
        <f>IF(EB$6&gt;Assumptions!$F$40,0,IF(EB63+EB73&gt;0,EB63,0))</f>
        <v>0</v>
      </c>
      <c r="EC155" s="242">
        <f>IF(EC$6&gt;Assumptions!$F$40,0,IF(EC63+EC73&gt;0,EC63,0))</f>
        <v>0</v>
      </c>
      <c r="ED155" s="242">
        <f>IF(ED$6&gt;Assumptions!$F$40,0,IF(ED63+ED73&gt;0,ED63,0))</f>
        <v>0</v>
      </c>
      <c r="EE155" s="242">
        <f>IF(EE$6&gt;Assumptions!$F$40,0,IF(EE63+EE73&gt;0,EE63,0))</f>
        <v>0</v>
      </c>
      <c r="EF155" s="242">
        <f>IF(EF$6&gt;Assumptions!$F$40,0,IF(EF63+EF73&gt;0,EF63,0))</f>
        <v>0</v>
      </c>
      <c r="EG155" s="242">
        <f>IF(EG$6&gt;Assumptions!$F$40,0,IF(EG63+EG73&gt;0,EG63,0))</f>
        <v>0</v>
      </c>
      <c r="EH155" s="242">
        <f>IF(EH$6&gt;Assumptions!$F$40,0,IF(EH63+EH73&gt;0,EH63,0))</f>
        <v>0</v>
      </c>
      <c r="EI155" s="242">
        <f>IF(EI$6&gt;Assumptions!$F$40,0,IF(EI63+EI73&gt;0,EI63,0))</f>
        <v>0</v>
      </c>
      <c r="EJ155" s="242">
        <f>IF(EJ$6&gt;Assumptions!$F$40,0,IF(EJ63+EJ73&gt;0,EJ63,0))</f>
        <v>0</v>
      </c>
      <c r="EK155" s="242">
        <f>IF(EK$6&gt;Assumptions!$F$40,0,IF(EK63+EK73&gt;0,EK63,0))</f>
        <v>0</v>
      </c>
      <c r="EL155" s="242">
        <f>IF(EL$6&gt;Assumptions!$F$40,0,IF(EL63+EL73&gt;0,EL63,0))</f>
        <v>0</v>
      </c>
      <c r="EM155" s="242">
        <f>IF(EM$6&gt;Assumptions!$F$40,0,IF(EM63+EM73&gt;0,EM63,0))</f>
        <v>0</v>
      </c>
      <c r="EN155" s="242">
        <f>IF(EN$6&gt;Assumptions!$F$40,0,IF(EN63+EN73&gt;0,EN63,0))</f>
        <v>0</v>
      </c>
      <c r="EO155" s="242">
        <f>IF(EO$6&gt;Assumptions!$F$40,0,IF(EO63+EO73&gt;0,EO63,0))</f>
        <v>0</v>
      </c>
      <c r="EP155" s="242">
        <f>IF(EP$6&gt;Assumptions!$F$40,0,IF(EP63+EP73&gt;0,EP63,0))</f>
        <v>0</v>
      </c>
      <c r="EQ155" s="242">
        <f>IF(EQ$6&gt;Assumptions!$F$40,0,IF(EQ63+EQ73&gt;0,EQ63,0))</f>
        <v>0</v>
      </c>
      <c r="ER155" s="242">
        <f>IF(ER$6&gt;Assumptions!$F$40,0,IF(ER63+ER73&gt;0,ER63,0))</f>
        <v>0</v>
      </c>
      <c r="ES155" s="242">
        <f>IF(ES$6&gt;Assumptions!$F$40,0,IF(ES63+ES73&gt;0,ES63,0))</f>
        <v>0</v>
      </c>
      <c r="ET155" s="242">
        <f>IF(ET$6&gt;Assumptions!$F$40,0,IF(ET63+ET73&gt;0,ET63,0))</f>
        <v>0</v>
      </c>
    </row>
    <row r="156" spans="2:150" x14ac:dyDescent="0.2">
      <c r="B156" s="8" t="s">
        <v>179</v>
      </c>
      <c r="F156" s="242">
        <f>IF(F$6&gt;Assumptions!$F$40,0,IF(F63+F73&gt;0,F73,0))</f>
        <v>0</v>
      </c>
      <c r="G156" s="242">
        <f>IF(G$6&gt;Assumptions!$F$40,0,IF(G63+G73&gt;0,G73,0))</f>
        <v>0</v>
      </c>
      <c r="H156" s="242">
        <f>IF(H$6&gt;Assumptions!$F$40,0,IF(H63+H73&gt;0,H73,0))</f>
        <v>0</v>
      </c>
      <c r="I156" s="242">
        <f>IF(I$6&gt;Assumptions!$F$40,0,IF(I63+I73&gt;0,I73,0))</f>
        <v>0</v>
      </c>
      <c r="J156" s="242">
        <f>IF(J$6&gt;Assumptions!$F$40,0,IF(J63+J73&gt;0,J73,0))</f>
        <v>0</v>
      </c>
      <c r="K156" s="242">
        <f>IF(K$6&gt;Assumptions!$F$40,0,IF(K63+K73&gt;0,K73,0))</f>
        <v>0</v>
      </c>
      <c r="L156" s="242">
        <f>IF(L$6&gt;Assumptions!$F$40,0,IF(L63+L73&gt;0,L73,0))</f>
        <v>0</v>
      </c>
      <c r="M156" s="242">
        <f>IF(M$6&gt;Assumptions!$F$40,0,IF(M63+M73&gt;0,M73,0))</f>
        <v>0</v>
      </c>
      <c r="N156" s="242">
        <f>IF(N$6&gt;Assumptions!$F$40,0,IF(N63+N73&gt;0,N73,0))</f>
        <v>0</v>
      </c>
      <c r="O156" s="242">
        <f>IF(O$6&gt;Assumptions!$F$40,0,IF(O63+O73&gt;0,O73,0))</f>
        <v>0</v>
      </c>
      <c r="P156" s="242">
        <f>IF(P$6&gt;Assumptions!$F$40,0,IF(P63+P73&gt;0,P73,0))</f>
        <v>0</v>
      </c>
      <c r="Q156" s="242">
        <f>IF(Q$6&gt;Assumptions!$F$40,0,IF(Q63+Q73&gt;0,Q73,0))</f>
        <v>0</v>
      </c>
      <c r="R156" s="242">
        <f>IF(R$6&gt;Assumptions!$F$40,0,IF(R63+R73&gt;0,R73,0))</f>
        <v>0</v>
      </c>
      <c r="S156" s="242">
        <f>IF(S$6&gt;Assumptions!$F$40,0,IF(S63+S73&gt;0,S73,0))</f>
        <v>0</v>
      </c>
      <c r="T156" s="242">
        <f>IF(T$6&gt;Assumptions!$F$40,0,IF(T63+T73&gt;0,T73,0))</f>
        <v>0</v>
      </c>
      <c r="U156" s="242">
        <f>IF(U$6&gt;Assumptions!$F$40,0,IF(U63+U73&gt;0,U73,0))</f>
        <v>0</v>
      </c>
      <c r="V156" s="242">
        <f>IF(V$6&gt;Assumptions!$F$40,0,IF(V63+V73&gt;0,V73,0))</f>
        <v>0</v>
      </c>
      <c r="W156" s="242">
        <f>IF(W$6&gt;Assumptions!$F$40,0,IF(W63+W73&gt;0,W73,0))</f>
        <v>0</v>
      </c>
      <c r="X156" s="242">
        <f>IF(X$6&gt;Assumptions!$F$40,0,IF(X63+X73&gt;0,X73,0))</f>
        <v>0</v>
      </c>
      <c r="Y156" s="242">
        <f>IF(Y$6&gt;Assumptions!$F$40,0,IF(Y63+Y73&gt;0,Y73,0))</f>
        <v>0</v>
      </c>
      <c r="Z156" s="242">
        <f>IF(Z$6&gt;Assumptions!$F$40,0,IF(Z63+Z73&gt;0,Z73,0))</f>
        <v>0</v>
      </c>
      <c r="AA156" s="242">
        <f>IF(AA$6&gt;Assumptions!$F$40,0,IF(AA63+AA73&gt;0,AA73,0))</f>
        <v>0</v>
      </c>
      <c r="AB156" s="242">
        <f>IF(AB$6&gt;Assumptions!$F$40,0,IF(AB63+AB73&gt;0,AB73,0))</f>
        <v>0</v>
      </c>
      <c r="AC156" s="242">
        <f>IF(AC$6&gt;Assumptions!$F$40,0,IF(AC63+AC73&gt;0,AC73,0))</f>
        <v>0</v>
      </c>
      <c r="AD156" s="242">
        <f>IF(AD$6&gt;Assumptions!$F$40,0,IF(AD63+AD73&gt;0,AD73,0))</f>
        <v>0</v>
      </c>
      <c r="AE156" s="242">
        <f>IF(AE$6&gt;Assumptions!$F$40,0,IF(AE63+AE73&gt;0,AE73,0))</f>
        <v>0</v>
      </c>
      <c r="AF156" s="242">
        <f>IF(AF$6&gt;Assumptions!$F$40,0,IF(AF63+AF73&gt;0,AF73,0))</f>
        <v>0</v>
      </c>
      <c r="AG156" s="242">
        <f>IF(AG$6&gt;Assumptions!$F$40,0,IF(AG63+AG73&gt;0,AG73,0))</f>
        <v>0</v>
      </c>
      <c r="AH156" s="242">
        <f>IF(AH$6&gt;Assumptions!$F$40,0,IF(AH63+AH73&gt;0,AH73,0))</f>
        <v>0</v>
      </c>
      <c r="AI156" s="242">
        <f>IF(AI$6&gt;Assumptions!$F$40,0,IF(AI63+AI73&gt;0,AI73,0))</f>
        <v>0</v>
      </c>
      <c r="AJ156" s="242">
        <f>IF(AJ$6&gt;Assumptions!$F$40,0,IF(AJ63+AJ73&gt;0,AJ73,0))</f>
        <v>0</v>
      </c>
      <c r="AK156" s="242">
        <f>IF(AK$6&gt;Assumptions!$F$40,0,IF(AK63+AK73&gt;0,AK73,0))</f>
        <v>0</v>
      </c>
      <c r="AL156" s="242">
        <f>IF(AL$6&gt;Assumptions!$F$40,0,IF(AL63+AL73&gt;0,AL73,0))</f>
        <v>0</v>
      </c>
      <c r="AM156" s="242">
        <f>IF(AM$6&gt;Assumptions!$F$40,0,IF(AM63+AM73&gt;0,AM73,0))</f>
        <v>0</v>
      </c>
      <c r="AN156" s="242">
        <f>IF(AN$6&gt;Assumptions!$F$40,0,IF(AN63+AN73&gt;0,AN73,0))</f>
        <v>0</v>
      </c>
      <c r="AO156" s="242">
        <f ca="1">IF(AO$6&gt;Assumptions!$F$40,0,IF(AO63+AO73&gt;0,AO73,0))</f>
        <v>0</v>
      </c>
      <c r="AP156" s="242">
        <f ca="1">IF(AP$6&gt;Assumptions!$F$40,0,IF(AP63+AP73&gt;0,AP73,0))</f>
        <v>0</v>
      </c>
      <c r="AQ156" s="242">
        <f ca="1">IF(AQ$6&gt;Assumptions!$F$40,0,IF(AQ63+AQ73&gt;0,AQ73,0))</f>
        <v>9195.1200000000008</v>
      </c>
      <c r="AR156" s="242">
        <f ca="1">IF(AR$6&gt;Assumptions!$F$40,0,IF(AR63+AR73&gt;0,AR73,0))</f>
        <v>10941.480000000001</v>
      </c>
      <c r="AS156" s="242">
        <f ca="1">IF(AS$6&gt;Assumptions!$F$40,0,IF(AS63+AS73&gt;0,AS73,0))</f>
        <v>11523.6</v>
      </c>
      <c r="AT156" s="242">
        <f ca="1">IF(AT$6&gt;Assumptions!$F$40,0,IF(AT63+AT73&gt;0,AT73,0))</f>
        <v>11523.6</v>
      </c>
      <c r="AU156" s="242">
        <f ca="1">IF(AU$6&gt;Assumptions!$F$40,0,IF(AU63+AU73&gt;0,AU73,0))</f>
        <v>11523.6</v>
      </c>
      <c r="AV156" s="242">
        <f ca="1">IF(AV$6&gt;Assumptions!$F$40,0,IF(AV63+AV73&gt;0,AV73,0))</f>
        <v>11523.6</v>
      </c>
      <c r="AW156" s="242">
        <f ca="1">IF(AW$6&gt;Assumptions!$F$40,0,IF(AW63+AW73&gt;0,AW73,0))</f>
        <v>11523.6</v>
      </c>
      <c r="AX156" s="242">
        <f ca="1">IF(AX$6&gt;Assumptions!$F$40,0,IF(AX63+AX73&gt;0,AX73,0))</f>
        <v>11523.6</v>
      </c>
      <c r="AY156" s="242">
        <f ca="1">IF(AY$6&gt;Assumptions!$F$40,0,IF(AY63+AY73&gt;0,AY73,0))</f>
        <v>11523.6</v>
      </c>
      <c r="AZ156" s="242">
        <f ca="1">IF(AZ$6&gt;Assumptions!$F$40,0,IF(AZ63+AZ73&gt;0,AZ73,0))</f>
        <v>11523.6</v>
      </c>
      <c r="BA156" s="242">
        <f ca="1">IF(BA$6&gt;Assumptions!$F$40,0,IF(BA63+BA73&gt;0,BA73,0))</f>
        <v>11869.308000000003</v>
      </c>
      <c r="BB156" s="242">
        <f ca="1">IF(BB$6&gt;Assumptions!$F$40,0,IF(BB63+BB73&gt;0,BB73,0))</f>
        <v>11869.308000000003</v>
      </c>
      <c r="BC156" s="242">
        <f ca="1">IF(BC$6&gt;Assumptions!$F$40,0,IF(BC63+BC73&gt;0,BC73,0))</f>
        <v>11869.308000000003</v>
      </c>
      <c r="BD156" s="242">
        <f ca="1">IF(BD$6&gt;Assumptions!$F$40,0,IF(BD63+BD73&gt;0,BD73,0))</f>
        <v>11869.308000000003</v>
      </c>
      <c r="BE156" s="242">
        <f ca="1">IF(BE$6&gt;Assumptions!$F$40,0,IF(BE63+BE73&gt;0,BE73,0))</f>
        <v>11869.308000000003</v>
      </c>
      <c r="BF156" s="242">
        <f ca="1">IF(BF$6&gt;Assumptions!$F$40,0,IF(BF63+BF73&gt;0,BF73,0))</f>
        <v>11869.308000000003</v>
      </c>
      <c r="BG156" s="242">
        <f ca="1">IF(BG$6&gt;Assumptions!$F$40,0,IF(BG63+BG73&gt;0,BG73,0))</f>
        <v>11869.308000000003</v>
      </c>
      <c r="BH156" s="242">
        <f ca="1">IF(BH$6&gt;Assumptions!$F$40,0,IF(BH63+BH73&gt;0,BH73,0))</f>
        <v>11869.308000000003</v>
      </c>
      <c r="BI156" s="242">
        <f ca="1">IF(BI$6&gt;Assumptions!$F$40,0,IF(BI63+BI73&gt;0,BI73,0))</f>
        <v>11869.308000000003</v>
      </c>
      <c r="BJ156" s="242">
        <f ca="1">IF(BJ$6&gt;Assumptions!$F$40,0,IF(BJ63+BJ73&gt;0,BJ73,0))</f>
        <v>11869.308000000003</v>
      </c>
      <c r="BK156" s="242">
        <f ca="1">IF(BK$6&gt;Assumptions!$F$40,0,IF(BK63+BK73&gt;0,BK73,0))</f>
        <v>11869.308000000003</v>
      </c>
      <c r="BL156" s="242">
        <f ca="1">IF(BL$6&gt;Assumptions!$F$40,0,IF(BL63+BL73&gt;0,BL73,0))</f>
        <v>11869.308000000003</v>
      </c>
      <c r="BM156" s="242">
        <f ca="1">IF(BM$6&gt;Assumptions!$F$40,0,IF(BM63+BM73&gt;0,BM73,0))</f>
        <v>12225.38724</v>
      </c>
      <c r="BN156" s="242">
        <f ca="1">IF(BN$6&gt;Assumptions!$F$40,0,IF(BN63+BN73&gt;0,BN73,0))</f>
        <v>12225.38724</v>
      </c>
      <c r="BO156" s="242">
        <f ca="1">IF(BO$6&gt;Assumptions!$F$40,0,IF(BO63+BO73&gt;0,BO73,0))</f>
        <v>12225.38724</v>
      </c>
      <c r="BP156" s="242">
        <f ca="1">IF(BP$6&gt;Assumptions!$F$40,0,IF(BP63+BP73&gt;0,BP73,0))</f>
        <v>12225.38724</v>
      </c>
      <c r="BQ156" s="242">
        <f ca="1">IF(BQ$6&gt;Assumptions!$F$40,0,IF(BQ63+BQ73&gt;0,BQ73,0))</f>
        <v>12225.38724</v>
      </c>
      <c r="BR156" s="242">
        <f ca="1">IF(BR$6&gt;Assumptions!$F$40,0,IF(BR63+BR73&gt;0,BR73,0))</f>
        <v>12225.38724</v>
      </c>
      <c r="BS156" s="242">
        <f ca="1">IF(BS$6&gt;Assumptions!$F$40,0,IF(BS63+BS73&gt;0,BS73,0))</f>
        <v>12225.38724</v>
      </c>
      <c r="BT156" s="242">
        <f ca="1">IF(BT$6&gt;Assumptions!$F$40,0,IF(BT63+BT73&gt;0,BT73,0))</f>
        <v>12225.38724</v>
      </c>
      <c r="BU156" s="242">
        <f ca="1">IF(BU$6&gt;Assumptions!$F$40,0,IF(BU63+BU73&gt;0,BU73,0))</f>
        <v>12225.38724</v>
      </c>
      <c r="BV156" s="242">
        <f ca="1">IF(BV$6&gt;Assumptions!$F$40,0,IF(BV63+BV73&gt;0,BV73,0))</f>
        <v>12225.38724</v>
      </c>
      <c r="BW156" s="242">
        <f ca="1">IF(BW$6&gt;Assumptions!$F$40,0,IF(BW63+BW73&gt;0,BW73,0))</f>
        <v>12225.38724</v>
      </c>
      <c r="BX156" s="242">
        <f ca="1">IF(BX$6&gt;Assumptions!$F$40,0,IF(BX63+BX73&gt;0,BX73,0))</f>
        <v>12225.38724</v>
      </c>
      <c r="BY156" s="242">
        <f ca="1">IF(BY$6&gt;Assumptions!$F$40,0,IF(BY63+BY73&gt;0,BY73,0))</f>
        <v>12592.148857200002</v>
      </c>
      <c r="BZ156" s="242">
        <f ca="1">IF(BZ$6&gt;Assumptions!$F$40,0,IF(BZ63+BZ73&gt;0,BZ73,0))</f>
        <v>12592.148857200002</v>
      </c>
      <c r="CA156" s="242">
        <f ca="1">IF(CA$6&gt;Assumptions!$F$40,0,IF(CA63+CA73&gt;0,CA73,0))</f>
        <v>12592.148857200002</v>
      </c>
      <c r="CB156" s="242">
        <f ca="1">IF(CB$6&gt;Assumptions!$F$40,0,IF(CB63+CB73&gt;0,CB73,0))</f>
        <v>12592.148857200002</v>
      </c>
      <c r="CC156" s="242">
        <f ca="1">IF(CC$6&gt;Assumptions!$F$40,0,IF(CC63+CC73&gt;0,CC73,0))</f>
        <v>12592.148857200002</v>
      </c>
      <c r="CD156" s="242">
        <f ca="1">IF(CD$6&gt;Assumptions!$F$40,0,IF(CD63+CD73&gt;0,CD73,0))</f>
        <v>12592.148857200002</v>
      </c>
      <c r="CE156" s="242">
        <f ca="1">IF(CE$6&gt;Assumptions!$F$40,0,IF(CE63+CE73&gt;0,CE73,0))</f>
        <v>12592.148857200002</v>
      </c>
      <c r="CF156" s="242">
        <f ca="1">IF(CF$6&gt;Assumptions!$F$40,0,IF(CF63+CF73&gt;0,CF73,0))</f>
        <v>12592.148857200002</v>
      </c>
      <c r="CG156" s="242">
        <f ca="1">IF(CG$6&gt;Assumptions!$F$40,0,IF(CG63+CG73&gt;0,CG73,0))</f>
        <v>12592.148857200002</v>
      </c>
      <c r="CH156" s="242">
        <f ca="1">IF(CH$6&gt;Assumptions!$F$40,0,IF(CH63+CH73&gt;0,CH73,0))</f>
        <v>12592.148857200002</v>
      </c>
      <c r="CI156" s="242">
        <f ca="1">IF(CI$6&gt;Assumptions!$F$40,0,IF(CI63+CI73&gt;0,CI73,0))</f>
        <v>12592.148857200002</v>
      </c>
      <c r="CJ156" s="242">
        <f ca="1">IF(CJ$6&gt;Assumptions!$F$40,0,IF(CJ63+CJ73&gt;0,CJ73,0))</f>
        <v>12592.148857200002</v>
      </c>
      <c r="CK156" s="242">
        <f ca="1">IF(CK$6&gt;Assumptions!$F$40,0,IF(CK63+CK73&gt;0,CK73,0))</f>
        <v>12969.913322916</v>
      </c>
      <c r="CL156" s="242">
        <f>IF(CL$6&gt;Assumptions!$F$40,0,IF(CL63+CL73&gt;0,CL73,0))</f>
        <v>0</v>
      </c>
      <c r="CM156" s="242">
        <f>IF(CM$6&gt;Assumptions!$F$40,0,IF(CM63+CM73&gt;0,CM73,0))</f>
        <v>0</v>
      </c>
      <c r="CN156" s="242">
        <f>IF(CN$6&gt;Assumptions!$F$40,0,IF(CN63+CN73&gt;0,CN73,0))</f>
        <v>0</v>
      </c>
      <c r="CO156" s="242">
        <f>IF(CO$6&gt;Assumptions!$F$40,0,IF(CO63+CO73&gt;0,CO73,0))</f>
        <v>0</v>
      </c>
      <c r="CP156" s="242">
        <f>IF(CP$6&gt;Assumptions!$F$40,0,IF(CP63+CP73&gt;0,CP73,0))</f>
        <v>0</v>
      </c>
      <c r="CQ156" s="242">
        <f>IF(CQ$6&gt;Assumptions!$F$40,0,IF(CQ63+CQ73&gt;0,CQ73,0))</f>
        <v>0</v>
      </c>
      <c r="CR156" s="242">
        <f>IF(CR$6&gt;Assumptions!$F$40,0,IF(CR63+CR73&gt;0,CR73,0))</f>
        <v>0</v>
      </c>
      <c r="CS156" s="242">
        <f>IF(CS$6&gt;Assumptions!$F$40,0,IF(CS63+CS73&gt;0,CS73,0))</f>
        <v>0</v>
      </c>
      <c r="CT156" s="242">
        <f>IF(CT$6&gt;Assumptions!$F$40,0,IF(CT63+CT73&gt;0,CT73,0))</f>
        <v>0</v>
      </c>
      <c r="CU156" s="242">
        <f>IF(CU$6&gt;Assumptions!$F$40,0,IF(CU63+CU73&gt;0,CU73,0))</f>
        <v>0</v>
      </c>
      <c r="CV156" s="242">
        <f>IF(CV$6&gt;Assumptions!$F$40,0,IF(CV63+CV73&gt;0,CV73,0))</f>
        <v>0</v>
      </c>
      <c r="CW156" s="242">
        <f>IF(CW$6&gt;Assumptions!$F$40,0,IF(CW63+CW73&gt;0,CW73,0))</f>
        <v>0</v>
      </c>
      <c r="CX156" s="242">
        <f>IF(CX$6&gt;Assumptions!$F$40,0,IF(CX63+CX73&gt;0,CX73,0))</f>
        <v>0</v>
      </c>
      <c r="CY156" s="242">
        <f>IF(CY$6&gt;Assumptions!$F$40,0,IF(CY63+CY73&gt;0,CY73,0))</f>
        <v>0</v>
      </c>
      <c r="CZ156" s="242">
        <f>IF(CZ$6&gt;Assumptions!$F$40,0,IF(CZ63+CZ73&gt;0,CZ73,0))</f>
        <v>0</v>
      </c>
      <c r="DA156" s="242">
        <f>IF(DA$6&gt;Assumptions!$F$40,0,IF(DA63+DA73&gt;0,DA73,0))</f>
        <v>0</v>
      </c>
      <c r="DB156" s="242">
        <f>IF(DB$6&gt;Assumptions!$F$40,0,IF(DB63+DB73&gt;0,DB73,0))</f>
        <v>0</v>
      </c>
      <c r="DC156" s="242">
        <f>IF(DC$6&gt;Assumptions!$F$40,0,IF(DC63+DC73&gt;0,DC73,0))</f>
        <v>0</v>
      </c>
      <c r="DD156" s="242">
        <f>IF(DD$6&gt;Assumptions!$F$40,0,IF(DD63+DD73&gt;0,DD73,0))</f>
        <v>0</v>
      </c>
      <c r="DE156" s="242">
        <f>IF(DE$6&gt;Assumptions!$F$40,0,IF(DE63+DE73&gt;0,DE73,0))</f>
        <v>0</v>
      </c>
      <c r="DF156" s="242">
        <f>IF(DF$6&gt;Assumptions!$F$40,0,IF(DF63+DF73&gt;0,DF73,0))</f>
        <v>0</v>
      </c>
      <c r="DG156" s="242">
        <f>IF(DG$6&gt;Assumptions!$F$40,0,IF(DG63+DG73&gt;0,DG73,0))</f>
        <v>0</v>
      </c>
      <c r="DH156" s="242">
        <f>IF(DH$6&gt;Assumptions!$F$40,0,IF(DH63+DH73&gt;0,DH73,0))</f>
        <v>0</v>
      </c>
      <c r="DI156" s="242">
        <f>IF(DI$6&gt;Assumptions!$F$40,0,IF(DI63+DI73&gt;0,DI73,0))</f>
        <v>0</v>
      </c>
      <c r="DJ156" s="242">
        <f>IF(DJ$6&gt;Assumptions!$F$40,0,IF(DJ63+DJ73&gt;0,DJ73,0))</f>
        <v>0</v>
      </c>
      <c r="DK156" s="242">
        <f>IF(DK$6&gt;Assumptions!$F$40,0,IF(DK63+DK73&gt;0,DK73,0))</f>
        <v>0</v>
      </c>
      <c r="DL156" s="242">
        <f>IF(DL$6&gt;Assumptions!$F$40,0,IF(DL63+DL73&gt;0,DL73,0))</f>
        <v>0</v>
      </c>
      <c r="DM156" s="242">
        <f>IF(DM$6&gt;Assumptions!$F$40,0,IF(DM63+DM73&gt;0,DM73,0))</f>
        <v>0</v>
      </c>
      <c r="DN156" s="242">
        <f>IF(DN$6&gt;Assumptions!$F$40,0,IF(DN63+DN73&gt;0,DN73,0))</f>
        <v>0</v>
      </c>
      <c r="DO156" s="242">
        <f>IF(DO$6&gt;Assumptions!$F$40,0,IF(DO63+DO73&gt;0,DO73,0))</f>
        <v>0</v>
      </c>
      <c r="DP156" s="242">
        <f>IF(DP$6&gt;Assumptions!$F$40,0,IF(DP63+DP73&gt;0,DP73,0))</f>
        <v>0</v>
      </c>
      <c r="DQ156" s="242">
        <f>IF(DQ$6&gt;Assumptions!$F$40,0,IF(DQ63+DQ73&gt;0,DQ73,0))</f>
        <v>0</v>
      </c>
      <c r="DR156" s="242">
        <f>IF(DR$6&gt;Assumptions!$F$40,0,IF(DR63+DR73&gt;0,DR73,0))</f>
        <v>0</v>
      </c>
      <c r="DS156" s="242">
        <f>IF(DS$6&gt;Assumptions!$F$40,0,IF(DS63+DS73&gt;0,DS73,0))</f>
        <v>0</v>
      </c>
      <c r="DT156" s="242">
        <f>IF(DT$6&gt;Assumptions!$F$40,0,IF(DT63+DT73&gt;0,DT73,0))</f>
        <v>0</v>
      </c>
      <c r="DU156" s="242">
        <f>IF(DU$6&gt;Assumptions!$F$40,0,IF(DU63+DU73&gt;0,DU73,0))</f>
        <v>0</v>
      </c>
      <c r="DV156" s="242">
        <f>IF(DV$6&gt;Assumptions!$F$40,0,IF(DV63+DV73&gt;0,DV73,0))</f>
        <v>0</v>
      </c>
      <c r="DW156" s="242">
        <f>IF(DW$6&gt;Assumptions!$F$40,0,IF(DW63+DW73&gt;0,DW73,0))</f>
        <v>0</v>
      </c>
      <c r="DX156" s="242">
        <f>IF(DX$6&gt;Assumptions!$F$40,0,IF(DX63+DX73&gt;0,DX73,0))</f>
        <v>0</v>
      </c>
      <c r="DY156" s="242">
        <f>IF(DY$6&gt;Assumptions!$F$40,0,IF(DY63+DY73&gt;0,DY73,0))</f>
        <v>0</v>
      </c>
      <c r="DZ156" s="242">
        <f>IF(DZ$6&gt;Assumptions!$F$40,0,IF(DZ63+DZ73&gt;0,DZ73,0))</f>
        <v>0</v>
      </c>
      <c r="EA156" s="242">
        <f>IF(EA$6&gt;Assumptions!$F$40,0,IF(EA63+EA73&gt;0,EA73,0))</f>
        <v>0</v>
      </c>
      <c r="EB156" s="242">
        <f>IF(EB$6&gt;Assumptions!$F$40,0,IF(EB63+EB73&gt;0,EB73,0))</f>
        <v>0</v>
      </c>
      <c r="EC156" s="242">
        <f>IF(EC$6&gt;Assumptions!$F$40,0,IF(EC63+EC73&gt;0,EC73,0))</f>
        <v>0</v>
      </c>
      <c r="ED156" s="242">
        <f>IF(ED$6&gt;Assumptions!$F$40,0,IF(ED63+ED73&gt;0,ED73,0))</f>
        <v>0</v>
      </c>
      <c r="EE156" s="242">
        <f>IF(EE$6&gt;Assumptions!$F$40,0,IF(EE63+EE73&gt;0,EE73,0))</f>
        <v>0</v>
      </c>
      <c r="EF156" s="242">
        <f>IF(EF$6&gt;Assumptions!$F$40,0,IF(EF63+EF73&gt;0,EF73,0))</f>
        <v>0</v>
      </c>
      <c r="EG156" s="242">
        <f>IF(EG$6&gt;Assumptions!$F$40,0,IF(EG63+EG73&gt;0,EG73,0))</f>
        <v>0</v>
      </c>
      <c r="EH156" s="242">
        <f>IF(EH$6&gt;Assumptions!$F$40,0,IF(EH63+EH73&gt;0,EH73,0))</f>
        <v>0</v>
      </c>
      <c r="EI156" s="242">
        <f>IF(EI$6&gt;Assumptions!$F$40,0,IF(EI63+EI73&gt;0,EI73,0))</f>
        <v>0</v>
      </c>
      <c r="EJ156" s="242">
        <f>IF(EJ$6&gt;Assumptions!$F$40,0,IF(EJ63+EJ73&gt;0,EJ73,0))</f>
        <v>0</v>
      </c>
      <c r="EK156" s="242">
        <f>IF(EK$6&gt;Assumptions!$F$40,0,IF(EK63+EK73&gt;0,EK73,0))</f>
        <v>0</v>
      </c>
      <c r="EL156" s="242">
        <f>IF(EL$6&gt;Assumptions!$F$40,0,IF(EL63+EL73&gt;0,EL73,0))</f>
        <v>0</v>
      </c>
      <c r="EM156" s="242">
        <f>IF(EM$6&gt;Assumptions!$F$40,0,IF(EM63+EM73&gt;0,EM73,0))</f>
        <v>0</v>
      </c>
      <c r="EN156" s="242">
        <f>IF(EN$6&gt;Assumptions!$F$40,0,IF(EN63+EN73&gt;0,EN73,0))</f>
        <v>0</v>
      </c>
      <c r="EO156" s="242">
        <f>IF(EO$6&gt;Assumptions!$F$40,0,IF(EO63+EO73&gt;0,EO73,0))</f>
        <v>0</v>
      </c>
      <c r="EP156" s="242">
        <f>IF(EP$6&gt;Assumptions!$F$40,0,IF(EP63+EP73&gt;0,EP73,0))</f>
        <v>0</v>
      </c>
      <c r="EQ156" s="242">
        <f>IF(EQ$6&gt;Assumptions!$F$40,0,IF(EQ63+EQ73&gt;0,EQ73,0))</f>
        <v>0</v>
      </c>
      <c r="ER156" s="242">
        <f>IF(ER$6&gt;Assumptions!$F$40,0,IF(ER63+ER73&gt;0,ER73,0))</f>
        <v>0</v>
      </c>
      <c r="ES156" s="242">
        <f>IF(ES$6&gt;Assumptions!$F$40,0,IF(ES63+ES73&gt;0,ES73,0))</f>
        <v>0</v>
      </c>
      <c r="ET156" s="242">
        <f>IF(ET$6&gt;Assumptions!$F$40,0,IF(ET63+ET73&gt;0,ET73,0))</f>
        <v>0</v>
      </c>
    </row>
    <row r="157" spans="2:150" x14ac:dyDescent="0.2">
      <c r="B157" s="8" t="s">
        <v>180</v>
      </c>
      <c r="F157" s="242">
        <f t="shared" ref="F157:AK157" si="1628">F80</f>
        <v>0</v>
      </c>
      <c r="G157" s="242">
        <f t="shared" si="1628"/>
        <v>0</v>
      </c>
      <c r="H157" s="242">
        <f t="shared" si="1628"/>
        <v>0</v>
      </c>
      <c r="I157" s="242">
        <f t="shared" si="1628"/>
        <v>0</v>
      </c>
      <c r="J157" s="242">
        <f t="shared" si="1628"/>
        <v>0</v>
      </c>
      <c r="K157" s="242">
        <f t="shared" si="1628"/>
        <v>0</v>
      </c>
      <c r="L157" s="242">
        <f t="shared" si="1628"/>
        <v>0</v>
      </c>
      <c r="M157" s="242">
        <f t="shared" si="1628"/>
        <v>0</v>
      </c>
      <c r="N157" s="242">
        <f t="shared" si="1628"/>
        <v>0</v>
      </c>
      <c r="O157" s="242">
        <f t="shared" si="1628"/>
        <v>0</v>
      </c>
      <c r="P157" s="242">
        <f t="shared" si="1628"/>
        <v>0</v>
      </c>
      <c r="Q157" s="242">
        <f t="shared" si="1628"/>
        <v>0</v>
      </c>
      <c r="R157" s="242">
        <f t="shared" si="1628"/>
        <v>0</v>
      </c>
      <c r="S157" s="242">
        <f t="shared" si="1628"/>
        <v>0</v>
      </c>
      <c r="T157" s="242">
        <f t="shared" si="1628"/>
        <v>0</v>
      </c>
      <c r="U157" s="242">
        <f t="shared" si="1628"/>
        <v>0</v>
      </c>
      <c r="V157" s="242">
        <f t="shared" si="1628"/>
        <v>0</v>
      </c>
      <c r="W157" s="242">
        <f t="shared" si="1628"/>
        <v>0</v>
      </c>
      <c r="X157" s="242">
        <f t="shared" si="1628"/>
        <v>0</v>
      </c>
      <c r="Y157" s="242">
        <f t="shared" si="1628"/>
        <v>0</v>
      </c>
      <c r="Z157" s="242">
        <f t="shared" si="1628"/>
        <v>0</v>
      </c>
      <c r="AA157" s="242">
        <f t="shared" si="1628"/>
        <v>0</v>
      </c>
      <c r="AB157" s="242">
        <f t="shared" si="1628"/>
        <v>0</v>
      </c>
      <c r="AC157" s="242">
        <f t="shared" si="1628"/>
        <v>0</v>
      </c>
      <c r="AD157" s="242">
        <f t="shared" si="1628"/>
        <v>0</v>
      </c>
      <c r="AE157" s="242">
        <f t="shared" si="1628"/>
        <v>0</v>
      </c>
      <c r="AF157" s="242">
        <f t="shared" si="1628"/>
        <v>0</v>
      </c>
      <c r="AG157" s="242">
        <f t="shared" si="1628"/>
        <v>0</v>
      </c>
      <c r="AH157" s="242">
        <f t="shared" si="1628"/>
        <v>0</v>
      </c>
      <c r="AI157" s="242">
        <f t="shared" si="1628"/>
        <v>0</v>
      </c>
      <c r="AJ157" s="242">
        <f t="shared" si="1628"/>
        <v>0</v>
      </c>
      <c r="AK157" s="242">
        <f t="shared" si="1628"/>
        <v>0</v>
      </c>
      <c r="AL157" s="242">
        <f t="shared" ref="AL157:BQ157" si="1629">AL80</f>
        <v>0</v>
      </c>
      <c r="AM157" s="242">
        <f t="shared" si="1629"/>
        <v>0</v>
      </c>
      <c r="AN157" s="242">
        <f t="shared" si="1629"/>
        <v>0</v>
      </c>
      <c r="AO157" s="242">
        <f t="shared" si="1629"/>
        <v>0</v>
      </c>
      <c r="AP157" s="242">
        <f t="shared" si="1629"/>
        <v>0</v>
      </c>
      <c r="AQ157" s="242">
        <f t="shared" si="1629"/>
        <v>0</v>
      </c>
      <c r="AR157" s="242">
        <f t="shared" si="1629"/>
        <v>0</v>
      </c>
      <c r="AS157" s="242">
        <f t="shared" si="1629"/>
        <v>0</v>
      </c>
      <c r="AT157" s="242">
        <f t="shared" si="1629"/>
        <v>0</v>
      </c>
      <c r="AU157" s="242">
        <f t="shared" si="1629"/>
        <v>0</v>
      </c>
      <c r="AV157" s="242">
        <f t="shared" si="1629"/>
        <v>0</v>
      </c>
      <c r="AW157" s="242">
        <f t="shared" si="1629"/>
        <v>0</v>
      </c>
      <c r="AX157" s="242">
        <f t="shared" si="1629"/>
        <v>0</v>
      </c>
      <c r="AY157" s="242">
        <f t="shared" si="1629"/>
        <v>0</v>
      </c>
      <c r="AZ157" s="242">
        <f t="shared" si="1629"/>
        <v>0</v>
      </c>
      <c r="BA157" s="242">
        <f t="shared" si="1629"/>
        <v>0</v>
      </c>
      <c r="BB157" s="242">
        <f t="shared" si="1629"/>
        <v>0</v>
      </c>
      <c r="BC157" s="242">
        <f t="shared" si="1629"/>
        <v>0</v>
      </c>
      <c r="BD157" s="242">
        <f t="shared" si="1629"/>
        <v>0</v>
      </c>
      <c r="BE157" s="242">
        <f t="shared" si="1629"/>
        <v>0</v>
      </c>
      <c r="BF157" s="242">
        <f t="shared" si="1629"/>
        <v>0</v>
      </c>
      <c r="BG157" s="242">
        <f t="shared" si="1629"/>
        <v>0</v>
      </c>
      <c r="BH157" s="242">
        <f t="shared" si="1629"/>
        <v>0</v>
      </c>
      <c r="BI157" s="242">
        <f t="shared" si="1629"/>
        <v>0</v>
      </c>
      <c r="BJ157" s="242">
        <f t="shared" si="1629"/>
        <v>0</v>
      </c>
      <c r="BK157" s="242">
        <f t="shared" si="1629"/>
        <v>0</v>
      </c>
      <c r="BL157" s="242">
        <f t="shared" si="1629"/>
        <v>0</v>
      </c>
      <c r="BM157" s="242">
        <f t="shared" si="1629"/>
        <v>0</v>
      </c>
      <c r="BN157" s="242">
        <f t="shared" si="1629"/>
        <v>0</v>
      </c>
      <c r="BO157" s="242">
        <f t="shared" si="1629"/>
        <v>0</v>
      </c>
      <c r="BP157" s="242">
        <f t="shared" si="1629"/>
        <v>0</v>
      </c>
      <c r="BQ157" s="242">
        <f t="shared" si="1629"/>
        <v>0</v>
      </c>
      <c r="BR157" s="242">
        <f t="shared" ref="BR157:BZ157" si="1630">BR80</f>
        <v>0</v>
      </c>
      <c r="BS157" s="242">
        <f t="shared" si="1630"/>
        <v>0</v>
      </c>
      <c r="BT157" s="242">
        <f t="shared" si="1630"/>
        <v>0</v>
      </c>
      <c r="BU157" s="242">
        <f t="shared" si="1630"/>
        <v>0</v>
      </c>
      <c r="BV157" s="242">
        <f t="shared" si="1630"/>
        <v>0</v>
      </c>
      <c r="BW157" s="242">
        <f t="shared" si="1630"/>
        <v>0</v>
      </c>
      <c r="BX157" s="242">
        <f t="shared" si="1630"/>
        <v>0</v>
      </c>
      <c r="BY157" s="242">
        <f>BY80</f>
        <v>0</v>
      </c>
      <c r="BZ157" s="242">
        <f t="shared" si="1630"/>
        <v>0</v>
      </c>
      <c r="CA157" s="242">
        <f t="shared" ref="CA157:EL157" si="1631">CA80</f>
        <v>0</v>
      </c>
      <c r="CB157" s="242">
        <f t="shared" si="1631"/>
        <v>0</v>
      </c>
      <c r="CC157" s="242">
        <f t="shared" si="1631"/>
        <v>0</v>
      </c>
      <c r="CD157" s="242">
        <f t="shared" si="1631"/>
        <v>0</v>
      </c>
      <c r="CE157" s="242">
        <f t="shared" si="1631"/>
        <v>0</v>
      </c>
      <c r="CF157" s="242">
        <f t="shared" si="1631"/>
        <v>0</v>
      </c>
      <c r="CG157" s="242">
        <f t="shared" si="1631"/>
        <v>0</v>
      </c>
      <c r="CH157" s="242">
        <f t="shared" si="1631"/>
        <v>0</v>
      </c>
      <c r="CI157" s="242">
        <f t="shared" si="1631"/>
        <v>0</v>
      </c>
      <c r="CJ157" s="242">
        <f t="shared" si="1631"/>
        <v>0</v>
      </c>
      <c r="CK157" s="242">
        <f t="shared" ca="1" si="1631"/>
        <v>32737808.537684485</v>
      </c>
      <c r="CL157" s="242">
        <f t="shared" si="1631"/>
        <v>0</v>
      </c>
      <c r="CM157" s="242">
        <f t="shared" si="1631"/>
        <v>0</v>
      </c>
      <c r="CN157" s="242">
        <f t="shared" si="1631"/>
        <v>0</v>
      </c>
      <c r="CO157" s="242">
        <f t="shared" si="1631"/>
        <v>0</v>
      </c>
      <c r="CP157" s="242">
        <f t="shared" si="1631"/>
        <v>0</v>
      </c>
      <c r="CQ157" s="242">
        <f t="shared" si="1631"/>
        <v>0</v>
      </c>
      <c r="CR157" s="242">
        <f t="shared" si="1631"/>
        <v>0</v>
      </c>
      <c r="CS157" s="242">
        <f t="shared" si="1631"/>
        <v>0</v>
      </c>
      <c r="CT157" s="242">
        <f t="shared" si="1631"/>
        <v>0</v>
      </c>
      <c r="CU157" s="242">
        <f t="shared" si="1631"/>
        <v>0</v>
      </c>
      <c r="CV157" s="242">
        <f t="shared" si="1631"/>
        <v>0</v>
      </c>
      <c r="CW157" s="242">
        <f t="shared" si="1631"/>
        <v>0</v>
      </c>
      <c r="CX157" s="242">
        <f t="shared" si="1631"/>
        <v>0</v>
      </c>
      <c r="CY157" s="242">
        <f t="shared" si="1631"/>
        <v>0</v>
      </c>
      <c r="CZ157" s="242">
        <f t="shared" si="1631"/>
        <v>0</v>
      </c>
      <c r="DA157" s="242">
        <f t="shared" si="1631"/>
        <v>0</v>
      </c>
      <c r="DB157" s="242">
        <f t="shared" si="1631"/>
        <v>0</v>
      </c>
      <c r="DC157" s="242">
        <f t="shared" si="1631"/>
        <v>0</v>
      </c>
      <c r="DD157" s="242">
        <f t="shared" si="1631"/>
        <v>0</v>
      </c>
      <c r="DE157" s="242">
        <f t="shared" si="1631"/>
        <v>0</v>
      </c>
      <c r="DF157" s="242">
        <f t="shared" si="1631"/>
        <v>0</v>
      </c>
      <c r="DG157" s="242">
        <f t="shared" si="1631"/>
        <v>0</v>
      </c>
      <c r="DH157" s="242">
        <f t="shared" si="1631"/>
        <v>0</v>
      </c>
      <c r="DI157" s="242">
        <f t="shared" si="1631"/>
        <v>0</v>
      </c>
      <c r="DJ157" s="242">
        <f t="shared" si="1631"/>
        <v>0</v>
      </c>
      <c r="DK157" s="242">
        <f t="shared" si="1631"/>
        <v>0</v>
      </c>
      <c r="DL157" s="242">
        <f t="shared" si="1631"/>
        <v>0</v>
      </c>
      <c r="DM157" s="242">
        <f t="shared" si="1631"/>
        <v>0</v>
      </c>
      <c r="DN157" s="242">
        <f t="shared" si="1631"/>
        <v>0</v>
      </c>
      <c r="DO157" s="242">
        <f t="shared" si="1631"/>
        <v>0</v>
      </c>
      <c r="DP157" s="242">
        <f t="shared" si="1631"/>
        <v>0</v>
      </c>
      <c r="DQ157" s="242">
        <f t="shared" si="1631"/>
        <v>0</v>
      </c>
      <c r="DR157" s="242">
        <f t="shared" si="1631"/>
        <v>0</v>
      </c>
      <c r="DS157" s="242">
        <f t="shared" si="1631"/>
        <v>0</v>
      </c>
      <c r="DT157" s="242">
        <f t="shared" si="1631"/>
        <v>0</v>
      </c>
      <c r="DU157" s="242">
        <f t="shared" si="1631"/>
        <v>0</v>
      </c>
      <c r="DV157" s="242">
        <f t="shared" si="1631"/>
        <v>0</v>
      </c>
      <c r="DW157" s="242">
        <f t="shared" si="1631"/>
        <v>0</v>
      </c>
      <c r="DX157" s="242">
        <f t="shared" si="1631"/>
        <v>0</v>
      </c>
      <c r="DY157" s="242">
        <f t="shared" si="1631"/>
        <v>0</v>
      </c>
      <c r="DZ157" s="242">
        <f t="shared" si="1631"/>
        <v>0</v>
      </c>
      <c r="EA157" s="242">
        <f t="shared" si="1631"/>
        <v>0</v>
      </c>
      <c r="EB157" s="242">
        <f t="shared" si="1631"/>
        <v>0</v>
      </c>
      <c r="EC157" s="242">
        <f t="shared" si="1631"/>
        <v>0</v>
      </c>
      <c r="ED157" s="242">
        <f t="shared" si="1631"/>
        <v>0</v>
      </c>
      <c r="EE157" s="242">
        <f t="shared" si="1631"/>
        <v>0</v>
      </c>
      <c r="EF157" s="242">
        <f t="shared" si="1631"/>
        <v>0</v>
      </c>
      <c r="EG157" s="242">
        <f t="shared" si="1631"/>
        <v>0</v>
      </c>
      <c r="EH157" s="242">
        <f t="shared" si="1631"/>
        <v>0</v>
      </c>
      <c r="EI157" s="242">
        <f t="shared" si="1631"/>
        <v>0</v>
      </c>
      <c r="EJ157" s="242">
        <f t="shared" si="1631"/>
        <v>0</v>
      </c>
      <c r="EK157" s="242">
        <f t="shared" si="1631"/>
        <v>0</v>
      </c>
      <c r="EL157" s="242">
        <f t="shared" si="1631"/>
        <v>0</v>
      </c>
      <c r="EM157" s="242">
        <f t="shared" ref="EM157:ET157" si="1632">EM80</f>
        <v>0</v>
      </c>
      <c r="EN157" s="242">
        <f t="shared" si="1632"/>
        <v>0</v>
      </c>
      <c r="EO157" s="242">
        <f t="shared" si="1632"/>
        <v>0</v>
      </c>
      <c r="EP157" s="242">
        <f t="shared" si="1632"/>
        <v>0</v>
      </c>
      <c r="EQ157" s="242">
        <f t="shared" si="1632"/>
        <v>0</v>
      </c>
      <c r="ER157" s="242">
        <f t="shared" si="1632"/>
        <v>0</v>
      </c>
      <c r="ES157" s="242">
        <f t="shared" si="1632"/>
        <v>0</v>
      </c>
      <c r="ET157" s="242">
        <f t="shared" si="1632"/>
        <v>0</v>
      </c>
    </row>
    <row r="158" spans="2:150" x14ac:dyDescent="0.2">
      <c r="B158" s="8" t="s">
        <v>181</v>
      </c>
      <c r="F158" s="242">
        <f t="shared" ref="F158:AK158" si="1633">F82</f>
        <v>0</v>
      </c>
      <c r="G158" s="242">
        <f t="shared" si="1633"/>
        <v>0</v>
      </c>
      <c r="H158" s="242">
        <f t="shared" si="1633"/>
        <v>0</v>
      </c>
      <c r="I158" s="242">
        <f t="shared" si="1633"/>
        <v>0</v>
      </c>
      <c r="J158" s="242">
        <f t="shared" si="1633"/>
        <v>0</v>
      </c>
      <c r="K158" s="242">
        <f t="shared" si="1633"/>
        <v>0</v>
      </c>
      <c r="L158" s="242">
        <f t="shared" si="1633"/>
        <v>0</v>
      </c>
      <c r="M158" s="242">
        <f t="shared" si="1633"/>
        <v>0</v>
      </c>
      <c r="N158" s="242">
        <f t="shared" si="1633"/>
        <v>0</v>
      </c>
      <c r="O158" s="242">
        <f t="shared" si="1633"/>
        <v>0</v>
      </c>
      <c r="P158" s="242">
        <f t="shared" si="1633"/>
        <v>0</v>
      </c>
      <c r="Q158" s="242">
        <f t="shared" si="1633"/>
        <v>0</v>
      </c>
      <c r="R158" s="242">
        <f t="shared" si="1633"/>
        <v>0</v>
      </c>
      <c r="S158" s="242">
        <f t="shared" si="1633"/>
        <v>0</v>
      </c>
      <c r="T158" s="242">
        <f t="shared" si="1633"/>
        <v>0</v>
      </c>
      <c r="U158" s="242">
        <f t="shared" si="1633"/>
        <v>0</v>
      </c>
      <c r="V158" s="242">
        <f t="shared" si="1633"/>
        <v>0</v>
      </c>
      <c r="W158" s="242">
        <f t="shared" si="1633"/>
        <v>0</v>
      </c>
      <c r="X158" s="242">
        <f t="shared" si="1633"/>
        <v>0</v>
      </c>
      <c r="Y158" s="242">
        <f t="shared" si="1633"/>
        <v>0</v>
      </c>
      <c r="Z158" s="242">
        <f t="shared" si="1633"/>
        <v>0</v>
      </c>
      <c r="AA158" s="242">
        <f t="shared" si="1633"/>
        <v>0</v>
      </c>
      <c r="AB158" s="242">
        <f t="shared" si="1633"/>
        <v>0</v>
      </c>
      <c r="AC158" s="242">
        <f t="shared" si="1633"/>
        <v>0</v>
      </c>
      <c r="AD158" s="242">
        <f t="shared" si="1633"/>
        <v>0</v>
      </c>
      <c r="AE158" s="242">
        <f t="shared" si="1633"/>
        <v>0</v>
      </c>
      <c r="AF158" s="242">
        <f t="shared" si="1633"/>
        <v>0</v>
      </c>
      <c r="AG158" s="242">
        <f t="shared" si="1633"/>
        <v>0</v>
      </c>
      <c r="AH158" s="242">
        <f t="shared" si="1633"/>
        <v>0</v>
      </c>
      <c r="AI158" s="242">
        <f t="shared" si="1633"/>
        <v>0</v>
      </c>
      <c r="AJ158" s="242">
        <f t="shared" si="1633"/>
        <v>0</v>
      </c>
      <c r="AK158" s="242">
        <f t="shared" si="1633"/>
        <v>0</v>
      </c>
      <c r="AL158" s="242">
        <f t="shared" ref="AL158:BQ158" si="1634">AL82</f>
        <v>0</v>
      </c>
      <c r="AM158" s="242">
        <f t="shared" si="1634"/>
        <v>0</v>
      </c>
      <c r="AN158" s="242">
        <f t="shared" si="1634"/>
        <v>0</v>
      </c>
      <c r="AO158" s="242">
        <f t="shared" si="1634"/>
        <v>0</v>
      </c>
      <c r="AP158" s="242">
        <f t="shared" si="1634"/>
        <v>0</v>
      </c>
      <c r="AQ158" s="242">
        <f t="shared" si="1634"/>
        <v>0</v>
      </c>
      <c r="AR158" s="242">
        <f t="shared" si="1634"/>
        <v>0</v>
      </c>
      <c r="AS158" s="242">
        <f t="shared" si="1634"/>
        <v>0</v>
      </c>
      <c r="AT158" s="242">
        <f t="shared" si="1634"/>
        <v>0</v>
      </c>
      <c r="AU158" s="242">
        <f t="shared" si="1634"/>
        <v>0</v>
      </c>
      <c r="AV158" s="242">
        <f t="shared" si="1634"/>
        <v>0</v>
      </c>
      <c r="AW158" s="242">
        <f t="shared" si="1634"/>
        <v>0</v>
      </c>
      <c r="AX158" s="242">
        <f t="shared" si="1634"/>
        <v>0</v>
      </c>
      <c r="AY158" s="242">
        <f t="shared" si="1634"/>
        <v>0</v>
      </c>
      <c r="AZ158" s="242">
        <f t="shared" si="1634"/>
        <v>0</v>
      </c>
      <c r="BA158" s="242">
        <f t="shared" si="1634"/>
        <v>0</v>
      </c>
      <c r="BB158" s="242">
        <f t="shared" si="1634"/>
        <v>0</v>
      </c>
      <c r="BC158" s="242">
        <f t="shared" si="1634"/>
        <v>0</v>
      </c>
      <c r="BD158" s="242">
        <f t="shared" si="1634"/>
        <v>0</v>
      </c>
      <c r="BE158" s="242">
        <f t="shared" si="1634"/>
        <v>0</v>
      </c>
      <c r="BF158" s="242">
        <f t="shared" si="1634"/>
        <v>0</v>
      </c>
      <c r="BG158" s="242">
        <f t="shared" si="1634"/>
        <v>0</v>
      </c>
      <c r="BH158" s="242">
        <f t="shared" si="1634"/>
        <v>0</v>
      </c>
      <c r="BI158" s="242">
        <f t="shared" si="1634"/>
        <v>0</v>
      </c>
      <c r="BJ158" s="242">
        <f t="shared" si="1634"/>
        <v>0</v>
      </c>
      <c r="BK158" s="242">
        <f t="shared" si="1634"/>
        <v>0</v>
      </c>
      <c r="BL158" s="242">
        <f t="shared" si="1634"/>
        <v>0</v>
      </c>
      <c r="BM158" s="242">
        <f t="shared" si="1634"/>
        <v>0</v>
      </c>
      <c r="BN158" s="242">
        <f t="shared" si="1634"/>
        <v>0</v>
      </c>
      <c r="BO158" s="242">
        <f t="shared" si="1634"/>
        <v>0</v>
      </c>
      <c r="BP158" s="242">
        <f t="shared" si="1634"/>
        <v>0</v>
      </c>
      <c r="BQ158" s="242">
        <f t="shared" si="1634"/>
        <v>0</v>
      </c>
      <c r="BR158" s="242">
        <f t="shared" ref="BR158:BZ158" si="1635">BR82</f>
        <v>0</v>
      </c>
      <c r="BS158" s="242">
        <f t="shared" si="1635"/>
        <v>0</v>
      </c>
      <c r="BT158" s="242">
        <f t="shared" si="1635"/>
        <v>0</v>
      </c>
      <c r="BU158" s="242">
        <f t="shared" si="1635"/>
        <v>0</v>
      </c>
      <c r="BV158" s="242">
        <f t="shared" si="1635"/>
        <v>0</v>
      </c>
      <c r="BW158" s="242">
        <f t="shared" si="1635"/>
        <v>0</v>
      </c>
      <c r="BX158" s="242">
        <f t="shared" si="1635"/>
        <v>0</v>
      </c>
      <c r="BY158" s="242">
        <f t="shared" si="1635"/>
        <v>0</v>
      </c>
      <c r="BZ158" s="242">
        <f t="shared" si="1635"/>
        <v>0</v>
      </c>
      <c r="CA158" s="242">
        <f t="shared" ref="CA158:EL158" si="1636">CA82</f>
        <v>0</v>
      </c>
      <c r="CB158" s="242">
        <f t="shared" si="1636"/>
        <v>0</v>
      </c>
      <c r="CC158" s="242">
        <f t="shared" si="1636"/>
        <v>0</v>
      </c>
      <c r="CD158" s="242">
        <f t="shared" si="1636"/>
        <v>0</v>
      </c>
      <c r="CE158" s="242">
        <f t="shared" si="1636"/>
        <v>0</v>
      </c>
      <c r="CF158" s="242">
        <f t="shared" si="1636"/>
        <v>0</v>
      </c>
      <c r="CG158" s="242">
        <f t="shared" si="1636"/>
        <v>0</v>
      </c>
      <c r="CH158" s="242">
        <f t="shared" si="1636"/>
        <v>0</v>
      </c>
      <c r="CI158" s="242">
        <f t="shared" si="1636"/>
        <v>0</v>
      </c>
      <c r="CJ158" s="242">
        <f t="shared" si="1636"/>
        <v>0</v>
      </c>
      <c r="CK158" s="242">
        <f t="shared" ca="1" si="1636"/>
        <v>2866119.8899566242</v>
      </c>
      <c r="CL158" s="242">
        <f t="shared" si="1636"/>
        <v>0</v>
      </c>
      <c r="CM158" s="242">
        <f t="shared" si="1636"/>
        <v>0</v>
      </c>
      <c r="CN158" s="242">
        <f t="shared" si="1636"/>
        <v>0</v>
      </c>
      <c r="CO158" s="242">
        <f t="shared" si="1636"/>
        <v>0</v>
      </c>
      <c r="CP158" s="242">
        <f t="shared" si="1636"/>
        <v>0</v>
      </c>
      <c r="CQ158" s="242">
        <f t="shared" si="1636"/>
        <v>0</v>
      </c>
      <c r="CR158" s="242">
        <f t="shared" si="1636"/>
        <v>0</v>
      </c>
      <c r="CS158" s="242">
        <f t="shared" si="1636"/>
        <v>0</v>
      </c>
      <c r="CT158" s="242">
        <f t="shared" si="1636"/>
        <v>0</v>
      </c>
      <c r="CU158" s="242">
        <f t="shared" si="1636"/>
        <v>0</v>
      </c>
      <c r="CV158" s="242">
        <f t="shared" si="1636"/>
        <v>0</v>
      </c>
      <c r="CW158" s="242">
        <f t="shared" si="1636"/>
        <v>0</v>
      </c>
      <c r="CX158" s="242">
        <f t="shared" si="1636"/>
        <v>0</v>
      </c>
      <c r="CY158" s="242">
        <f t="shared" si="1636"/>
        <v>0</v>
      </c>
      <c r="CZ158" s="242">
        <f t="shared" si="1636"/>
        <v>0</v>
      </c>
      <c r="DA158" s="242">
        <f t="shared" si="1636"/>
        <v>0</v>
      </c>
      <c r="DB158" s="242">
        <f t="shared" si="1636"/>
        <v>0</v>
      </c>
      <c r="DC158" s="242">
        <f t="shared" si="1636"/>
        <v>0</v>
      </c>
      <c r="DD158" s="242">
        <f t="shared" si="1636"/>
        <v>0</v>
      </c>
      <c r="DE158" s="242">
        <f t="shared" si="1636"/>
        <v>0</v>
      </c>
      <c r="DF158" s="242">
        <f t="shared" si="1636"/>
        <v>0</v>
      </c>
      <c r="DG158" s="242">
        <f t="shared" si="1636"/>
        <v>0</v>
      </c>
      <c r="DH158" s="242">
        <f t="shared" si="1636"/>
        <v>0</v>
      </c>
      <c r="DI158" s="242">
        <f t="shared" si="1636"/>
        <v>0</v>
      </c>
      <c r="DJ158" s="242">
        <f t="shared" si="1636"/>
        <v>0</v>
      </c>
      <c r="DK158" s="242">
        <f t="shared" si="1636"/>
        <v>0</v>
      </c>
      <c r="DL158" s="242">
        <f t="shared" si="1636"/>
        <v>0</v>
      </c>
      <c r="DM158" s="242">
        <f t="shared" si="1636"/>
        <v>0</v>
      </c>
      <c r="DN158" s="242">
        <f t="shared" si="1636"/>
        <v>0</v>
      </c>
      <c r="DO158" s="242">
        <f t="shared" si="1636"/>
        <v>0</v>
      </c>
      <c r="DP158" s="242">
        <f t="shared" si="1636"/>
        <v>0</v>
      </c>
      <c r="DQ158" s="242">
        <f t="shared" si="1636"/>
        <v>0</v>
      </c>
      <c r="DR158" s="242">
        <f t="shared" si="1636"/>
        <v>0</v>
      </c>
      <c r="DS158" s="242">
        <f t="shared" si="1636"/>
        <v>0</v>
      </c>
      <c r="DT158" s="242">
        <f t="shared" si="1636"/>
        <v>0</v>
      </c>
      <c r="DU158" s="242">
        <f t="shared" si="1636"/>
        <v>0</v>
      </c>
      <c r="DV158" s="242">
        <f t="shared" si="1636"/>
        <v>0</v>
      </c>
      <c r="DW158" s="242">
        <f t="shared" si="1636"/>
        <v>0</v>
      </c>
      <c r="DX158" s="242">
        <f t="shared" si="1636"/>
        <v>0</v>
      </c>
      <c r="DY158" s="242">
        <f t="shared" si="1636"/>
        <v>0</v>
      </c>
      <c r="DZ158" s="242">
        <f t="shared" si="1636"/>
        <v>0</v>
      </c>
      <c r="EA158" s="242">
        <f t="shared" si="1636"/>
        <v>0</v>
      </c>
      <c r="EB158" s="242">
        <f t="shared" si="1636"/>
        <v>0</v>
      </c>
      <c r="EC158" s="242">
        <f t="shared" si="1636"/>
        <v>0</v>
      </c>
      <c r="ED158" s="242">
        <f t="shared" si="1636"/>
        <v>0</v>
      </c>
      <c r="EE158" s="242">
        <f t="shared" si="1636"/>
        <v>0</v>
      </c>
      <c r="EF158" s="242">
        <f t="shared" si="1636"/>
        <v>0</v>
      </c>
      <c r="EG158" s="242">
        <f t="shared" si="1636"/>
        <v>0</v>
      </c>
      <c r="EH158" s="242">
        <f t="shared" si="1636"/>
        <v>0</v>
      </c>
      <c r="EI158" s="242">
        <f t="shared" si="1636"/>
        <v>0</v>
      </c>
      <c r="EJ158" s="242">
        <f t="shared" si="1636"/>
        <v>0</v>
      </c>
      <c r="EK158" s="242">
        <f t="shared" si="1636"/>
        <v>0</v>
      </c>
      <c r="EL158" s="242">
        <f t="shared" si="1636"/>
        <v>0</v>
      </c>
      <c r="EM158" s="242">
        <f t="shared" ref="EM158:ET158" si="1637">EM82</f>
        <v>0</v>
      </c>
      <c r="EN158" s="242">
        <f t="shared" si="1637"/>
        <v>0</v>
      </c>
      <c r="EO158" s="242">
        <f t="shared" si="1637"/>
        <v>0</v>
      </c>
      <c r="EP158" s="242">
        <f t="shared" si="1637"/>
        <v>0</v>
      </c>
      <c r="EQ158" s="242">
        <f t="shared" si="1637"/>
        <v>0</v>
      </c>
      <c r="ER158" s="242">
        <f t="shared" si="1637"/>
        <v>0</v>
      </c>
      <c r="ES158" s="242">
        <f t="shared" si="1637"/>
        <v>0</v>
      </c>
      <c r="ET158" s="242">
        <f t="shared" si="1637"/>
        <v>0</v>
      </c>
    </row>
    <row r="159" spans="2:150" x14ac:dyDescent="0.2">
      <c r="B159" s="8" t="s">
        <v>182</v>
      </c>
      <c r="F159" s="242">
        <f t="shared" ref="F159:AK159" si="1638">F81</f>
        <v>0</v>
      </c>
      <c r="G159" s="242">
        <f t="shared" si="1638"/>
        <v>0</v>
      </c>
      <c r="H159" s="242">
        <f t="shared" si="1638"/>
        <v>0</v>
      </c>
      <c r="I159" s="242">
        <f t="shared" si="1638"/>
        <v>0</v>
      </c>
      <c r="J159" s="242">
        <f t="shared" si="1638"/>
        <v>0</v>
      </c>
      <c r="K159" s="242">
        <f t="shared" si="1638"/>
        <v>0</v>
      </c>
      <c r="L159" s="242">
        <f t="shared" si="1638"/>
        <v>0</v>
      </c>
      <c r="M159" s="242">
        <f t="shared" si="1638"/>
        <v>0</v>
      </c>
      <c r="N159" s="242">
        <f t="shared" si="1638"/>
        <v>0</v>
      </c>
      <c r="O159" s="242">
        <f t="shared" si="1638"/>
        <v>0</v>
      </c>
      <c r="P159" s="242">
        <f t="shared" si="1638"/>
        <v>0</v>
      </c>
      <c r="Q159" s="242">
        <f t="shared" si="1638"/>
        <v>0</v>
      </c>
      <c r="R159" s="242">
        <f t="shared" si="1638"/>
        <v>0</v>
      </c>
      <c r="S159" s="242">
        <f t="shared" si="1638"/>
        <v>0</v>
      </c>
      <c r="T159" s="242">
        <f t="shared" si="1638"/>
        <v>0</v>
      </c>
      <c r="U159" s="242">
        <f t="shared" si="1638"/>
        <v>0</v>
      </c>
      <c r="V159" s="242">
        <f t="shared" si="1638"/>
        <v>0</v>
      </c>
      <c r="W159" s="242">
        <f t="shared" si="1638"/>
        <v>0</v>
      </c>
      <c r="X159" s="242">
        <f t="shared" si="1638"/>
        <v>0</v>
      </c>
      <c r="Y159" s="242">
        <f t="shared" si="1638"/>
        <v>0</v>
      </c>
      <c r="Z159" s="242">
        <f t="shared" si="1638"/>
        <v>0</v>
      </c>
      <c r="AA159" s="242">
        <f t="shared" si="1638"/>
        <v>0</v>
      </c>
      <c r="AB159" s="242">
        <f t="shared" si="1638"/>
        <v>0</v>
      </c>
      <c r="AC159" s="242">
        <f t="shared" si="1638"/>
        <v>0</v>
      </c>
      <c r="AD159" s="242">
        <f t="shared" si="1638"/>
        <v>0</v>
      </c>
      <c r="AE159" s="242">
        <f t="shared" si="1638"/>
        <v>0</v>
      </c>
      <c r="AF159" s="242">
        <f t="shared" si="1638"/>
        <v>0</v>
      </c>
      <c r="AG159" s="242">
        <f t="shared" si="1638"/>
        <v>0</v>
      </c>
      <c r="AH159" s="242">
        <f t="shared" si="1638"/>
        <v>0</v>
      </c>
      <c r="AI159" s="242">
        <f t="shared" si="1638"/>
        <v>0</v>
      </c>
      <c r="AJ159" s="242">
        <f t="shared" si="1638"/>
        <v>0</v>
      </c>
      <c r="AK159" s="242">
        <f t="shared" si="1638"/>
        <v>0</v>
      </c>
      <c r="AL159" s="242">
        <f t="shared" ref="AL159:BQ159" si="1639">AL81</f>
        <v>0</v>
      </c>
      <c r="AM159" s="242">
        <f t="shared" si="1639"/>
        <v>0</v>
      </c>
      <c r="AN159" s="242">
        <f t="shared" si="1639"/>
        <v>0</v>
      </c>
      <c r="AO159" s="242">
        <f t="shared" si="1639"/>
        <v>0</v>
      </c>
      <c r="AP159" s="242">
        <f t="shared" si="1639"/>
        <v>0</v>
      </c>
      <c r="AQ159" s="242">
        <f t="shared" si="1639"/>
        <v>0</v>
      </c>
      <c r="AR159" s="242">
        <f t="shared" si="1639"/>
        <v>0</v>
      </c>
      <c r="AS159" s="242">
        <f t="shared" si="1639"/>
        <v>0</v>
      </c>
      <c r="AT159" s="242">
        <f t="shared" si="1639"/>
        <v>0</v>
      </c>
      <c r="AU159" s="242">
        <f t="shared" si="1639"/>
        <v>0</v>
      </c>
      <c r="AV159" s="242">
        <f t="shared" si="1639"/>
        <v>0</v>
      </c>
      <c r="AW159" s="242">
        <f t="shared" si="1639"/>
        <v>0</v>
      </c>
      <c r="AX159" s="242">
        <f t="shared" si="1639"/>
        <v>0</v>
      </c>
      <c r="AY159" s="242">
        <f t="shared" si="1639"/>
        <v>0</v>
      </c>
      <c r="AZ159" s="242">
        <f t="shared" si="1639"/>
        <v>0</v>
      </c>
      <c r="BA159" s="242">
        <f t="shared" si="1639"/>
        <v>0</v>
      </c>
      <c r="BB159" s="242">
        <f t="shared" si="1639"/>
        <v>0</v>
      </c>
      <c r="BC159" s="242">
        <f t="shared" si="1639"/>
        <v>0</v>
      </c>
      <c r="BD159" s="242">
        <f t="shared" si="1639"/>
        <v>0</v>
      </c>
      <c r="BE159" s="242">
        <f t="shared" si="1639"/>
        <v>0</v>
      </c>
      <c r="BF159" s="242">
        <f t="shared" si="1639"/>
        <v>0</v>
      </c>
      <c r="BG159" s="242">
        <f t="shared" si="1639"/>
        <v>0</v>
      </c>
      <c r="BH159" s="242">
        <f t="shared" si="1639"/>
        <v>0</v>
      </c>
      <c r="BI159" s="242">
        <f t="shared" si="1639"/>
        <v>0</v>
      </c>
      <c r="BJ159" s="242">
        <f t="shared" si="1639"/>
        <v>0</v>
      </c>
      <c r="BK159" s="242">
        <f t="shared" si="1639"/>
        <v>0</v>
      </c>
      <c r="BL159" s="242">
        <f t="shared" si="1639"/>
        <v>0</v>
      </c>
      <c r="BM159" s="242">
        <f t="shared" si="1639"/>
        <v>0</v>
      </c>
      <c r="BN159" s="242">
        <f t="shared" si="1639"/>
        <v>0</v>
      </c>
      <c r="BO159" s="242">
        <f t="shared" si="1639"/>
        <v>0</v>
      </c>
      <c r="BP159" s="242">
        <f t="shared" si="1639"/>
        <v>0</v>
      </c>
      <c r="BQ159" s="242">
        <f t="shared" si="1639"/>
        <v>0</v>
      </c>
      <c r="BR159" s="242">
        <f t="shared" ref="BR159:BZ159" si="1640">BR81</f>
        <v>0</v>
      </c>
      <c r="BS159" s="242">
        <f t="shared" si="1640"/>
        <v>0</v>
      </c>
      <c r="BT159" s="242">
        <f t="shared" si="1640"/>
        <v>0</v>
      </c>
      <c r="BU159" s="242">
        <f t="shared" si="1640"/>
        <v>0</v>
      </c>
      <c r="BV159" s="242">
        <f t="shared" si="1640"/>
        <v>0</v>
      </c>
      <c r="BW159" s="242">
        <f t="shared" si="1640"/>
        <v>0</v>
      </c>
      <c r="BX159" s="242">
        <f t="shared" si="1640"/>
        <v>0</v>
      </c>
      <c r="BY159" s="242">
        <f t="shared" si="1640"/>
        <v>0</v>
      </c>
      <c r="BZ159" s="242">
        <f t="shared" si="1640"/>
        <v>0</v>
      </c>
      <c r="CA159" s="242">
        <f t="shared" ref="CA159:EL159" si="1641">CA81</f>
        <v>0</v>
      </c>
      <c r="CB159" s="242">
        <f t="shared" si="1641"/>
        <v>0</v>
      </c>
      <c r="CC159" s="242">
        <f t="shared" si="1641"/>
        <v>0</v>
      </c>
      <c r="CD159" s="242">
        <f t="shared" si="1641"/>
        <v>0</v>
      </c>
      <c r="CE159" s="242">
        <f t="shared" si="1641"/>
        <v>0</v>
      </c>
      <c r="CF159" s="242">
        <f t="shared" si="1641"/>
        <v>0</v>
      </c>
      <c r="CG159" s="242">
        <f t="shared" si="1641"/>
        <v>0</v>
      </c>
      <c r="CH159" s="242">
        <f t="shared" si="1641"/>
        <v>0</v>
      </c>
      <c r="CI159" s="242">
        <f t="shared" si="1641"/>
        <v>0</v>
      </c>
      <c r="CJ159" s="242">
        <f t="shared" si="1641"/>
        <v>0</v>
      </c>
      <c r="CK159" s="242">
        <f t="shared" ca="1" si="1641"/>
        <v>-327378.08537684486</v>
      </c>
      <c r="CL159" s="242">
        <f t="shared" si="1641"/>
        <v>0</v>
      </c>
      <c r="CM159" s="242">
        <f t="shared" si="1641"/>
        <v>0</v>
      </c>
      <c r="CN159" s="242">
        <f t="shared" si="1641"/>
        <v>0</v>
      </c>
      <c r="CO159" s="242">
        <f t="shared" si="1641"/>
        <v>0</v>
      </c>
      <c r="CP159" s="242">
        <f t="shared" si="1641"/>
        <v>0</v>
      </c>
      <c r="CQ159" s="242">
        <f t="shared" si="1641"/>
        <v>0</v>
      </c>
      <c r="CR159" s="242">
        <f t="shared" si="1641"/>
        <v>0</v>
      </c>
      <c r="CS159" s="242">
        <f t="shared" si="1641"/>
        <v>0</v>
      </c>
      <c r="CT159" s="242">
        <f t="shared" si="1641"/>
        <v>0</v>
      </c>
      <c r="CU159" s="242">
        <f t="shared" si="1641"/>
        <v>0</v>
      </c>
      <c r="CV159" s="242">
        <f t="shared" si="1641"/>
        <v>0</v>
      </c>
      <c r="CW159" s="242">
        <f t="shared" si="1641"/>
        <v>0</v>
      </c>
      <c r="CX159" s="242">
        <f t="shared" si="1641"/>
        <v>0</v>
      </c>
      <c r="CY159" s="242">
        <f t="shared" si="1641"/>
        <v>0</v>
      </c>
      <c r="CZ159" s="242">
        <f t="shared" si="1641"/>
        <v>0</v>
      </c>
      <c r="DA159" s="242">
        <f t="shared" si="1641"/>
        <v>0</v>
      </c>
      <c r="DB159" s="242">
        <f t="shared" si="1641"/>
        <v>0</v>
      </c>
      <c r="DC159" s="242">
        <f t="shared" si="1641"/>
        <v>0</v>
      </c>
      <c r="DD159" s="242">
        <f t="shared" si="1641"/>
        <v>0</v>
      </c>
      <c r="DE159" s="242">
        <f t="shared" si="1641"/>
        <v>0</v>
      </c>
      <c r="DF159" s="242">
        <f t="shared" si="1641"/>
        <v>0</v>
      </c>
      <c r="DG159" s="242">
        <f t="shared" si="1641"/>
        <v>0</v>
      </c>
      <c r="DH159" s="242">
        <f t="shared" si="1641"/>
        <v>0</v>
      </c>
      <c r="DI159" s="242">
        <f t="shared" si="1641"/>
        <v>0</v>
      </c>
      <c r="DJ159" s="242">
        <f t="shared" si="1641"/>
        <v>0</v>
      </c>
      <c r="DK159" s="242">
        <f t="shared" si="1641"/>
        <v>0</v>
      </c>
      <c r="DL159" s="242">
        <f t="shared" si="1641"/>
        <v>0</v>
      </c>
      <c r="DM159" s="242">
        <f t="shared" si="1641"/>
        <v>0</v>
      </c>
      <c r="DN159" s="242">
        <f t="shared" si="1641"/>
        <v>0</v>
      </c>
      <c r="DO159" s="242">
        <f t="shared" si="1641"/>
        <v>0</v>
      </c>
      <c r="DP159" s="242">
        <f t="shared" si="1641"/>
        <v>0</v>
      </c>
      <c r="DQ159" s="242">
        <f t="shared" si="1641"/>
        <v>0</v>
      </c>
      <c r="DR159" s="242">
        <f t="shared" si="1641"/>
        <v>0</v>
      </c>
      <c r="DS159" s="242">
        <f t="shared" si="1641"/>
        <v>0</v>
      </c>
      <c r="DT159" s="242">
        <f t="shared" si="1641"/>
        <v>0</v>
      </c>
      <c r="DU159" s="242">
        <f t="shared" si="1641"/>
        <v>0</v>
      </c>
      <c r="DV159" s="242">
        <f t="shared" si="1641"/>
        <v>0</v>
      </c>
      <c r="DW159" s="242">
        <f t="shared" si="1641"/>
        <v>0</v>
      </c>
      <c r="DX159" s="242">
        <f t="shared" si="1641"/>
        <v>0</v>
      </c>
      <c r="DY159" s="242">
        <f t="shared" si="1641"/>
        <v>0</v>
      </c>
      <c r="DZ159" s="242">
        <f t="shared" si="1641"/>
        <v>0</v>
      </c>
      <c r="EA159" s="242">
        <f t="shared" si="1641"/>
        <v>0</v>
      </c>
      <c r="EB159" s="242">
        <f t="shared" si="1641"/>
        <v>0</v>
      </c>
      <c r="EC159" s="242">
        <f t="shared" si="1641"/>
        <v>0</v>
      </c>
      <c r="ED159" s="242">
        <f t="shared" si="1641"/>
        <v>0</v>
      </c>
      <c r="EE159" s="242">
        <f t="shared" si="1641"/>
        <v>0</v>
      </c>
      <c r="EF159" s="242">
        <f t="shared" si="1641"/>
        <v>0</v>
      </c>
      <c r="EG159" s="242">
        <f t="shared" si="1641"/>
        <v>0</v>
      </c>
      <c r="EH159" s="242">
        <f t="shared" si="1641"/>
        <v>0</v>
      </c>
      <c r="EI159" s="242">
        <f t="shared" si="1641"/>
        <v>0</v>
      </c>
      <c r="EJ159" s="242">
        <f t="shared" si="1641"/>
        <v>0</v>
      </c>
      <c r="EK159" s="242">
        <f t="shared" si="1641"/>
        <v>0</v>
      </c>
      <c r="EL159" s="242">
        <f t="shared" si="1641"/>
        <v>0</v>
      </c>
      <c r="EM159" s="242">
        <f t="shared" ref="EM159:ET159" si="1642">EM81</f>
        <v>0</v>
      </c>
      <c r="EN159" s="242">
        <f t="shared" si="1642"/>
        <v>0</v>
      </c>
      <c r="EO159" s="242">
        <f t="shared" si="1642"/>
        <v>0</v>
      </c>
      <c r="EP159" s="242">
        <f t="shared" si="1642"/>
        <v>0</v>
      </c>
      <c r="EQ159" s="242">
        <f t="shared" si="1642"/>
        <v>0</v>
      </c>
      <c r="ER159" s="242">
        <f t="shared" si="1642"/>
        <v>0</v>
      </c>
      <c r="ES159" s="242">
        <f t="shared" si="1642"/>
        <v>0</v>
      </c>
      <c r="ET159" s="242">
        <f t="shared" si="1642"/>
        <v>0</v>
      </c>
    </row>
    <row r="160" spans="2:150" x14ac:dyDescent="0.2">
      <c r="B160" s="8" t="s">
        <v>183</v>
      </c>
      <c r="F160" s="242">
        <f t="shared" ref="F160" si="1643">F83</f>
        <v>0</v>
      </c>
      <c r="G160" s="242">
        <f t="shared" ref="G160:BR160" si="1644">G83</f>
        <v>0</v>
      </c>
      <c r="H160" s="242">
        <f t="shared" si="1644"/>
        <v>0</v>
      </c>
      <c r="I160" s="242">
        <f t="shared" si="1644"/>
        <v>0</v>
      </c>
      <c r="J160" s="242">
        <f t="shared" si="1644"/>
        <v>0</v>
      </c>
      <c r="K160" s="242">
        <f t="shared" si="1644"/>
        <v>0</v>
      </c>
      <c r="L160" s="242">
        <f t="shared" si="1644"/>
        <v>0</v>
      </c>
      <c r="M160" s="242">
        <f t="shared" si="1644"/>
        <v>0</v>
      </c>
      <c r="N160" s="242">
        <f t="shared" si="1644"/>
        <v>0</v>
      </c>
      <c r="O160" s="242">
        <f t="shared" si="1644"/>
        <v>0</v>
      </c>
      <c r="P160" s="242">
        <f t="shared" si="1644"/>
        <v>0</v>
      </c>
      <c r="Q160" s="242">
        <f t="shared" si="1644"/>
        <v>0</v>
      </c>
      <c r="R160" s="242">
        <f t="shared" si="1644"/>
        <v>0</v>
      </c>
      <c r="S160" s="242">
        <f t="shared" si="1644"/>
        <v>0</v>
      </c>
      <c r="T160" s="242">
        <f t="shared" si="1644"/>
        <v>0</v>
      </c>
      <c r="U160" s="242">
        <f t="shared" si="1644"/>
        <v>0</v>
      </c>
      <c r="V160" s="242">
        <f t="shared" si="1644"/>
        <v>0</v>
      </c>
      <c r="W160" s="242">
        <f t="shared" si="1644"/>
        <v>0</v>
      </c>
      <c r="X160" s="242">
        <f t="shared" si="1644"/>
        <v>0</v>
      </c>
      <c r="Y160" s="242">
        <f t="shared" si="1644"/>
        <v>0</v>
      </c>
      <c r="Z160" s="242">
        <f t="shared" si="1644"/>
        <v>0</v>
      </c>
      <c r="AA160" s="242">
        <f t="shared" si="1644"/>
        <v>0</v>
      </c>
      <c r="AB160" s="242">
        <f t="shared" si="1644"/>
        <v>0</v>
      </c>
      <c r="AC160" s="242">
        <f t="shared" si="1644"/>
        <v>0</v>
      </c>
      <c r="AD160" s="242">
        <f t="shared" si="1644"/>
        <v>0</v>
      </c>
      <c r="AE160" s="242">
        <f t="shared" si="1644"/>
        <v>0</v>
      </c>
      <c r="AF160" s="242">
        <f t="shared" si="1644"/>
        <v>0</v>
      </c>
      <c r="AG160" s="242">
        <f t="shared" si="1644"/>
        <v>0</v>
      </c>
      <c r="AH160" s="242">
        <f t="shared" si="1644"/>
        <v>0</v>
      </c>
      <c r="AI160" s="242">
        <f t="shared" si="1644"/>
        <v>0</v>
      </c>
      <c r="AJ160" s="242">
        <f t="shared" si="1644"/>
        <v>0</v>
      </c>
      <c r="AK160" s="242">
        <f t="shared" si="1644"/>
        <v>0</v>
      </c>
      <c r="AL160" s="242">
        <f t="shared" si="1644"/>
        <v>0</v>
      </c>
      <c r="AM160" s="242">
        <f t="shared" si="1644"/>
        <v>0</v>
      </c>
      <c r="AN160" s="242">
        <f t="shared" si="1644"/>
        <v>0</v>
      </c>
      <c r="AO160" s="242">
        <f t="shared" si="1644"/>
        <v>0</v>
      </c>
      <c r="AP160" s="242">
        <f t="shared" si="1644"/>
        <v>0</v>
      </c>
      <c r="AQ160" s="242">
        <f t="shared" si="1644"/>
        <v>0</v>
      </c>
      <c r="AR160" s="242">
        <f t="shared" si="1644"/>
        <v>0</v>
      </c>
      <c r="AS160" s="242">
        <f t="shared" si="1644"/>
        <v>0</v>
      </c>
      <c r="AT160" s="242">
        <f t="shared" si="1644"/>
        <v>0</v>
      </c>
      <c r="AU160" s="242">
        <f t="shared" si="1644"/>
        <v>0</v>
      </c>
      <c r="AV160" s="242">
        <f t="shared" si="1644"/>
        <v>0</v>
      </c>
      <c r="AW160" s="242">
        <f t="shared" si="1644"/>
        <v>0</v>
      </c>
      <c r="AX160" s="242">
        <f t="shared" si="1644"/>
        <v>0</v>
      </c>
      <c r="AY160" s="242">
        <f t="shared" si="1644"/>
        <v>0</v>
      </c>
      <c r="AZ160" s="242">
        <f t="shared" si="1644"/>
        <v>0</v>
      </c>
      <c r="BA160" s="242">
        <f t="shared" si="1644"/>
        <v>0</v>
      </c>
      <c r="BB160" s="242">
        <f t="shared" si="1644"/>
        <v>0</v>
      </c>
      <c r="BC160" s="242">
        <f t="shared" si="1644"/>
        <v>0</v>
      </c>
      <c r="BD160" s="242">
        <f t="shared" si="1644"/>
        <v>0</v>
      </c>
      <c r="BE160" s="242">
        <f t="shared" si="1644"/>
        <v>0</v>
      </c>
      <c r="BF160" s="242">
        <f t="shared" si="1644"/>
        <v>0</v>
      </c>
      <c r="BG160" s="242">
        <f t="shared" si="1644"/>
        <v>0</v>
      </c>
      <c r="BH160" s="242">
        <f t="shared" si="1644"/>
        <v>0</v>
      </c>
      <c r="BI160" s="242">
        <f t="shared" si="1644"/>
        <v>0</v>
      </c>
      <c r="BJ160" s="242">
        <f t="shared" si="1644"/>
        <v>0</v>
      </c>
      <c r="BK160" s="242">
        <f t="shared" si="1644"/>
        <v>0</v>
      </c>
      <c r="BL160" s="242">
        <f t="shared" si="1644"/>
        <v>0</v>
      </c>
      <c r="BM160" s="242">
        <f t="shared" si="1644"/>
        <v>0</v>
      </c>
      <c r="BN160" s="242">
        <f t="shared" si="1644"/>
        <v>0</v>
      </c>
      <c r="BO160" s="242">
        <f t="shared" si="1644"/>
        <v>0</v>
      </c>
      <c r="BP160" s="242">
        <f t="shared" si="1644"/>
        <v>0</v>
      </c>
      <c r="BQ160" s="242">
        <f t="shared" si="1644"/>
        <v>0</v>
      </c>
      <c r="BR160" s="242">
        <f t="shared" si="1644"/>
        <v>0</v>
      </c>
      <c r="BS160" s="242">
        <f t="shared" ref="BS160:BZ160" si="1645">BS83</f>
        <v>0</v>
      </c>
      <c r="BT160" s="242">
        <f t="shared" si="1645"/>
        <v>0</v>
      </c>
      <c r="BU160" s="242">
        <f t="shared" si="1645"/>
        <v>0</v>
      </c>
      <c r="BV160" s="242">
        <f t="shared" si="1645"/>
        <v>0</v>
      </c>
      <c r="BW160" s="242">
        <f t="shared" si="1645"/>
        <v>0</v>
      </c>
      <c r="BX160" s="242">
        <f t="shared" si="1645"/>
        <v>0</v>
      </c>
      <c r="BY160" s="242">
        <f t="shared" si="1645"/>
        <v>0</v>
      </c>
      <c r="BZ160" s="242">
        <f t="shared" si="1645"/>
        <v>0</v>
      </c>
      <c r="CA160" s="242">
        <f t="shared" ref="CA160:EL160" si="1646">CA83</f>
        <v>0</v>
      </c>
      <c r="CB160" s="242">
        <f t="shared" si="1646"/>
        <v>0</v>
      </c>
      <c r="CC160" s="242">
        <f t="shared" si="1646"/>
        <v>0</v>
      </c>
      <c r="CD160" s="242">
        <f t="shared" si="1646"/>
        <v>0</v>
      </c>
      <c r="CE160" s="242">
        <f t="shared" si="1646"/>
        <v>0</v>
      </c>
      <c r="CF160" s="242">
        <f t="shared" si="1646"/>
        <v>0</v>
      </c>
      <c r="CG160" s="242">
        <f t="shared" si="1646"/>
        <v>0</v>
      </c>
      <c r="CH160" s="242">
        <f t="shared" si="1646"/>
        <v>0</v>
      </c>
      <c r="CI160" s="242">
        <f t="shared" si="1646"/>
        <v>0</v>
      </c>
      <c r="CJ160" s="242">
        <f t="shared" si="1646"/>
        <v>0</v>
      </c>
      <c r="CK160" s="242">
        <f t="shared" ca="1" si="1646"/>
        <v>-100314.19614848186</v>
      </c>
      <c r="CL160" s="242">
        <f t="shared" si="1646"/>
        <v>0</v>
      </c>
      <c r="CM160" s="242">
        <f t="shared" si="1646"/>
        <v>0</v>
      </c>
      <c r="CN160" s="242">
        <f t="shared" si="1646"/>
        <v>0</v>
      </c>
      <c r="CO160" s="242">
        <f t="shared" si="1646"/>
        <v>0</v>
      </c>
      <c r="CP160" s="242">
        <f t="shared" si="1646"/>
        <v>0</v>
      </c>
      <c r="CQ160" s="242">
        <f t="shared" si="1646"/>
        <v>0</v>
      </c>
      <c r="CR160" s="242">
        <f t="shared" si="1646"/>
        <v>0</v>
      </c>
      <c r="CS160" s="242">
        <f t="shared" si="1646"/>
        <v>0</v>
      </c>
      <c r="CT160" s="242">
        <f t="shared" si="1646"/>
        <v>0</v>
      </c>
      <c r="CU160" s="242">
        <f t="shared" si="1646"/>
        <v>0</v>
      </c>
      <c r="CV160" s="242">
        <f t="shared" si="1646"/>
        <v>0</v>
      </c>
      <c r="CW160" s="242">
        <f t="shared" si="1646"/>
        <v>0</v>
      </c>
      <c r="CX160" s="242">
        <f t="shared" si="1646"/>
        <v>0</v>
      </c>
      <c r="CY160" s="242">
        <f t="shared" si="1646"/>
        <v>0</v>
      </c>
      <c r="CZ160" s="242">
        <f t="shared" si="1646"/>
        <v>0</v>
      </c>
      <c r="DA160" s="242">
        <f t="shared" si="1646"/>
        <v>0</v>
      </c>
      <c r="DB160" s="242">
        <f t="shared" si="1646"/>
        <v>0</v>
      </c>
      <c r="DC160" s="242">
        <f t="shared" si="1646"/>
        <v>0</v>
      </c>
      <c r="DD160" s="242">
        <f t="shared" si="1646"/>
        <v>0</v>
      </c>
      <c r="DE160" s="242">
        <f t="shared" si="1646"/>
        <v>0</v>
      </c>
      <c r="DF160" s="242">
        <f t="shared" si="1646"/>
        <v>0</v>
      </c>
      <c r="DG160" s="242">
        <f t="shared" si="1646"/>
        <v>0</v>
      </c>
      <c r="DH160" s="242">
        <f t="shared" si="1646"/>
        <v>0</v>
      </c>
      <c r="DI160" s="242">
        <f t="shared" si="1646"/>
        <v>0</v>
      </c>
      <c r="DJ160" s="242">
        <f t="shared" si="1646"/>
        <v>0</v>
      </c>
      <c r="DK160" s="242">
        <f t="shared" si="1646"/>
        <v>0</v>
      </c>
      <c r="DL160" s="242">
        <f t="shared" si="1646"/>
        <v>0</v>
      </c>
      <c r="DM160" s="242">
        <f t="shared" si="1646"/>
        <v>0</v>
      </c>
      <c r="DN160" s="242">
        <f t="shared" si="1646"/>
        <v>0</v>
      </c>
      <c r="DO160" s="242">
        <f t="shared" si="1646"/>
        <v>0</v>
      </c>
      <c r="DP160" s="242">
        <f t="shared" si="1646"/>
        <v>0</v>
      </c>
      <c r="DQ160" s="242">
        <f t="shared" si="1646"/>
        <v>0</v>
      </c>
      <c r="DR160" s="242">
        <f t="shared" si="1646"/>
        <v>0</v>
      </c>
      <c r="DS160" s="242">
        <f t="shared" si="1646"/>
        <v>0</v>
      </c>
      <c r="DT160" s="242">
        <f t="shared" si="1646"/>
        <v>0</v>
      </c>
      <c r="DU160" s="242">
        <f t="shared" si="1646"/>
        <v>0</v>
      </c>
      <c r="DV160" s="242">
        <f t="shared" si="1646"/>
        <v>0</v>
      </c>
      <c r="DW160" s="242">
        <f t="shared" si="1646"/>
        <v>0</v>
      </c>
      <c r="DX160" s="242">
        <f t="shared" si="1646"/>
        <v>0</v>
      </c>
      <c r="DY160" s="242">
        <f t="shared" si="1646"/>
        <v>0</v>
      </c>
      <c r="DZ160" s="242">
        <f t="shared" si="1646"/>
        <v>0</v>
      </c>
      <c r="EA160" s="242">
        <f t="shared" si="1646"/>
        <v>0</v>
      </c>
      <c r="EB160" s="242">
        <f t="shared" si="1646"/>
        <v>0</v>
      </c>
      <c r="EC160" s="242">
        <f t="shared" si="1646"/>
        <v>0</v>
      </c>
      <c r="ED160" s="242">
        <f t="shared" si="1646"/>
        <v>0</v>
      </c>
      <c r="EE160" s="242">
        <f t="shared" si="1646"/>
        <v>0</v>
      </c>
      <c r="EF160" s="242">
        <f t="shared" si="1646"/>
        <v>0</v>
      </c>
      <c r="EG160" s="242">
        <f t="shared" si="1646"/>
        <v>0</v>
      </c>
      <c r="EH160" s="242">
        <f t="shared" si="1646"/>
        <v>0</v>
      </c>
      <c r="EI160" s="242">
        <f t="shared" si="1646"/>
        <v>0</v>
      </c>
      <c r="EJ160" s="242">
        <f t="shared" si="1646"/>
        <v>0</v>
      </c>
      <c r="EK160" s="242">
        <f t="shared" si="1646"/>
        <v>0</v>
      </c>
      <c r="EL160" s="242">
        <f t="shared" si="1646"/>
        <v>0</v>
      </c>
      <c r="EM160" s="242">
        <f t="shared" ref="EM160:ET160" si="1647">EM83</f>
        <v>0</v>
      </c>
      <c r="EN160" s="242">
        <f t="shared" si="1647"/>
        <v>0</v>
      </c>
      <c r="EO160" s="242">
        <f t="shared" si="1647"/>
        <v>0</v>
      </c>
      <c r="EP160" s="242">
        <f t="shared" si="1647"/>
        <v>0</v>
      </c>
      <c r="EQ160" s="242">
        <f t="shared" si="1647"/>
        <v>0</v>
      </c>
      <c r="ER160" s="242">
        <f t="shared" si="1647"/>
        <v>0</v>
      </c>
      <c r="ES160" s="242">
        <f t="shared" si="1647"/>
        <v>0</v>
      </c>
      <c r="ET160" s="242">
        <f t="shared" si="1647"/>
        <v>0</v>
      </c>
    </row>
    <row r="161" spans="2:150" x14ac:dyDescent="0.2">
      <c r="B161" s="8" t="s">
        <v>286</v>
      </c>
      <c r="F161" s="242">
        <f>IF(F6&gt;Assumptions!$F$40,0,F140)</f>
        <v>0</v>
      </c>
      <c r="G161" s="242">
        <f>IF(G6&gt;Assumptions!$F$40,0,G140)</f>
        <v>0</v>
      </c>
      <c r="H161" s="242">
        <f>IF(H6&gt;Assumptions!$F$40,0,H140)</f>
        <v>0</v>
      </c>
      <c r="I161" s="242">
        <f>IF(I6&gt;Assumptions!$F$40,0,I140)</f>
        <v>0</v>
      </c>
      <c r="J161" s="242">
        <f>IF(J6&gt;Assumptions!$F$40,0,J140)</f>
        <v>0</v>
      </c>
      <c r="K161" s="242">
        <f>IF(K6&gt;Assumptions!$F$40,0,K140)</f>
        <v>0</v>
      </c>
      <c r="L161" s="242">
        <f>IF(L6&gt;Assumptions!$F$40,0,L140)</f>
        <v>0</v>
      </c>
      <c r="M161" s="242">
        <f>IF(M6&gt;Assumptions!$F$40,0,M140)</f>
        <v>0</v>
      </c>
      <c r="N161" s="242">
        <f>IF(N6&gt;Assumptions!$F$40,0,N140)</f>
        <v>0</v>
      </c>
      <c r="O161" s="242">
        <f>IF(O6&gt;Assumptions!$F$40,0,O140)</f>
        <v>0</v>
      </c>
      <c r="P161" s="242">
        <f>IF(P6&gt;Assumptions!$F$40,0,P140)</f>
        <v>0</v>
      </c>
      <c r="Q161" s="242">
        <f>IF(Q6&gt;Assumptions!$F$40,0,Q140)</f>
        <v>0</v>
      </c>
      <c r="R161" s="242">
        <f>IF(R6&gt;Assumptions!$F$40,0,R140)</f>
        <v>0</v>
      </c>
      <c r="S161" s="242">
        <f>IF(S6&gt;Assumptions!$F$40,0,S140)</f>
        <v>0</v>
      </c>
      <c r="T161" s="242">
        <f>IF(T6&gt;Assumptions!$F$40,0,T140)</f>
        <v>0</v>
      </c>
      <c r="U161" s="242">
        <f>IF(U6&gt;Assumptions!$F$40,0,U140)</f>
        <v>0</v>
      </c>
      <c r="V161" s="242">
        <f>IF(V6&gt;Assumptions!$F$40,0,V140)</f>
        <v>0</v>
      </c>
      <c r="W161" s="242">
        <f>IF(W6&gt;Assumptions!$F$40,0,W140)</f>
        <v>0</v>
      </c>
      <c r="X161" s="242">
        <f>IF(X6&gt;Assumptions!$F$40,0,X140)</f>
        <v>0</v>
      </c>
      <c r="Y161" s="242">
        <f>IF(Y6&gt;Assumptions!$F$40,0,Y140)</f>
        <v>0</v>
      </c>
      <c r="Z161" s="242">
        <f>IF(Z6&gt;Assumptions!$F$40,0,Z140)</f>
        <v>0</v>
      </c>
      <c r="AA161" s="242">
        <f>IF(AA6&gt;Assumptions!$F$40,0,AA140)</f>
        <v>0</v>
      </c>
      <c r="AB161" s="242">
        <f>IF(AB6&gt;Assumptions!$F$40,0,AB140)</f>
        <v>0</v>
      </c>
      <c r="AC161" s="242">
        <f>IF(AC6&gt;Assumptions!$F$40,0,AC140)</f>
        <v>0</v>
      </c>
      <c r="AD161" s="242">
        <f>IF(AD6&gt;Assumptions!$F$40,0,AD140)</f>
        <v>0</v>
      </c>
      <c r="AE161" s="242">
        <f>IF(AE6&gt;Assumptions!$F$40,0,AE140)</f>
        <v>0</v>
      </c>
      <c r="AF161" s="242">
        <f>IF(AF6&gt;Assumptions!$F$40,0,AF140)</f>
        <v>0</v>
      </c>
      <c r="AG161" s="242">
        <f>IF(AG6&gt;Assumptions!$F$40,0,AG140)</f>
        <v>0</v>
      </c>
      <c r="AH161" s="242">
        <f>IF(AH6&gt;Assumptions!$F$40,0,AH140)</f>
        <v>0</v>
      </c>
      <c r="AI161" s="242">
        <f>IF(AI6&gt;Assumptions!$F$40,0,AI140)</f>
        <v>0</v>
      </c>
      <c r="AJ161" s="242">
        <f>IF(AJ6&gt;Assumptions!$F$40,0,AJ140)</f>
        <v>0</v>
      </c>
      <c r="AK161" s="242">
        <f>IF(AK6&gt;Assumptions!$F$40,0,AK140)</f>
        <v>0</v>
      </c>
      <c r="AL161" s="242">
        <f>IF(AL6&gt;Assumptions!$F$40,0,AL140)</f>
        <v>0</v>
      </c>
      <c r="AM161" s="242">
        <f>IF(AM6&gt;Assumptions!$F$40,0,AM140)</f>
        <v>0</v>
      </c>
      <c r="AN161" s="242">
        <f>IF(AN6&gt;Assumptions!$F$40,0,AN140)</f>
        <v>0</v>
      </c>
      <c r="AO161" s="242">
        <f ca="1">IF(AO6&gt;Assumptions!$F$40,0,AO140)</f>
        <v>0</v>
      </c>
      <c r="AP161" s="242">
        <f ca="1">IF(AP6&gt;Assumptions!$F$40,0,AP140)</f>
        <v>0</v>
      </c>
      <c r="AQ161" s="242">
        <f ca="1">IF(AQ6&gt;Assumptions!$F$40,0,AQ140)</f>
        <v>0</v>
      </c>
      <c r="AR161" s="242">
        <f ca="1">IF(AR6&gt;Assumptions!$F$40,0,AR140)</f>
        <v>0</v>
      </c>
      <c r="AS161" s="242">
        <f ca="1">IF(AS6&gt;Assumptions!$F$40,0,AS140)</f>
        <v>0</v>
      </c>
      <c r="AT161" s="242">
        <f ca="1">IF(AT6&gt;Assumptions!$F$40,0,AT140)</f>
        <v>0</v>
      </c>
      <c r="AU161" s="242">
        <f ca="1">IF(AU6&gt;Assumptions!$F$40,0,AU140)</f>
        <v>0</v>
      </c>
      <c r="AV161" s="242">
        <f ca="1">IF(AV6&gt;Assumptions!$F$40,0,AV140)</f>
        <v>0</v>
      </c>
      <c r="AW161" s="242">
        <f ca="1">IF(AW6&gt;Assumptions!$F$40,0,AW140)</f>
        <v>0</v>
      </c>
      <c r="AX161" s="242">
        <f ca="1">IF(AX6&gt;Assumptions!$F$40,0,AX140)</f>
        <v>0</v>
      </c>
      <c r="AY161" s="242">
        <f ca="1">IF(AY6&gt;Assumptions!$F$40,0,AY140)</f>
        <v>0</v>
      </c>
      <c r="AZ161" s="242">
        <f ca="1">IF(AZ6&gt;Assumptions!$F$40,0,AZ140)</f>
        <v>0</v>
      </c>
      <c r="BA161" s="242">
        <f ca="1">IF(BA6&gt;Assumptions!$F$40,0,BA140)</f>
        <v>0</v>
      </c>
      <c r="BB161" s="242">
        <f ca="1">IF(BB6&gt;Assumptions!$F$40,0,BB140)</f>
        <v>0</v>
      </c>
      <c r="BC161" s="242">
        <f ca="1">IF(BC6&gt;Assumptions!$F$40,0,BC140)</f>
        <v>0</v>
      </c>
      <c r="BD161" s="242">
        <f ca="1">IF(BD6&gt;Assumptions!$F$40,0,BD140)</f>
        <v>0</v>
      </c>
      <c r="BE161" s="242">
        <f ca="1">IF(BE6&gt;Assumptions!$F$40,0,BE140)</f>
        <v>0</v>
      </c>
      <c r="BF161" s="242">
        <f ca="1">IF(BF6&gt;Assumptions!$F$40,0,BF140)</f>
        <v>0</v>
      </c>
      <c r="BG161" s="242">
        <f ca="1">IF(BG6&gt;Assumptions!$F$40,0,BG140)</f>
        <v>0</v>
      </c>
      <c r="BH161" s="242">
        <f ca="1">IF(BH6&gt;Assumptions!$F$40,0,BH140)</f>
        <v>0</v>
      </c>
      <c r="BI161" s="242">
        <f ca="1">IF(BI6&gt;Assumptions!$F$40,0,BI140)</f>
        <v>0</v>
      </c>
      <c r="BJ161" s="242">
        <f ca="1">IF(BJ6&gt;Assumptions!$F$40,0,BJ140)</f>
        <v>0</v>
      </c>
      <c r="BK161" s="242">
        <f ca="1">IF(BK6&gt;Assumptions!$F$40,0,BK140)</f>
        <v>0</v>
      </c>
      <c r="BL161" s="242">
        <f ca="1">IF(BL6&gt;Assumptions!$F$40,0,BL140)</f>
        <v>0</v>
      </c>
      <c r="BM161" s="242">
        <f ca="1">IF(BM6&gt;Assumptions!$F$40,0,BM140)</f>
        <v>0</v>
      </c>
      <c r="BN161" s="242">
        <f ca="1">IF(BN6&gt;Assumptions!$F$40,0,BN140)</f>
        <v>0</v>
      </c>
      <c r="BO161" s="242">
        <f ca="1">IF(BO6&gt;Assumptions!$F$40,0,BO140)</f>
        <v>0</v>
      </c>
      <c r="BP161" s="242">
        <f ca="1">IF(BP6&gt;Assumptions!$F$40,0,BP140)</f>
        <v>0</v>
      </c>
      <c r="BQ161" s="242">
        <f ca="1">IF(BQ6&gt;Assumptions!$F$40,0,BQ140)</f>
        <v>0</v>
      </c>
      <c r="BR161" s="242">
        <f ca="1">IF(BR6&gt;Assumptions!$F$40,0,BR140)</f>
        <v>0</v>
      </c>
      <c r="BS161" s="242">
        <f ca="1">IF(BS6&gt;Assumptions!$F$40,0,BS140)</f>
        <v>0</v>
      </c>
      <c r="BT161" s="242">
        <f ca="1">IF(BT6&gt;Assumptions!$F$40,0,BT140)</f>
        <v>0</v>
      </c>
      <c r="BU161" s="242">
        <f ca="1">IF(BU6&gt;Assumptions!$F$40,0,BU140)</f>
        <v>0</v>
      </c>
      <c r="BV161" s="242">
        <f ca="1">IF(BV6&gt;Assumptions!$F$40,0,BV140)</f>
        <v>0</v>
      </c>
      <c r="BW161" s="242">
        <f ca="1">IF(BW6&gt;Assumptions!$F$40,0,BW140)</f>
        <v>0</v>
      </c>
      <c r="BX161" s="242">
        <f ca="1">IF(BX6&gt;Assumptions!$F$40,0,BX140)</f>
        <v>0</v>
      </c>
      <c r="BY161" s="242">
        <f ca="1">IF(BY6&gt;Assumptions!$F$40,0,BY140)</f>
        <v>0</v>
      </c>
      <c r="BZ161" s="242">
        <f ca="1">IF(BZ6&gt;Assumptions!$F$40,0,BZ140)</f>
        <v>0</v>
      </c>
      <c r="CA161" s="242">
        <f ca="1">IF(CA6&gt;Assumptions!$F$40,0,CA140)</f>
        <v>0</v>
      </c>
      <c r="CB161" s="242">
        <f ca="1">IF(CB6&gt;Assumptions!$F$40,0,CB140)</f>
        <v>0</v>
      </c>
      <c r="CC161" s="242">
        <f ca="1">IF(CC6&gt;Assumptions!$F$40,0,CC140)</f>
        <v>0</v>
      </c>
      <c r="CD161" s="242">
        <f ca="1">IF(CD6&gt;Assumptions!$F$40,0,CD140)</f>
        <v>0</v>
      </c>
      <c r="CE161" s="242">
        <f ca="1">IF(CE6&gt;Assumptions!$F$40,0,CE140)</f>
        <v>0</v>
      </c>
      <c r="CF161" s="242">
        <f ca="1">IF(CF6&gt;Assumptions!$F$40,0,CF140)</f>
        <v>0</v>
      </c>
      <c r="CG161" s="242">
        <f ca="1">IF(CG6&gt;Assumptions!$F$40,0,CG140)</f>
        <v>0</v>
      </c>
      <c r="CH161" s="242">
        <f ca="1">IF(CH6&gt;Assumptions!$F$40,0,CH140)</f>
        <v>0</v>
      </c>
      <c r="CI161" s="242">
        <f ca="1">IF(CI6&gt;Assumptions!$F$40,0,CI140)</f>
        <v>0</v>
      </c>
      <c r="CJ161" s="242">
        <f ca="1">IF(CJ6&gt;Assumptions!$F$40,0,CJ140)</f>
        <v>0</v>
      </c>
      <c r="CK161" s="242">
        <f ca="1">IF(CK6&gt;Assumptions!$F$40,0,CK140)</f>
        <v>0</v>
      </c>
      <c r="CL161" s="242">
        <f>IF(CL6&gt;Assumptions!$F$40,0,CL140)</f>
        <v>0</v>
      </c>
      <c r="CM161" s="242">
        <f>IF(CM6&gt;Assumptions!$F$40,0,CM140)</f>
        <v>0</v>
      </c>
      <c r="CN161" s="242">
        <f>IF(CN6&gt;Assumptions!$F$40,0,CN140)</f>
        <v>0</v>
      </c>
      <c r="CO161" s="242">
        <f>IF(CO6&gt;Assumptions!$F$40,0,CO140)</f>
        <v>0</v>
      </c>
      <c r="CP161" s="242">
        <f>IF(CP6&gt;Assumptions!$F$40,0,CP140)</f>
        <v>0</v>
      </c>
      <c r="CQ161" s="242">
        <f>IF(CQ6&gt;Assumptions!$F$40,0,CQ140)</f>
        <v>0</v>
      </c>
      <c r="CR161" s="242">
        <f>IF(CR6&gt;Assumptions!$F$40,0,CR140)</f>
        <v>0</v>
      </c>
      <c r="CS161" s="242">
        <f>IF(CS6&gt;Assumptions!$F$40,0,CS140)</f>
        <v>0</v>
      </c>
      <c r="CT161" s="242">
        <f>IF(CT6&gt;Assumptions!$F$40,0,CT140)</f>
        <v>0</v>
      </c>
      <c r="CU161" s="242">
        <f>IF(CU6&gt;Assumptions!$F$40,0,CU140)</f>
        <v>0</v>
      </c>
      <c r="CV161" s="242">
        <f>IF(CV6&gt;Assumptions!$F$40,0,CV140)</f>
        <v>0</v>
      </c>
      <c r="CW161" s="242">
        <f>IF(CW6&gt;Assumptions!$F$40,0,CW140)</f>
        <v>0</v>
      </c>
      <c r="CX161" s="242">
        <f>IF(CX6&gt;Assumptions!$F$40,0,CX140)</f>
        <v>0</v>
      </c>
      <c r="CY161" s="242">
        <f>IF(CY6&gt;Assumptions!$F$40,0,CY140)</f>
        <v>0</v>
      </c>
      <c r="CZ161" s="242">
        <f>IF(CZ6&gt;Assumptions!$F$40,0,CZ140)</f>
        <v>0</v>
      </c>
      <c r="DA161" s="242">
        <f>IF(DA6&gt;Assumptions!$F$40,0,DA140)</f>
        <v>0</v>
      </c>
      <c r="DB161" s="242">
        <f>IF(DB6&gt;Assumptions!$F$40,0,DB140)</f>
        <v>0</v>
      </c>
      <c r="DC161" s="242">
        <f>IF(DC6&gt;Assumptions!$F$40,0,DC140)</f>
        <v>0</v>
      </c>
      <c r="DD161" s="242">
        <f>IF(DD6&gt;Assumptions!$F$40,0,DD140)</f>
        <v>0</v>
      </c>
      <c r="DE161" s="242">
        <f>IF(DE6&gt;Assumptions!$F$40,0,DE140)</f>
        <v>0</v>
      </c>
      <c r="DF161" s="242">
        <f>IF(DF6&gt;Assumptions!$F$40,0,DF140)</f>
        <v>0</v>
      </c>
      <c r="DG161" s="242">
        <f>IF(DG6&gt;Assumptions!$F$40,0,DG140)</f>
        <v>0</v>
      </c>
      <c r="DH161" s="242">
        <f>IF(DH6&gt;Assumptions!$F$40,0,DH140)</f>
        <v>0</v>
      </c>
      <c r="DI161" s="242">
        <f>IF(DI6&gt;Assumptions!$F$40,0,DI140)</f>
        <v>0</v>
      </c>
      <c r="DJ161" s="242">
        <f>IF(DJ6&gt;Assumptions!$F$40,0,DJ140)</f>
        <v>0</v>
      </c>
      <c r="DK161" s="242">
        <f>IF(DK6&gt;Assumptions!$F$40,0,DK140)</f>
        <v>0</v>
      </c>
      <c r="DL161" s="242">
        <f>IF(DL6&gt;Assumptions!$F$40,0,DL140)</f>
        <v>0</v>
      </c>
      <c r="DM161" s="242">
        <f>IF(DM6&gt;Assumptions!$F$40,0,DM140)</f>
        <v>0</v>
      </c>
      <c r="DN161" s="242">
        <f>IF(DN6&gt;Assumptions!$F$40,0,DN140)</f>
        <v>0</v>
      </c>
      <c r="DO161" s="242">
        <f>IF(DO6&gt;Assumptions!$F$40,0,DO140)</f>
        <v>0</v>
      </c>
      <c r="DP161" s="242">
        <f>IF(DP6&gt;Assumptions!$F$40,0,DP140)</f>
        <v>0</v>
      </c>
      <c r="DQ161" s="242">
        <f>IF(DQ6&gt;Assumptions!$F$40,0,DQ140)</f>
        <v>0</v>
      </c>
      <c r="DR161" s="242">
        <f>IF(DR6&gt;Assumptions!$F$40,0,DR140)</f>
        <v>0</v>
      </c>
      <c r="DS161" s="242">
        <f>IF(DS6&gt;Assumptions!$F$40,0,DS140)</f>
        <v>0</v>
      </c>
      <c r="DT161" s="242">
        <f>IF(DT6&gt;Assumptions!$F$40,0,DT140)</f>
        <v>0</v>
      </c>
      <c r="DU161" s="242">
        <f>IF(DU6&gt;Assumptions!$F$40,0,DU140)</f>
        <v>0</v>
      </c>
      <c r="DV161" s="242">
        <f>IF(DV6&gt;Assumptions!$F$40,0,DV140)</f>
        <v>0</v>
      </c>
      <c r="DW161" s="242">
        <f>IF(DW6&gt;Assumptions!$F$40,0,DW140)</f>
        <v>0</v>
      </c>
      <c r="DX161" s="242">
        <f>IF(DX6&gt;Assumptions!$F$40,0,DX140)</f>
        <v>0</v>
      </c>
      <c r="DY161" s="242">
        <f>IF(DY6&gt;Assumptions!$F$40,0,DY140)</f>
        <v>0</v>
      </c>
      <c r="DZ161" s="242">
        <f>IF(DZ6&gt;Assumptions!$F$40,0,DZ140)</f>
        <v>0</v>
      </c>
      <c r="EA161" s="242">
        <f>IF(EA6&gt;Assumptions!$F$40,0,EA140)</f>
        <v>0</v>
      </c>
      <c r="EB161" s="242">
        <f>IF(EB6&gt;Assumptions!$F$40,0,EB140)</f>
        <v>0</v>
      </c>
      <c r="EC161" s="242">
        <f>IF(EC6&gt;Assumptions!$F$40,0,EC140)</f>
        <v>0</v>
      </c>
      <c r="ED161" s="242">
        <f>IF(ED6&gt;Assumptions!$F$40,0,ED140)</f>
        <v>0</v>
      </c>
      <c r="EE161" s="242">
        <f>IF(EE6&gt;Assumptions!$F$40,0,EE140)</f>
        <v>0</v>
      </c>
      <c r="EF161" s="242">
        <f>IF(EF6&gt;Assumptions!$F$40,0,EF140)</f>
        <v>0</v>
      </c>
      <c r="EG161" s="242">
        <f>IF(EG6&gt;Assumptions!$F$40,0,EG140)</f>
        <v>0</v>
      </c>
      <c r="EH161" s="242">
        <f>IF(EH6&gt;Assumptions!$F$40,0,EH140)</f>
        <v>0</v>
      </c>
      <c r="EI161" s="242">
        <f>IF(EI6&gt;Assumptions!$F$40,0,EI140)</f>
        <v>0</v>
      </c>
      <c r="EJ161" s="242">
        <f>IF(EJ6&gt;Assumptions!$F$40,0,EJ140)</f>
        <v>0</v>
      </c>
      <c r="EK161" s="242">
        <f>IF(EK6&gt;Assumptions!$F$40,0,EK140)</f>
        <v>0</v>
      </c>
      <c r="EL161" s="242">
        <f>IF(EL6&gt;Assumptions!$F$40,0,EL140)</f>
        <v>0</v>
      </c>
      <c r="EM161" s="242">
        <f>IF(EM6&gt;Assumptions!$F$40,0,EM140)</f>
        <v>0</v>
      </c>
      <c r="EN161" s="242">
        <f>IF(EN6&gt;Assumptions!$F$40,0,EN140)</f>
        <v>0</v>
      </c>
      <c r="EO161" s="242">
        <f>IF(EO6&gt;Assumptions!$F$40,0,EO140)</f>
        <v>0</v>
      </c>
      <c r="EP161" s="242">
        <f>IF(EP6&gt;Assumptions!$F$40,0,EP140)</f>
        <v>0</v>
      </c>
      <c r="EQ161" s="242">
        <f>IF(EQ6&gt;Assumptions!$F$40,0,EQ140)</f>
        <v>0</v>
      </c>
      <c r="ER161" s="242">
        <f>IF(ER6&gt;Assumptions!$F$40,0,ER140)</f>
        <v>0</v>
      </c>
      <c r="ES161" s="242">
        <f>IF(ES6&gt;Assumptions!$F$40,0,ES140)</f>
        <v>0</v>
      </c>
      <c r="ET161" s="242">
        <f>IF(ET6&gt;Assumptions!$F$40,0,ET140)</f>
        <v>0</v>
      </c>
    </row>
    <row r="162" spans="2:150" x14ac:dyDescent="0.2">
      <c r="B162" s="8" t="s">
        <v>205</v>
      </c>
      <c r="F162" s="242">
        <f t="shared" ref="F162:AK162" si="1648">F124</f>
        <v>0</v>
      </c>
      <c r="G162" s="242">
        <f t="shared" ca="1" si="1648"/>
        <v>0</v>
      </c>
      <c r="H162" s="242">
        <f t="shared" ca="1" si="1648"/>
        <v>0</v>
      </c>
      <c r="I162" s="242">
        <f t="shared" ca="1" si="1648"/>
        <v>0</v>
      </c>
      <c r="J162" s="242">
        <f t="shared" ca="1" si="1648"/>
        <v>0</v>
      </c>
      <c r="K162" s="242">
        <f t="shared" ca="1" si="1648"/>
        <v>0</v>
      </c>
      <c r="L162" s="242">
        <f t="shared" ca="1" si="1648"/>
        <v>0</v>
      </c>
      <c r="M162" s="242">
        <f t="shared" ca="1" si="1648"/>
        <v>0</v>
      </c>
      <c r="N162" s="242">
        <f t="shared" ca="1" si="1648"/>
        <v>0</v>
      </c>
      <c r="O162" s="242">
        <f t="shared" ca="1" si="1648"/>
        <v>0</v>
      </c>
      <c r="P162" s="242">
        <f t="shared" ca="1" si="1648"/>
        <v>0</v>
      </c>
      <c r="Q162" s="242">
        <f t="shared" ca="1" si="1648"/>
        <v>0</v>
      </c>
      <c r="R162" s="242">
        <f t="shared" ca="1" si="1648"/>
        <v>0</v>
      </c>
      <c r="S162" s="242">
        <f t="shared" ca="1" si="1648"/>
        <v>0</v>
      </c>
      <c r="T162" s="242">
        <f t="shared" ca="1" si="1648"/>
        <v>0</v>
      </c>
      <c r="U162" s="242">
        <f t="shared" ca="1" si="1648"/>
        <v>0</v>
      </c>
      <c r="V162" s="242">
        <f t="shared" ca="1" si="1648"/>
        <v>0</v>
      </c>
      <c r="W162" s="242">
        <f t="shared" ca="1" si="1648"/>
        <v>0</v>
      </c>
      <c r="X162" s="242">
        <f t="shared" ca="1" si="1648"/>
        <v>0</v>
      </c>
      <c r="Y162" s="242">
        <f t="shared" ca="1" si="1648"/>
        <v>0</v>
      </c>
      <c r="Z162" s="242">
        <f t="shared" ca="1" si="1648"/>
        <v>0</v>
      </c>
      <c r="AA162" s="242">
        <f t="shared" ca="1" si="1648"/>
        <v>0</v>
      </c>
      <c r="AB162" s="242">
        <f t="shared" ca="1" si="1648"/>
        <v>0</v>
      </c>
      <c r="AC162" s="242">
        <f t="shared" ca="1" si="1648"/>
        <v>0</v>
      </c>
      <c r="AD162" s="242">
        <f t="shared" ca="1" si="1648"/>
        <v>0</v>
      </c>
      <c r="AE162" s="242">
        <f t="shared" ca="1" si="1648"/>
        <v>0</v>
      </c>
      <c r="AF162" s="242">
        <f t="shared" ca="1" si="1648"/>
        <v>0</v>
      </c>
      <c r="AG162" s="242">
        <f t="shared" ca="1" si="1648"/>
        <v>0</v>
      </c>
      <c r="AH162" s="242">
        <f t="shared" ca="1" si="1648"/>
        <v>0</v>
      </c>
      <c r="AI162" s="242">
        <f t="shared" ca="1" si="1648"/>
        <v>0</v>
      </c>
      <c r="AJ162" s="242">
        <f t="shared" ca="1" si="1648"/>
        <v>0</v>
      </c>
      <c r="AK162" s="242">
        <f t="shared" ca="1" si="1648"/>
        <v>0</v>
      </c>
      <c r="AL162" s="242">
        <f t="shared" ref="AL162:BQ162" ca="1" si="1649">AL124</f>
        <v>0</v>
      </c>
      <c r="AM162" s="242">
        <f t="shared" ca="1" si="1649"/>
        <v>0</v>
      </c>
      <c r="AN162" s="242">
        <f t="shared" ca="1" si="1649"/>
        <v>0</v>
      </c>
      <c r="AO162" s="242">
        <f t="shared" ca="1" si="1649"/>
        <v>-1049.6639200053687</v>
      </c>
      <c r="AP162" s="242">
        <f t="shared" ca="1" si="1649"/>
        <v>-18984.908248281281</v>
      </c>
      <c r="AQ162" s="242">
        <f t="shared" ca="1" si="1649"/>
        <v>-44537.375679447956</v>
      </c>
      <c r="AR162" s="242">
        <f t="shared" ca="1" si="1649"/>
        <v>-62641.083110614651</v>
      </c>
      <c r="AS162" s="242">
        <f t="shared" ca="1" si="1649"/>
        <v>-79581.144541781308</v>
      </c>
      <c r="AT162" s="242">
        <f t="shared" ca="1" si="1649"/>
        <v>-95939.382972948006</v>
      </c>
      <c r="AU162" s="242">
        <f t="shared" ca="1" si="1649"/>
        <v>-112297.6214041147</v>
      </c>
      <c r="AV162" s="242">
        <f t="shared" ca="1" si="1649"/>
        <v>-126425.1909583041</v>
      </c>
      <c r="AW162" s="242">
        <f t="shared" ca="1" si="1649"/>
        <v>-126425.1909583041</v>
      </c>
      <c r="AX162" s="242">
        <f t="shared" ca="1" si="1649"/>
        <v>-126425.1909583041</v>
      </c>
      <c r="AY162" s="242">
        <f t="shared" ca="1" si="1649"/>
        <v>-126425.1909583041</v>
      </c>
      <c r="AZ162" s="242">
        <f t="shared" ca="1" si="1649"/>
        <v>-126425.1909583041</v>
      </c>
      <c r="BA162" s="242">
        <f t="shared" ca="1" si="1649"/>
        <v>-126486.56518330412</v>
      </c>
      <c r="BB162" s="242">
        <f t="shared" ca="1" si="1649"/>
        <v>-131298.94579781231</v>
      </c>
      <c r="BC162" s="242">
        <f t="shared" ca="1" si="1649"/>
        <v>-131298.94579781231</v>
      </c>
      <c r="BD162" s="242">
        <f t="shared" ca="1" si="1649"/>
        <v>-131298.94579781231</v>
      </c>
      <c r="BE162" s="242">
        <f t="shared" ca="1" si="1649"/>
        <v>-131298.94579781231</v>
      </c>
      <c r="BF162" s="242">
        <f t="shared" ca="1" si="1649"/>
        <v>-131298.94579781231</v>
      </c>
      <c r="BG162" s="242">
        <f t="shared" ca="1" si="1649"/>
        <v>-131298.94579781231</v>
      </c>
      <c r="BH162" s="242">
        <f t="shared" ca="1" si="1649"/>
        <v>-131298.94579781231</v>
      </c>
      <c r="BI162" s="242">
        <f t="shared" ca="1" si="1649"/>
        <v>-131298.94579781231</v>
      </c>
      <c r="BJ162" s="242">
        <f t="shared" ca="1" si="1649"/>
        <v>-131298.94579781231</v>
      </c>
      <c r="BK162" s="242">
        <f t="shared" ca="1" si="1649"/>
        <v>-131298.94579781231</v>
      </c>
      <c r="BL162" s="242">
        <f t="shared" ca="1" si="1649"/>
        <v>-131298.94579781231</v>
      </c>
      <c r="BM162" s="242">
        <f t="shared" ca="1" si="1649"/>
        <v>-131362.16124956231</v>
      </c>
      <c r="BN162" s="242">
        <f t="shared" ca="1" si="1649"/>
        <v>-136318.9132825057</v>
      </c>
      <c r="BO162" s="242">
        <f t="shared" ca="1" si="1649"/>
        <v>-136318.9132825057</v>
      </c>
      <c r="BP162" s="242">
        <f t="shared" ca="1" si="1649"/>
        <v>-136318.9132825057</v>
      </c>
      <c r="BQ162" s="242">
        <f t="shared" ca="1" si="1649"/>
        <v>-136318.9132825057</v>
      </c>
      <c r="BR162" s="242">
        <f t="shared" ref="BR162:CW162" ca="1" si="1650">BR124</f>
        <v>-136318.9132825057</v>
      </c>
      <c r="BS162" s="242">
        <f t="shared" ca="1" si="1650"/>
        <v>-136318.9132825057</v>
      </c>
      <c r="BT162" s="242">
        <f t="shared" ca="1" si="1650"/>
        <v>-136318.9132825057</v>
      </c>
      <c r="BU162" s="242">
        <f t="shared" ca="1" si="1650"/>
        <v>-136318.9132825057</v>
      </c>
      <c r="BV162" s="242">
        <f t="shared" ca="1" si="1650"/>
        <v>-136318.9132825057</v>
      </c>
      <c r="BW162" s="242">
        <f t="shared" ca="1" si="1650"/>
        <v>-136318.9132825057</v>
      </c>
      <c r="BX162" s="242">
        <f t="shared" ca="1" si="1650"/>
        <v>-136318.9132825057</v>
      </c>
      <c r="BY162" s="242">
        <f t="shared" ca="1" si="1650"/>
        <v>-136384.02519780819</v>
      </c>
      <c r="BZ162" s="242">
        <f t="shared" ca="1" si="1650"/>
        <v>-141488.12878452265</v>
      </c>
      <c r="CA162" s="242">
        <f t="shared" ca="1" si="1650"/>
        <v>-141488.12878450289</v>
      </c>
      <c r="CB162" s="242">
        <f t="shared" ca="1" si="1650"/>
        <v>-141488.12878448892</v>
      </c>
      <c r="CC162" s="242">
        <f t="shared" ca="1" si="1650"/>
        <v>-141488.12878448152</v>
      </c>
      <c r="CD162" s="242">
        <f t="shared" ca="1" si="1650"/>
        <v>-141488.12878448141</v>
      </c>
      <c r="CE162" s="242">
        <f t="shared" ca="1" si="1650"/>
        <v>-141488.12878448903</v>
      </c>
      <c r="CF162" s="242">
        <f t="shared" ca="1" si="1650"/>
        <v>-141488.12878450536</v>
      </c>
      <c r="CG162" s="242">
        <f t="shared" ca="1" si="1650"/>
        <v>-141488.12878453088</v>
      </c>
      <c r="CH162" s="242">
        <f t="shared" ca="1" si="1650"/>
        <v>-141488.12878456651</v>
      </c>
      <c r="CI162" s="242">
        <f t="shared" ca="1" si="1650"/>
        <v>-141488.1287846131</v>
      </c>
      <c r="CJ162" s="242">
        <f t="shared" ca="1" si="1650"/>
        <v>-141488.12878467151</v>
      </c>
      <c r="CK162" s="242">
        <f t="shared" ca="1" si="1650"/>
        <v>-141488.12878447681</v>
      </c>
      <c r="CL162" s="242">
        <f t="shared" ca="1" si="1650"/>
        <v>0</v>
      </c>
      <c r="CM162" s="242">
        <f t="shared" ca="1" si="1650"/>
        <v>0</v>
      </c>
      <c r="CN162" s="242">
        <f t="shared" ca="1" si="1650"/>
        <v>0</v>
      </c>
      <c r="CO162" s="242">
        <f t="shared" ca="1" si="1650"/>
        <v>0</v>
      </c>
      <c r="CP162" s="242">
        <f t="shared" ca="1" si="1650"/>
        <v>0</v>
      </c>
      <c r="CQ162" s="242">
        <f t="shared" ca="1" si="1650"/>
        <v>0</v>
      </c>
      <c r="CR162" s="242">
        <f t="shared" ca="1" si="1650"/>
        <v>0</v>
      </c>
      <c r="CS162" s="242">
        <f t="shared" ca="1" si="1650"/>
        <v>0</v>
      </c>
      <c r="CT162" s="242">
        <f t="shared" ca="1" si="1650"/>
        <v>0</v>
      </c>
      <c r="CU162" s="242">
        <f t="shared" ca="1" si="1650"/>
        <v>0</v>
      </c>
      <c r="CV162" s="242">
        <f t="shared" ca="1" si="1650"/>
        <v>0</v>
      </c>
      <c r="CW162" s="242">
        <f t="shared" ca="1" si="1650"/>
        <v>0</v>
      </c>
      <c r="CX162" s="242">
        <f t="shared" ref="CX162:EC162" ca="1" si="1651">CX124</f>
        <v>0</v>
      </c>
      <c r="CY162" s="242">
        <f t="shared" ca="1" si="1651"/>
        <v>0</v>
      </c>
      <c r="CZ162" s="242">
        <f t="shared" ca="1" si="1651"/>
        <v>0</v>
      </c>
      <c r="DA162" s="242">
        <f t="shared" ca="1" si="1651"/>
        <v>0</v>
      </c>
      <c r="DB162" s="242">
        <f t="shared" ca="1" si="1651"/>
        <v>0</v>
      </c>
      <c r="DC162" s="242">
        <f t="shared" ca="1" si="1651"/>
        <v>0</v>
      </c>
      <c r="DD162" s="242">
        <f t="shared" ca="1" si="1651"/>
        <v>0</v>
      </c>
      <c r="DE162" s="242">
        <f t="shared" ca="1" si="1651"/>
        <v>0</v>
      </c>
      <c r="DF162" s="242">
        <f t="shared" ca="1" si="1651"/>
        <v>0</v>
      </c>
      <c r="DG162" s="242">
        <f t="shared" ca="1" si="1651"/>
        <v>0</v>
      </c>
      <c r="DH162" s="242">
        <f t="shared" ca="1" si="1651"/>
        <v>0</v>
      </c>
      <c r="DI162" s="242">
        <f t="shared" ca="1" si="1651"/>
        <v>0</v>
      </c>
      <c r="DJ162" s="242">
        <f t="shared" ca="1" si="1651"/>
        <v>0</v>
      </c>
      <c r="DK162" s="242">
        <f t="shared" ca="1" si="1651"/>
        <v>0</v>
      </c>
      <c r="DL162" s="242">
        <f t="shared" ca="1" si="1651"/>
        <v>0</v>
      </c>
      <c r="DM162" s="242">
        <f t="shared" ca="1" si="1651"/>
        <v>0</v>
      </c>
      <c r="DN162" s="242">
        <f t="shared" ca="1" si="1651"/>
        <v>0</v>
      </c>
      <c r="DO162" s="242">
        <f t="shared" ca="1" si="1651"/>
        <v>0</v>
      </c>
      <c r="DP162" s="242">
        <f t="shared" ca="1" si="1651"/>
        <v>0</v>
      </c>
      <c r="DQ162" s="242">
        <f t="shared" ca="1" si="1651"/>
        <v>0</v>
      </c>
      <c r="DR162" s="242">
        <f t="shared" ca="1" si="1651"/>
        <v>0</v>
      </c>
      <c r="DS162" s="242">
        <f t="shared" ca="1" si="1651"/>
        <v>0</v>
      </c>
      <c r="DT162" s="242">
        <f t="shared" ca="1" si="1651"/>
        <v>0</v>
      </c>
      <c r="DU162" s="242">
        <f t="shared" ca="1" si="1651"/>
        <v>0</v>
      </c>
      <c r="DV162" s="242">
        <f t="shared" ca="1" si="1651"/>
        <v>0</v>
      </c>
      <c r="DW162" s="242">
        <f t="shared" ca="1" si="1651"/>
        <v>0</v>
      </c>
      <c r="DX162" s="242">
        <f t="shared" ca="1" si="1651"/>
        <v>0</v>
      </c>
      <c r="DY162" s="242">
        <f t="shared" ca="1" si="1651"/>
        <v>0</v>
      </c>
      <c r="DZ162" s="242">
        <f t="shared" ca="1" si="1651"/>
        <v>0</v>
      </c>
      <c r="EA162" s="242">
        <f t="shared" ca="1" si="1651"/>
        <v>0</v>
      </c>
      <c r="EB162" s="242">
        <f t="shared" ca="1" si="1651"/>
        <v>0</v>
      </c>
      <c r="EC162" s="242">
        <f t="shared" ca="1" si="1651"/>
        <v>0</v>
      </c>
      <c r="ED162" s="242">
        <f t="shared" ref="ED162:ET162" ca="1" si="1652">ED124</f>
        <v>0</v>
      </c>
      <c r="EE162" s="242">
        <f t="shared" ca="1" si="1652"/>
        <v>0</v>
      </c>
      <c r="EF162" s="242">
        <f t="shared" ca="1" si="1652"/>
        <v>0</v>
      </c>
      <c r="EG162" s="242">
        <f t="shared" ca="1" si="1652"/>
        <v>0</v>
      </c>
      <c r="EH162" s="242">
        <f t="shared" ca="1" si="1652"/>
        <v>0</v>
      </c>
      <c r="EI162" s="242">
        <f t="shared" ca="1" si="1652"/>
        <v>0</v>
      </c>
      <c r="EJ162" s="242">
        <f t="shared" ca="1" si="1652"/>
        <v>0</v>
      </c>
      <c r="EK162" s="242">
        <f t="shared" ca="1" si="1652"/>
        <v>0</v>
      </c>
      <c r="EL162" s="242">
        <f t="shared" ca="1" si="1652"/>
        <v>0</v>
      </c>
      <c r="EM162" s="242">
        <f t="shared" ca="1" si="1652"/>
        <v>0</v>
      </c>
      <c r="EN162" s="242">
        <f t="shared" ca="1" si="1652"/>
        <v>0</v>
      </c>
      <c r="EO162" s="242">
        <f t="shared" ca="1" si="1652"/>
        <v>0</v>
      </c>
      <c r="EP162" s="242">
        <f t="shared" ca="1" si="1652"/>
        <v>0</v>
      </c>
      <c r="EQ162" s="242">
        <f t="shared" ca="1" si="1652"/>
        <v>0</v>
      </c>
      <c r="ER162" s="242">
        <f t="shared" ca="1" si="1652"/>
        <v>0</v>
      </c>
      <c r="ES162" s="242">
        <f t="shared" ca="1" si="1652"/>
        <v>0</v>
      </c>
      <c r="ET162" s="242">
        <f t="shared" ca="1" si="1652"/>
        <v>0</v>
      </c>
    </row>
    <row r="163" spans="2:150" x14ac:dyDescent="0.2">
      <c r="B163" s="8" t="s">
        <v>324</v>
      </c>
      <c r="F163" s="242">
        <f t="shared" ref="F163:AK163" ca="1" si="1653">F126+F127</f>
        <v>0</v>
      </c>
      <c r="G163" s="242">
        <f t="shared" ca="1" si="1653"/>
        <v>0</v>
      </c>
      <c r="H163" s="242">
        <f t="shared" ca="1" si="1653"/>
        <v>0</v>
      </c>
      <c r="I163" s="242">
        <f t="shared" ca="1" si="1653"/>
        <v>0</v>
      </c>
      <c r="J163" s="242">
        <f t="shared" ca="1" si="1653"/>
        <v>0</v>
      </c>
      <c r="K163" s="242">
        <f t="shared" ca="1" si="1653"/>
        <v>0</v>
      </c>
      <c r="L163" s="242">
        <f t="shared" ca="1" si="1653"/>
        <v>0</v>
      </c>
      <c r="M163" s="242">
        <f t="shared" ca="1" si="1653"/>
        <v>0</v>
      </c>
      <c r="N163" s="242">
        <f t="shared" ca="1" si="1653"/>
        <v>0</v>
      </c>
      <c r="O163" s="242">
        <f t="shared" ca="1" si="1653"/>
        <v>0</v>
      </c>
      <c r="P163" s="242">
        <f t="shared" ca="1" si="1653"/>
        <v>0</v>
      </c>
      <c r="Q163" s="242">
        <f t="shared" ca="1" si="1653"/>
        <v>0</v>
      </c>
      <c r="R163" s="242">
        <f t="shared" ca="1" si="1653"/>
        <v>0</v>
      </c>
      <c r="S163" s="242">
        <f t="shared" ca="1" si="1653"/>
        <v>0</v>
      </c>
      <c r="T163" s="242">
        <f t="shared" ca="1" si="1653"/>
        <v>0</v>
      </c>
      <c r="U163" s="242">
        <f t="shared" ca="1" si="1653"/>
        <v>0</v>
      </c>
      <c r="V163" s="242">
        <f t="shared" ca="1" si="1653"/>
        <v>0</v>
      </c>
      <c r="W163" s="242">
        <f t="shared" ca="1" si="1653"/>
        <v>0</v>
      </c>
      <c r="X163" s="242">
        <f t="shared" ca="1" si="1653"/>
        <v>0</v>
      </c>
      <c r="Y163" s="242">
        <f t="shared" ca="1" si="1653"/>
        <v>0</v>
      </c>
      <c r="Z163" s="242">
        <f t="shared" ca="1" si="1653"/>
        <v>0</v>
      </c>
      <c r="AA163" s="242">
        <f t="shared" ca="1" si="1653"/>
        <v>0</v>
      </c>
      <c r="AB163" s="242">
        <f t="shared" ca="1" si="1653"/>
        <v>0</v>
      </c>
      <c r="AC163" s="242">
        <f t="shared" ca="1" si="1653"/>
        <v>0</v>
      </c>
      <c r="AD163" s="242">
        <f t="shared" ca="1" si="1653"/>
        <v>0</v>
      </c>
      <c r="AE163" s="242">
        <f t="shared" ca="1" si="1653"/>
        <v>0</v>
      </c>
      <c r="AF163" s="242">
        <f t="shared" ca="1" si="1653"/>
        <v>0</v>
      </c>
      <c r="AG163" s="242">
        <f t="shared" ca="1" si="1653"/>
        <v>0</v>
      </c>
      <c r="AH163" s="242">
        <f t="shared" ca="1" si="1653"/>
        <v>0</v>
      </c>
      <c r="AI163" s="242">
        <f t="shared" ca="1" si="1653"/>
        <v>0</v>
      </c>
      <c r="AJ163" s="242">
        <f t="shared" ca="1" si="1653"/>
        <v>0</v>
      </c>
      <c r="AK163" s="242">
        <f t="shared" ca="1" si="1653"/>
        <v>0</v>
      </c>
      <c r="AL163" s="242">
        <f t="shared" ref="AL163:BQ163" ca="1" si="1654">AL126+AL127</f>
        <v>0</v>
      </c>
      <c r="AM163" s="242">
        <f t="shared" ca="1" si="1654"/>
        <v>0</v>
      </c>
      <c r="AN163" s="242">
        <f t="shared" ca="1" si="1654"/>
        <v>0</v>
      </c>
      <c r="AO163" s="242">
        <f t="shared" ca="1" si="1654"/>
        <v>0</v>
      </c>
      <c r="AP163" s="242">
        <f t="shared" ca="1" si="1654"/>
        <v>0</v>
      </c>
      <c r="AQ163" s="242">
        <f t="shared" ca="1" si="1654"/>
        <v>0</v>
      </c>
      <c r="AR163" s="242">
        <f t="shared" ca="1" si="1654"/>
        <v>0</v>
      </c>
      <c r="AS163" s="242">
        <f t="shared" ca="1" si="1654"/>
        <v>0</v>
      </c>
      <c r="AT163" s="242">
        <f t="shared" ca="1" si="1654"/>
        <v>0</v>
      </c>
      <c r="AU163" s="242">
        <f t="shared" ca="1" si="1654"/>
        <v>0</v>
      </c>
      <c r="AV163" s="242">
        <f t="shared" ca="1" si="1654"/>
        <v>0</v>
      </c>
      <c r="AW163" s="242">
        <f t="shared" ca="1" si="1654"/>
        <v>0</v>
      </c>
      <c r="AX163" s="242">
        <f t="shared" ca="1" si="1654"/>
        <v>0</v>
      </c>
      <c r="AY163" s="242">
        <f t="shared" ca="1" si="1654"/>
        <v>0</v>
      </c>
      <c r="AZ163" s="242">
        <f t="shared" ca="1" si="1654"/>
        <v>0</v>
      </c>
      <c r="BA163" s="242">
        <f t="shared" ca="1" si="1654"/>
        <v>0</v>
      </c>
      <c r="BB163" s="242">
        <f t="shared" ca="1" si="1654"/>
        <v>0</v>
      </c>
      <c r="BC163" s="242">
        <f t="shared" ca="1" si="1654"/>
        <v>0</v>
      </c>
      <c r="BD163" s="242">
        <f t="shared" ca="1" si="1654"/>
        <v>0</v>
      </c>
      <c r="BE163" s="242">
        <f t="shared" ca="1" si="1654"/>
        <v>0</v>
      </c>
      <c r="BF163" s="242">
        <f t="shared" ca="1" si="1654"/>
        <v>0</v>
      </c>
      <c r="BG163" s="242">
        <f t="shared" ca="1" si="1654"/>
        <v>0</v>
      </c>
      <c r="BH163" s="242">
        <f t="shared" ca="1" si="1654"/>
        <v>0</v>
      </c>
      <c r="BI163" s="242">
        <f t="shared" ca="1" si="1654"/>
        <v>0</v>
      </c>
      <c r="BJ163" s="242">
        <f t="shared" ca="1" si="1654"/>
        <v>0</v>
      </c>
      <c r="BK163" s="242">
        <f t="shared" ca="1" si="1654"/>
        <v>0</v>
      </c>
      <c r="BL163" s="242">
        <f t="shared" ca="1" si="1654"/>
        <v>0</v>
      </c>
      <c r="BM163" s="242">
        <f t="shared" ca="1" si="1654"/>
        <v>0</v>
      </c>
      <c r="BN163" s="242">
        <f t="shared" ca="1" si="1654"/>
        <v>0</v>
      </c>
      <c r="BO163" s="242">
        <f t="shared" ca="1" si="1654"/>
        <v>0</v>
      </c>
      <c r="BP163" s="242">
        <f t="shared" ca="1" si="1654"/>
        <v>0</v>
      </c>
      <c r="BQ163" s="242">
        <f t="shared" ca="1" si="1654"/>
        <v>0</v>
      </c>
      <c r="BR163" s="242">
        <f t="shared" ref="BR163:CW163" ca="1" si="1655">BR126+BR127</f>
        <v>0</v>
      </c>
      <c r="BS163" s="242">
        <f t="shared" ca="1" si="1655"/>
        <v>0</v>
      </c>
      <c r="BT163" s="242">
        <f t="shared" ca="1" si="1655"/>
        <v>0</v>
      </c>
      <c r="BU163" s="242">
        <f t="shared" ca="1" si="1655"/>
        <v>0</v>
      </c>
      <c r="BV163" s="242">
        <f t="shared" ca="1" si="1655"/>
        <v>0</v>
      </c>
      <c r="BW163" s="242">
        <f t="shared" ca="1" si="1655"/>
        <v>0</v>
      </c>
      <c r="BX163" s="242">
        <f t="shared" ca="1" si="1655"/>
        <v>0</v>
      </c>
      <c r="BY163" s="242">
        <f t="shared" ca="1" si="1655"/>
        <v>0</v>
      </c>
      <c r="BZ163" s="242">
        <f t="shared" ca="1" si="1655"/>
        <v>0</v>
      </c>
      <c r="CA163" s="242">
        <f t="shared" ca="1" si="1655"/>
        <v>0</v>
      </c>
      <c r="CB163" s="242">
        <f t="shared" ca="1" si="1655"/>
        <v>0</v>
      </c>
      <c r="CC163" s="242">
        <f t="shared" ca="1" si="1655"/>
        <v>0</v>
      </c>
      <c r="CD163" s="242">
        <f t="shared" ca="1" si="1655"/>
        <v>0</v>
      </c>
      <c r="CE163" s="242">
        <f t="shared" ca="1" si="1655"/>
        <v>0</v>
      </c>
      <c r="CF163" s="242">
        <f t="shared" ca="1" si="1655"/>
        <v>0</v>
      </c>
      <c r="CG163" s="242">
        <f t="shared" ca="1" si="1655"/>
        <v>0</v>
      </c>
      <c r="CH163" s="242">
        <f t="shared" ca="1" si="1655"/>
        <v>0</v>
      </c>
      <c r="CI163" s="242">
        <f t="shared" ca="1" si="1655"/>
        <v>0</v>
      </c>
      <c r="CJ163" s="242">
        <f t="shared" ca="1" si="1655"/>
        <v>0</v>
      </c>
      <c r="CK163" s="242">
        <f t="shared" ca="1" si="1655"/>
        <v>-22638100.605516288</v>
      </c>
      <c r="CL163" s="242">
        <f t="shared" ca="1" si="1655"/>
        <v>0</v>
      </c>
      <c r="CM163" s="242">
        <f t="shared" ca="1" si="1655"/>
        <v>0</v>
      </c>
      <c r="CN163" s="242">
        <f t="shared" ca="1" si="1655"/>
        <v>0</v>
      </c>
      <c r="CO163" s="242">
        <f t="shared" ca="1" si="1655"/>
        <v>0</v>
      </c>
      <c r="CP163" s="242">
        <f t="shared" ca="1" si="1655"/>
        <v>0</v>
      </c>
      <c r="CQ163" s="242">
        <f t="shared" ca="1" si="1655"/>
        <v>0</v>
      </c>
      <c r="CR163" s="242">
        <f t="shared" ca="1" si="1655"/>
        <v>0</v>
      </c>
      <c r="CS163" s="242">
        <f t="shared" ca="1" si="1655"/>
        <v>0</v>
      </c>
      <c r="CT163" s="242">
        <f t="shared" ca="1" si="1655"/>
        <v>0</v>
      </c>
      <c r="CU163" s="242">
        <f t="shared" ca="1" si="1655"/>
        <v>0</v>
      </c>
      <c r="CV163" s="242">
        <f t="shared" ca="1" si="1655"/>
        <v>0</v>
      </c>
      <c r="CW163" s="242">
        <f t="shared" ca="1" si="1655"/>
        <v>0</v>
      </c>
      <c r="CX163" s="242">
        <f t="shared" ref="CX163:EC163" ca="1" si="1656">CX126+CX127</f>
        <v>0</v>
      </c>
      <c r="CY163" s="242">
        <f t="shared" ca="1" si="1656"/>
        <v>0</v>
      </c>
      <c r="CZ163" s="242">
        <f t="shared" ca="1" si="1656"/>
        <v>0</v>
      </c>
      <c r="DA163" s="242">
        <f t="shared" ca="1" si="1656"/>
        <v>0</v>
      </c>
      <c r="DB163" s="242">
        <f t="shared" ca="1" si="1656"/>
        <v>0</v>
      </c>
      <c r="DC163" s="242">
        <f t="shared" ca="1" si="1656"/>
        <v>0</v>
      </c>
      <c r="DD163" s="242">
        <f t="shared" ca="1" si="1656"/>
        <v>0</v>
      </c>
      <c r="DE163" s="242">
        <f t="shared" ca="1" si="1656"/>
        <v>0</v>
      </c>
      <c r="DF163" s="242">
        <f t="shared" ca="1" si="1656"/>
        <v>0</v>
      </c>
      <c r="DG163" s="242">
        <f t="shared" ca="1" si="1656"/>
        <v>0</v>
      </c>
      <c r="DH163" s="242">
        <f t="shared" ca="1" si="1656"/>
        <v>0</v>
      </c>
      <c r="DI163" s="242">
        <f t="shared" ca="1" si="1656"/>
        <v>0</v>
      </c>
      <c r="DJ163" s="242">
        <f t="shared" ca="1" si="1656"/>
        <v>0</v>
      </c>
      <c r="DK163" s="242">
        <f t="shared" ca="1" si="1656"/>
        <v>0</v>
      </c>
      <c r="DL163" s="242">
        <f t="shared" ca="1" si="1656"/>
        <v>0</v>
      </c>
      <c r="DM163" s="242">
        <f t="shared" ca="1" si="1656"/>
        <v>0</v>
      </c>
      <c r="DN163" s="242">
        <f t="shared" ca="1" si="1656"/>
        <v>0</v>
      </c>
      <c r="DO163" s="242">
        <f t="shared" ca="1" si="1656"/>
        <v>0</v>
      </c>
      <c r="DP163" s="242">
        <f t="shared" ca="1" si="1656"/>
        <v>0</v>
      </c>
      <c r="DQ163" s="242">
        <f t="shared" ca="1" si="1656"/>
        <v>0</v>
      </c>
      <c r="DR163" s="242">
        <f t="shared" ca="1" si="1656"/>
        <v>0</v>
      </c>
      <c r="DS163" s="242">
        <f t="shared" ca="1" si="1656"/>
        <v>0</v>
      </c>
      <c r="DT163" s="242">
        <f t="shared" ca="1" si="1656"/>
        <v>0</v>
      </c>
      <c r="DU163" s="242">
        <f t="shared" ca="1" si="1656"/>
        <v>0</v>
      </c>
      <c r="DV163" s="242">
        <f t="shared" ca="1" si="1656"/>
        <v>0</v>
      </c>
      <c r="DW163" s="242">
        <f t="shared" ca="1" si="1656"/>
        <v>0</v>
      </c>
      <c r="DX163" s="242">
        <f t="shared" ca="1" si="1656"/>
        <v>0</v>
      </c>
      <c r="DY163" s="242">
        <f t="shared" ca="1" si="1656"/>
        <v>0</v>
      </c>
      <c r="DZ163" s="242">
        <f t="shared" ca="1" si="1656"/>
        <v>0</v>
      </c>
      <c r="EA163" s="242">
        <f t="shared" ca="1" si="1656"/>
        <v>0</v>
      </c>
      <c r="EB163" s="242">
        <f t="shared" ca="1" si="1656"/>
        <v>0</v>
      </c>
      <c r="EC163" s="242">
        <f t="shared" ca="1" si="1656"/>
        <v>0</v>
      </c>
      <c r="ED163" s="242">
        <f t="shared" ref="ED163:ET163" ca="1" si="1657">ED126+ED127</f>
        <v>0</v>
      </c>
      <c r="EE163" s="242">
        <f t="shared" ca="1" si="1657"/>
        <v>0</v>
      </c>
      <c r="EF163" s="242">
        <f t="shared" ca="1" si="1657"/>
        <v>0</v>
      </c>
      <c r="EG163" s="242">
        <f t="shared" ca="1" si="1657"/>
        <v>0</v>
      </c>
      <c r="EH163" s="242">
        <f t="shared" ca="1" si="1657"/>
        <v>0</v>
      </c>
      <c r="EI163" s="242">
        <f t="shared" ca="1" si="1657"/>
        <v>0</v>
      </c>
      <c r="EJ163" s="242">
        <f t="shared" ca="1" si="1657"/>
        <v>0</v>
      </c>
      <c r="EK163" s="242">
        <f t="shared" ca="1" si="1657"/>
        <v>0</v>
      </c>
      <c r="EL163" s="242">
        <f t="shared" ca="1" si="1657"/>
        <v>0</v>
      </c>
      <c r="EM163" s="242">
        <f t="shared" ca="1" si="1657"/>
        <v>0</v>
      </c>
      <c r="EN163" s="242">
        <f t="shared" ca="1" si="1657"/>
        <v>0</v>
      </c>
      <c r="EO163" s="242">
        <f t="shared" ca="1" si="1657"/>
        <v>0</v>
      </c>
      <c r="EP163" s="242">
        <f t="shared" ca="1" si="1657"/>
        <v>0</v>
      </c>
      <c r="EQ163" s="242">
        <f t="shared" ca="1" si="1657"/>
        <v>0</v>
      </c>
      <c r="ER163" s="242">
        <f t="shared" ca="1" si="1657"/>
        <v>0</v>
      </c>
      <c r="ES163" s="242">
        <f t="shared" ca="1" si="1657"/>
        <v>0</v>
      </c>
      <c r="ET163" s="242">
        <f t="shared" ca="1" si="1657"/>
        <v>0</v>
      </c>
    </row>
    <row r="164" spans="2:150" x14ac:dyDescent="0.2">
      <c r="B164" s="8" t="s">
        <v>325</v>
      </c>
      <c r="F164" s="242">
        <f t="shared" ref="F164:AK164" ca="1" si="1658">F134+F135</f>
        <v>0</v>
      </c>
      <c r="G164" s="242">
        <f t="shared" ca="1" si="1658"/>
        <v>0</v>
      </c>
      <c r="H164" s="242">
        <f t="shared" ca="1" si="1658"/>
        <v>0</v>
      </c>
      <c r="I164" s="242">
        <f t="shared" ca="1" si="1658"/>
        <v>0</v>
      </c>
      <c r="J164" s="242">
        <f t="shared" ca="1" si="1658"/>
        <v>0</v>
      </c>
      <c r="K164" s="242">
        <f t="shared" ca="1" si="1658"/>
        <v>0</v>
      </c>
      <c r="L164" s="242">
        <f t="shared" ca="1" si="1658"/>
        <v>0</v>
      </c>
      <c r="M164" s="242">
        <f t="shared" ca="1" si="1658"/>
        <v>0</v>
      </c>
      <c r="N164" s="242">
        <f t="shared" ca="1" si="1658"/>
        <v>0</v>
      </c>
      <c r="O164" s="242">
        <f t="shared" ca="1" si="1658"/>
        <v>0</v>
      </c>
      <c r="P164" s="242">
        <f t="shared" ca="1" si="1658"/>
        <v>0</v>
      </c>
      <c r="Q164" s="242">
        <f t="shared" ca="1" si="1658"/>
        <v>0</v>
      </c>
      <c r="R164" s="242">
        <f t="shared" ca="1" si="1658"/>
        <v>0</v>
      </c>
      <c r="S164" s="242">
        <f t="shared" ca="1" si="1658"/>
        <v>0</v>
      </c>
      <c r="T164" s="242">
        <f t="shared" ca="1" si="1658"/>
        <v>0</v>
      </c>
      <c r="U164" s="242">
        <f t="shared" ca="1" si="1658"/>
        <v>0</v>
      </c>
      <c r="V164" s="242">
        <f t="shared" ca="1" si="1658"/>
        <v>0</v>
      </c>
      <c r="W164" s="242">
        <f t="shared" ca="1" si="1658"/>
        <v>0</v>
      </c>
      <c r="X164" s="242">
        <f t="shared" ca="1" si="1658"/>
        <v>0</v>
      </c>
      <c r="Y164" s="242">
        <f t="shared" ca="1" si="1658"/>
        <v>0</v>
      </c>
      <c r="Z164" s="242">
        <f t="shared" ca="1" si="1658"/>
        <v>0</v>
      </c>
      <c r="AA164" s="242">
        <f t="shared" ca="1" si="1658"/>
        <v>0</v>
      </c>
      <c r="AB164" s="242">
        <f t="shared" ca="1" si="1658"/>
        <v>0</v>
      </c>
      <c r="AC164" s="242">
        <f t="shared" ca="1" si="1658"/>
        <v>0</v>
      </c>
      <c r="AD164" s="242">
        <f t="shared" ca="1" si="1658"/>
        <v>0</v>
      </c>
      <c r="AE164" s="242">
        <f t="shared" ca="1" si="1658"/>
        <v>0</v>
      </c>
      <c r="AF164" s="242">
        <f t="shared" ca="1" si="1658"/>
        <v>0</v>
      </c>
      <c r="AG164" s="242">
        <f t="shared" ca="1" si="1658"/>
        <v>0</v>
      </c>
      <c r="AH164" s="242">
        <f t="shared" ca="1" si="1658"/>
        <v>0</v>
      </c>
      <c r="AI164" s="242">
        <f t="shared" ca="1" si="1658"/>
        <v>0</v>
      </c>
      <c r="AJ164" s="242">
        <f t="shared" ca="1" si="1658"/>
        <v>0</v>
      </c>
      <c r="AK164" s="242">
        <f t="shared" ca="1" si="1658"/>
        <v>0</v>
      </c>
      <c r="AL164" s="242">
        <f t="shared" ref="AL164:BQ164" ca="1" si="1659">AL134+AL135</f>
        <v>0</v>
      </c>
      <c r="AM164" s="242">
        <f t="shared" ca="1" si="1659"/>
        <v>0</v>
      </c>
      <c r="AN164" s="242">
        <f t="shared" ca="1" si="1659"/>
        <v>0</v>
      </c>
      <c r="AO164" s="242">
        <f t="shared" ca="1" si="1659"/>
        <v>0</v>
      </c>
      <c r="AP164" s="242">
        <f t="shared" ca="1" si="1659"/>
        <v>0</v>
      </c>
      <c r="AQ164" s="242">
        <f t="shared" ca="1" si="1659"/>
        <v>0</v>
      </c>
      <c r="AR164" s="242">
        <f t="shared" ca="1" si="1659"/>
        <v>0</v>
      </c>
      <c r="AS164" s="242">
        <f t="shared" ca="1" si="1659"/>
        <v>0</v>
      </c>
      <c r="AT164" s="242">
        <f t="shared" ca="1" si="1659"/>
        <v>0</v>
      </c>
      <c r="AU164" s="242">
        <f t="shared" ca="1" si="1659"/>
        <v>0</v>
      </c>
      <c r="AV164" s="242">
        <f t="shared" ca="1" si="1659"/>
        <v>0</v>
      </c>
      <c r="AW164" s="242">
        <f t="shared" ca="1" si="1659"/>
        <v>0</v>
      </c>
      <c r="AX164" s="242">
        <f t="shared" ca="1" si="1659"/>
        <v>0</v>
      </c>
      <c r="AY164" s="242">
        <f t="shared" ca="1" si="1659"/>
        <v>0</v>
      </c>
      <c r="AZ164" s="242">
        <f t="shared" ca="1" si="1659"/>
        <v>0</v>
      </c>
      <c r="BA164" s="242">
        <f t="shared" ca="1" si="1659"/>
        <v>0</v>
      </c>
      <c r="BB164" s="242">
        <f t="shared" ca="1" si="1659"/>
        <v>0</v>
      </c>
      <c r="BC164" s="242">
        <f t="shared" ca="1" si="1659"/>
        <v>0</v>
      </c>
      <c r="BD164" s="242">
        <f t="shared" ca="1" si="1659"/>
        <v>0</v>
      </c>
      <c r="BE164" s="242">
        <f t="shared" ca="1" si="1659"/>
        <v>0</v>
      </c>
      <c r="BF164" s="242">
        <f t="shared" ca="1" si="1659"/>
        <v>0</v>
      </c>
      <c r="BG164" s="242">
        <f t="shared" ca="1" si="1659"/>
        <v>0</v>
      </c>
      <c r="BH164" s="242">
        <f t="shared" ca="1" si="1659"/>
        <v>0</v>
      </c>
      <c r="BI164" s="242">
        <f t="shared" ca="1" si="1659"/>
        <v>0</v>
      </c>
      <c r="BJ164" s="242">
        <f t="shared" ca="1" si="1659"/>
        <v>0</v>
      </c>
      <c r="BK164" s="242">
        <f t="shared" ca="1" si="1659"/>
        <v>0</v>
      </c>
      <c r="BL164" s="242">
        <f t="shared" ca="1" si="1659"/>
        <v>0</v>
      </c>
      <c r="BM164" s="242">
        <f t="shared" ca="1" si="1659"/>
        <v>0</v>
      </c>
      <c r="BN164" s="242">
        <f t="shared" ca="1" si="1659"/>
        <v>0</v>
      </c>
      <c r="BO164" s="242">
        <f t="shared" ca="1" si="1659"/>
        <v>0</v>
      </c>
      <c r="BP164" s="242">
        <f t="shared" ca="1" si="1659"/>
        <v>0</v>
      </c>
      <c r="BQ164" s="242">
        <f t="shared" ca="1" si="1659"/>
        <v>0</v>
      </c>
      <c r="BR164" s="242">
        <f t="shared" ref="BR164:CW164" ca="1" si="1660">BR134+BR135</f>
        <v>0</v>
      </c>
      <c r="BS164" s="242">
        <f t="shared" ca="1" si="1660"/>
        <v>0</v>
      </c>
      <c r="BT164" s="242">
        <f t="shared" ca="1" si="1660"/>
        <v>0</v>
      </c>
      <c r="BU164" s="242">
        <f t="shared" ca="1" si="1660"/>
        <v>0</v>
      </c>
      <c r="BV164" s="242">
        <f t="shared" ca="1" si="1660"/>
        <v>0</v>
      </c>
      <c r="BW164" s="242">
        <f t="shared" ca="1" si="1660"/>
        <v>0</v>
      </c>
      <c r="BX164" s="242">
        <f t="shared" ca="1" si="1660"/>
        <v>0</v>
      </c>
      <c r="BY164" s="242">
        <f t="shared" ca="1" si="1660"/>
        <v>0</v>
      </c>
      <c r="BZ164" s="242">
        <f t="shared" ca="1" si="1660"/>
        <v>0</v>
      </c>
      <c r="CA164" s="242">
        <f t="shared" ca="1" si="1660"/>
        <v>0</v>
      </c>
      <c r="CB164" s="242">
        <f t="shared" ca="1" si="1660"/>
        <v>0</v>
      </c>
      <c r="CC164" s="242">
        <f t="shared" ca="1" si="1660"/>
        <v>0</v>
      </c>
      <c r="CD164" s="242">
        <f t="shared" ca="1" si="1660"/>
        <v>0</v>
      </c>
      <c r="CE164" s="242">
        <f t="shared" ca="1" si="1660"/>
        <v>0</v>
      </c>
      <c r="CF164" s="242">
        <f t="shared" ca="1" si="1660"/>
        <v>0</v>
      </c>
      <c r="CG164" s="242">
        <f t="shared" ca="1" si="1660"/>
        <v>0</v>
      </c>
      <c r="CH164" s="242">
        <f t="shared" ca="1" si="1660"/>
        <v>0</v>
      </c>
      <c r="CI164" s="242">
        <f t="shared" ca="1" si="1660"/>
        <v>0</v>
      </c>
      <c r="CJ164" s="242">
        <f t="shared" ca="1" si="1660"/>
        <v>0</v>
      </c>
      <c r="CK164" s="242">
        <f t="shared" ca="1" si="1660"/>
        <v>0</v>
      </c>
      <c r="CL164" s="242">
        <f t="shared" ca="1" si="1660"/>
        <v>0</v>
      </c>
      <c r="CM164" s="242">
        <f t="shared" ca="1" si="1660"/>
        <v>0</v>
      </c>
      <c r="CN164" s="242">
        <f t="shared" ca="1" si="1660"/>
        <v>0</v>
      </c>
      <c r="CO164" s="242">
        <f t="shared" ca="1" si="1660"/>
        <v>0</v>
      </c>
      <c r="CP164" s="242">
        <f t="shared" ca="1" si="1660"/>
        <v>0</v>
      </c>
      <c r="CQ164" s="242">
        <f t="shared" ca="1" si="1660"/>
        <v>0</v>
      </c>
      <c r="CR164" s="242">
        <f t="shared" ca="1" si="1660"/>
        <v>0</v>
      </c>
      <c r="CS164" s="242">
        <f t="shared" ca="1" si="1660"/>
        <v>0</v>
      </c>
      <c r="CT164" s="242">
        <f t="shared" ca="1" si="1660"/>
        <v>0</v>
      </c>
      <c r="CU164" s="242">
        <f t="shared" ca="1" si="1660"/>
        <v>0</v>
      </c>
      <c r="CV164" s="242">
        <f t="shared" ca="1" si="1660"/>
        <v>0</v>
      </c>
      <c r="CW164" s="242">
        <f t="shared" ca="1" si="1660"/>
        <v>0</v>
      </c>
      <c r="CX164" s="242">
        <f t="shared" ref="CX164:EC164" ca="1" si="1661">CX134+CX135</f>
        <v>0</v>
      </c>
      <c r="CY164" s="242">
        <f t="shared" ca="1" si="1661"/>
        <v>0</v>
      </c>
      <c r="CZ164" s="242">
        <f t="shared" ca="1" si="1661"/>
        <v>0</v>
      </c>
      <c r="DA164" s="242">
        <f t="shared" ca="1" si="1661"/>
        <v>0</v>
      </c>
      <c r="DB164" s="242">
        <f t="shared" ca="1" si="1661"/>
        <v>0</v>
      </c>
      <c r="DC164" s="242">
        <f t="shared" ca="1" si="1661"/>
        <v>0</v>
      </c>
      <c r="DD164" s="242">
        <f t="shared" ca="1" si="1661"/>
        <v>0</v>
      </c>
      <c r="DE164" s="242">
        <f t="shared" ca="1" si="1661"/>
        <v>0</v>
      </c>
      <c r="DF164" s="242">
        <f t="shared" ca="1" si="1661"/>
        <v>0</v>
      </c>
      <c r="DG164" s="242">
        <f t="shared" ca="1" si="1661"/>
        <v>0</v>
      </c>
      <c r="DH164" s="242">
        <f t="shared" ca="1" si="1661"/>
        <v>0</v>
      </c>
      <c r="DI164" s="242">
        <f t="shared" ca="1" si="1661"/>
        <v>0</v>
      </c>
      <c r="DJ164" s="242">
        <f t="shared" ca="1" si="1661"/>
        <v>0</v>
      </c>
      <c r="DK164" s="242">
        <f t="shared" ca="1" si="1661"/>
        <v>0</v>
      </c>
      <c r="DL164" s="242">
        <f t="shared" ca="1" si="1661"/>
        <v>0</v>
      </c>
      <c r="DM164" s="242">
        <f t="shared" ca="1" si="1661"/>
        <v>0</v>
      </c>
      <c r="DN164" s="242">
        <f t="shared" ca="1" si="1661"/>
        <v>0</v>
      </c>
      <c r="DO164" s="242">
        <f t="shared" ca="1" si="1661"/>
        <v>0</v>
      </c>
      <c r="DP164" s="242">
        <f t="shared" ca="1" si="1661"/>
        <v>0</v>
      </c>
      <c r="DQ164" s="242">
        <f t="shared" ca="1" si="1661"/>
        <v>0</v>
      </c>
      <c r="DR164" s="242">
        <f t="shared" ca="1" si="1661"/>
        <v>0</v>
      </c>
      <c r="DS164" s="242">
        <f t="shared" ca="1" si="1661"/>
        <v>0</v>
      </c>
      <c r="DT164" s="242">
        <f t="shared" ca="1" si="1661"/>
        <v>0</v>
      </c>
      <c r="DU164" s="242">
        <f t="shared" ca="1" si="1661"/>
        <v>0</v>
      </c>
      <c r="DV164" s="242">
        <f t="shared" ca="1" si="1661"/>
        <v>0</v>
      </c>
      <c r="DW164" s="242">
        <f t="shared" ca="1" si="1661"/>
        <v>0</v>
      </c>
      <c r="DX164" s="242">
        <f t="shared" ca="1" si="1661"/>
        <v>0</v>
      </c>
      <c r="DY164" s="242">
        <f t="shared" ca="1" si="1661"/>
        <v>0</v>
      </c>
      <c r="DZ164" s="242">
        <f t="shared" ca="1" si="1661"/>
        <v>0</v>
      </c>
      <c r="EA164" s="242">
        <f t="shared" ca="1" si="1661"/>
        <v>0</v>
      </c>
      <c r="EB164" s="242">
        <f t="shared" ca="1" si="1661"/>
        <v>0</v>
      </c>
      <c r="EC164" s="242">
        <f t="shared" ca="1" si="1661"/>
        <v>0</v>
      </c>
      <c r="ED164" s="242">
        <f t="shared" ref="ED164:ET164" ca="1" si="1662">ED134+ED135</f>
        <v>0</v>
      </c>
      <c r="EE164" s="242">
        <f t="shared" ca="1" si="1662"/>
        <v>0</v>
      </c>
      <c r="EF164" s="242">
        <f t="shared" ca="1" si="1662"/>
        <v>0</v>
      </c>
      <c r="EG164" s="242">
        <f t="shared" ca="1" si="1662"/>
        <v>0</v>
      </c>
      <c r="EH164" s="242">
        <f t="shared" ca="1" si="1662"/>
        <v>0</v>
      </c>
      <c r="EI164" s="242">
        <f t="shared" ca="1" si="1662"/>
        <v>0</v>
      </c>
      <c r="EJ164" s="242">
        <f t="shared" ca="1" si="1662"/>
        <v>0</v>
      </c>
      <c r="EK164" s="242">
        <f t="shared" ca="1" si="1662"/>
        <v>0</v>
      </c>
      <c r="EL164" s="242">
        <f t="shared" ca="1" si="1662"/>
        <v>0</v>
      </c>
      <c r="EM164" s="242">
        <f t="shared" ca="1" si="1662"/>
        <v>0</v>
      </c>
      <c r="EN164" s="242">
        <f t="shared" ca="1" si="1662"/>
        <v>0</v>
      </c>
      <c r="EO164" s="242">
        <f t="shared" ca="1" si="1662"/>
        <v>0</v>
      </c>
      <c r="EP164" s="242">
        <f t="shared" ca="1" si="1662"/>
        <v>0</v>
      </c>
      <c r="EQ164" s="242">
        <f t="shared" ca="1" si="1662"/>
        <v>0</v>
      </c>
      <c r="ER164" s="242">
        <f t="shared" ca="1" si="1662"/>
        <v>0</v>
      </c>
      <c r="ES164" s="242">
        <f t="shared" ca="1" si="1662"/>
        <v>0</v>
      </c>
      <c r="ET164" s="242">
        <f t="shared" ca="1" si="1662"/>
        <v>0</v>
      </c>
    </row>
    <row r="165" spans="2:150" x14ac:dyDescent="0.2">
      <c r="B165" s="8" t="s">
        <v>321</v>
      </c>
      <c r="F165" s="242">
        <f t="shared" ref="F165:AK165" si="1663">SUM(F145:F146)</f>
        <v>0</v>
      </c>
      <c r="G165" s="242">
        <f t="shared" si="1663"/>
        <v>0</v>
      </c>
      <c r="H165" s="242">
        <f t="shared" si="1663"/>
        <v>0</v>
      </c>
      <c r="I165" s="242">
        <f t="shared" si="1663"/>
        <v>0</v>
      </c>
      <c r="J165" s="242">
        <f t="shared" si="1663"/>
        <v>0</v>
      </c>
      <c r="K165" s="242">
        <f t="shared" si="1663"/>
        <v>0</v>
      </c>
      <c r="L165" s="242">
        <f t="shared" si="1663"/>
        <v>0</v>
      </c>
      <c r="M165" s="242">
        <f t="shared" si="1663"/>
        <v>0</v>
      </c>
      <c r="N165" s="242">
        <f t="shared" si="1663"/>
        <v>0</v>
      </c>
      <c r="O165" s="242">
        <f t="shared" si="1663"/>
        <v>0</v>
      </c>
      <c r="P165" s="242">
        <f t="shared" si="1663"/>
        <v>0</v>
      </c>
      <c r="Q165" s="242">
        <f t="shared" si="1663"/>
        <v>0</v>
      </c>
      <c r="R165" s="242">
        <f t="shared" si="1663"/>
        <v>0</v>
      </c>
      <c r="S165" s="242">
        <f t="shared" si="1663"/>
        <v>0</v>
      </c>
      <c r="T165" s="242">
        <f t="shared" si="1663"/>
        <v>0</v>
      </c>
      <c r="U165" s="242">
        <f t="shared" si="1663"/>
        <v>0</v>
      </c>
      <c r="V165" s="242">
        <f t="shared" si="1663"/>
        <v>0</v>
      </c>
      <c r="W165" s="242">
        <f t="shared" si="1663"/>
        <v>0</v>
      </c>
      <c r="X165" s="242">
        <f t="shared" si="1663"/>
        <v>0</v>
      </c>
      <c r="Y165" s="242">
        <f t="shared" si="1663"/>
        <v>0</v>
      </c>
      <c r="Z165" s="242">
        <f t="shared" si="1663"/>
        <v>0</v>
      </c>
      <c r="AA165" s="242">
        <f t="shared" si="1663"/>
        <v>0</v>
      </c>
      <c r="AB165" s="242">
        <f t="shared" si="1663"/>
        <v>0</v>
      </c>
      <c r="AC165" s="242">
        <f t="shared" si="1663"/>
        <v>0</v>
      </c>
      <c r="AD165" s="242">
        <f t="shared" si="1663"/>
        <v>0</v>
      </c>
      <c r="AE165" s="242">
        <f t="shared" si="1663"/>
        <v>0</v>
      </c>
      <c r="AF165" s="242">
        <f t="shared" si="1663"/>
        <v>0</v>
      </c>
      <c r="AG165" s="242">
        <f t="shared" si="1663"/>
        <v>0</v>
      </c>
      <c r="AH165" s="242">
        <f t="shared" si="1663"/>
        <v>0</v>
      </c>
      <c r="AI165" s="242">
        <f t="shared" si="1663"/>
        <v>0</v>
      </c>
      <c r="AJ165" s="242">
        <f t="shared" si="1663"/>
        <v>0</v>
      </c>
      <c r="AK165" s="242">
        <f t="shared" si="1663"/>
        <v>0</v>
      </c>
      <c r="AL165" s="242">
        <f t="shared" ref="AL165:BQ165" si="1664">SUM(AL145:AL146)</f>
        <v>0</v>
      </c>
      <c r="AM165" s="242">
        <f t="shared" si="1664"/>
        <v>0</v>
      </c>
      <c r="AN165" s="242">
        <f t="shared" si="1664"/>
        <v>0</v>
      </c>
      <c r="AO165" s="242">
        <f t="shared" si="1664"/>
        <v>0</v>
      </c>
      <c r="AP165" s="242">
        <f t="shared" si="1664"/>
        <v>0</v>
      </c>
      <c r="AQ165" s="242">
        <f t="shared" si="1664"/>
        <v>0</v>
      </c>
      <c r="AR165" s="242">
        <f t="shared" si="1664"/>
        <v>0</v>
      </c>
      <c r="AS165" s="242">
        <f t="shared" si="1664"/>
        <v>0</v>
      </c>
      <c r="AT165" s="242">
        <f t="shared" si="1664"/>
        <v>0</v>
      </c>
      <c r="AU165" s="242">
        <f t="shared" si="1664"/>
        <v>0</v>
      </c>
      <c r="AV165" s="242">
        <f t="shared" si="1664"/>
        <v>0</v>
      </c>
      <c r="AW165" s="242">
        <f t="shared" si="1664"/>
        <v>0</v>
      </c>
      <c r="AX165" s="242">
        <f t="shared" si="1664"/>
        <v>0</v>
      </c>
      <c r="AY165" s="242">
        <f t="shared" si="1664"/>
        <v>0</v>
      </c>
      <c r="AZ165" s="242">
        <f t="shared" si="1664"/>
        <v>0</v>
      </c>
      <c r="BA165" s="242">
        <f t="shared" si="1664"/>
        <v>0</v>
      </c>
      <c r="BB165" s="242">
        <f t="shared" si="1664"/>
        <v>0</v>
      </c>
      <c r="BC165" s="242">
        <f t="shared" si="1664"/>
        <v>0</v>
      </c>
      <c r="BD165" s="242">
        <f t="shared" si="1664"/>
        <v>0</v>
      </c>
      <c r="BE165" s="242">
        <f t="shared" si="1664"/>
        <v>0</v>
      </c>
      <c r="BF165" s="242">
        <f t="shared" si="1664"/>
        <v>0</v>
      </c>
      <c r="BG165" s="242">
        <f t="shared" si="1664"/>
        <v>0</v>
      </c>
      <c r="BH165" s="242">
        <f t="shared" si="1664"/>
        <v>0</v>
      </c>
      <c r="BI165" s="242">
        <f t="shared" si="1664"/>
        <v>0</v>
      </c>
      <c r="BJ165" s="242">
        <f t="shared" si="1664"/>
        <v>0</v>
      </c>
      <c r="BK165" s="242">
        <f t="shared" si="1664"/>
        <v>0</v>
      </c>
      <c r="BL165" s="242">
        <f t="shared" si="1664"/>
        <v>0</v>
      </c>
      <c r="BM165" s="242">
        <f t="shared" si="1664"/>
        <v>0</v>
      </c>
      <c r="BN165" s="242">
        <f t="shared" si="1664"/>
        <v>0</v>
      </c>
      <c r="BO165" s="242">
        <f t="shared" si="1664"/>
        <v>0</v>
      </c>
      <c r="BP165" s="242">
        <f t="shared" si="1664"/>
        <v>0</v>
      </c>
      <c r="BQ165" s="242">
        <f t="shared" si="1664"/>
        <v>0</v>
      </c>
      <c r="BR165" s="242">
        <f t="shared" ref="BR165:CW165" si="1665">SUM(BR145:BR146)</f>
        <v>0</v>
      </c>
      <c r="BS165" s="242">
        <f t="shared" si="1665"/>
        <v>0</v>
      </c>
      <c r="BT165" s="242">
        <f t="shared" si="1665"/>
        <v>0</v>
      </c>
      <c r="BU165" s="242">
        <f t="shared" si="1665"/>
        <v>0</v>
      </c>
      <c r="BV165" s="242">
        <f t="shared" si="1665"/>
        <v>0</v>
      </c>
      <c r="BW165" s="242">
        <f t="shared" si="1665"/>
        <v>0</v>
      </c>
      <c r="BX165" s="242">
        <f t="shared" si="1665"/>
        <v>0</v>
      </c>
      <c r="BY165" s="242">
        <f t="shared" si="1665"/>
        <v>0</v>
      </c>
      <c r="BZ165" s="242">
        <f t="shared" si="1665"/>
        <v>0</v>
      </c>
      <c r="CA165" s="242">
        <f t="shared" si="1665"/>
        <v>0</v>
      </c>
      <c r="CB165" s="242">
        <f t="shared" si="1665"/>
        <v>0</v>
      </c>
      <c r="CC165" s="242">
        <f t="shared" si="1665"/>
        <v>0</v>
      </c>
      <c r="CD165" s="242">
        <f t="shared" si="1665"/>
        <v>0</v>
      </c>
      <c r="CE165" s="242">
        <f t="shared" si="1665"/>
        <v>0</v>
      </c>
      <c r="CF165" s="242">
        <f t="shared" si="1665"/>
        <v>0</v>
      </c>
      <c r="CG165" s="242">
        <f t="shared" si="1665"/>
        <v>0</v>
      </c>
      <c r="CH165" s="242">
        <f t="shared" si="1665"/>
        <v>0</v>
      </c>
      <c r="CI165" s="242">
        <f t="shared" si="1665"/>
        <v>0</v>
      </c>
      <c r="CJ165" s="242">
        <f t="shared" si="1665"/>
        <v>0</v>
      </c>
      <c r="CK165" s="242">
        <f t="shared" si="1665"/>
        <v>0</v>
      </c>
      <c r="CL165" s="242">
        <f t="shared" si="1665"/>
        <v>0</v>
      </c>
      <c r="CM165" s="242">
        <f t="shared" si="1665"/>
        <v>0</v>
      </c>
      <c r="CN165" s="242">
        <f t="shared" si="1665"/>
        <v>0</v>
      </c>
      <c r="CO165" s="242">
        <f t="shared" si="1665"/>
        <v>0</v>
      </c>
      <c r="CP165" s="242">
        <f t="shared" si="1665"/>
        <v>0</v>
      </c>
      <c r="CQ165" s="242">
        <f t="shared" si="1665"/>
        <v>0</v>
      </c>
      <c r="CR165" s="242">
        <f t="shared" si="1665"/>
        <v>0</v>
      </c>
      <c r="CS165" s="242">
        <f t="shared" si="1665"/>
        <v>0</v>
      </c>
      <c r="CT165" s="242">
        <f t="shared" si="1665"/>
        <v>0</v>
      </c>
      <c r="CU165" s="242">
        <f t="shared" si="1665"/>
        <v>0</v>
      </c>
      <c r="CV165" s="242">
        <f t="shared" si="1665"/>
        <v>0</v>
      </c>
      <c r="CW165" s="242">
        <f t="shared" si="1665"/>
        <v>0</v>
      </c>
      <c r="CX165" s="242">
        <f t="shared" ref="CX165:EC165" si="1666">SUM(CX145:CX146)</f>
        <v>0</v>
      </c>
      <c r="CY165" s="242">
        <f t="shared" si="1666"/>
        <v>0</v>
      </c>
      <c r="CZ165" s="242">
        <f t="shared" si="1666"/>
        <v>0</v>
      </c>
      <c r="DA165" s="242">
        <f t="shared" si="1666"/>
        <v>0</v>
      </c>
      <c r="DB165" s="242">
        <f t="shared" si="1666"/>
        <v>0</v>
      </c>
      <c r="DC165" s="242">
        <f t="shared" si="1666"/>
        <v>0</v>
      </c>
      <c r="DD165" s="242">
        <f t="shared" si="1666"/>
        <v>0</v>
      </c>
      <c r="DE165" s="242">
        <f t="shared" si="1666"/>
        <v>0</v>
      </c>
      <c r="DF165" s="242">
        <f t="shared" si="1666"/>
        <v>0</v>
      </c>
      <c r="DG165" s="242">
        <f t="shared" si="1666"/>
        <v>0</v>
      </c>
      <c r="DH165" s="242">
        <f t="shared" si="1666"/>
        <v>0</v>
      </c>
      <c r="DI165" s="242">
        <f t="shared" si="1666"/>
        <v>0</v>
      </c>
      <c r="DJ165" s="242">
        <f t="shared" si="1666"/>
        <v>0</v>
      </c>
      <c r="DK165" s="242">
        <f t="shared" si="1666"/>
        <v>0</v>
      </c>
      <c r="DL165" s="242">
        <f t="shared" si="1666"/>
        <v>0</v>
      </c>
      <c r="DM165" s="242">
        <f t="shared" si="1666"/>
        <v>0</v>
      </c>
      <c r="DN165" s="242">
        <f t="shared" si="1666"/>
        <v>0</v>
      </c>
      <c r="DO165" s="242">
        <f t="shared" si="1666"/>
        <v>0</v>
      </c>
      <c r="DP165" s="242">
        <f t="shared" si="1666"/>
        <v>0</v>
      </c>
      <c r="DQ165" s="242">
        <f t="shared" si="1666"/>
        <v>0</v>
      </c>
      <c r="DR165" s="242">
        <f t="shared" si="1666"/>
        <v>0</v>
      </c>
      <c r="DS165" s="242">
        <f t="shared" si="1666"/>
        <v>0</v>
      </c>
      <c r="DT165" s="242">
        <f t="shared" si="1666"/>
        <v>0</v>
      </c>
      <c r="DU165" s="242">
        <f t="shared" si="1666"/>
        <v>0</v>
      </c>
      <c r="DV165" s="242">
        <f t="shared" si="1666"/>
        <v>0</v>
      </c>
      <c r="DW165" s="242">
        <f t="shared" si="1666"/>
        <v>0</v>
      </c>
      <c r="DX165" s="242">
        <f t="shared" si="1666"/>
        <v>0</v>
      </c>
      <c r="DY165" s="242">
        <f t="shared" si="1666"/>
        <v>0</v>
      </c>
      <c r="DZ165" s="242">
        <f t="shared" si="1666"/>
        <v>0</v>
      </c>
      <c r="EA165" s="242">
        <f t="shared" si="1666"/>
        <v>0</v>
      </c>
      <c r="EB165" s="242">
        <f t="shared" si="1666"/>
        <v>0</v>
      </c>
      <c r="EC165" s="242">
        <f t="shared" si="1666"/>
        <v>0</v>
      </c>
      <c r="ED165" s="242">
        <f t="shared" ref="ED165:ET165" si="1667">SUM(ED145:ED146)</f>
        <v>0</v>
      </c>
      <c r="EE165" s="242">
        <f t="shared" si="1667"/>
        <v>0</v>
      </c>
      <c r="EF165" s="242">
        <f t="shared" si="1667"/>
        <v>0</v>
      </c>
      <c r="EG165" s="242">
        <f t="shared" si="1667"/>
        <v>0</v>
      </c>
      <c r="EH165" s="242">
        <f t="shared" si="1667"/>
        <v>0</v>
      </c>
      <c r="EI165" s="242">
        <f t="shared" si="1667"/>
        <v>0</v>
      </c>
      <c r="EJ165" s="242">
        <f t="shared" si="1667"/>
        <v>0</v>
      </c>
      <c r="EK165" s="242">
        <f t="shared" si="1667"/>
        <v>0</v>
      </c>
      <c r="EL165" s="242">
        <f t="shared" si="1667"/>
        <v>0</v>
      </c>
      <c r="EM165" s="242">
        <f t="shared" si="1667"/>
        <v>0</v>
      </c>
      <c r="EN165" s="242">
        <f t="shared" si="1667"/>
        <v>0</v>
      </c>
      <c r="EO165" s="242">
        <f t="shared" si="1667"/>
        <v>0</v>
      </c>
      <c r="EP165" s="242">
        <f t="shared" si="1667"/>
        <v>0</v>
      </c>
      <c r="EQ165" s="242">
        <f t="shared" si="1667"/>
        <v>0</v>
      </c>
      <c r="ER165" s="242">
        <f t="shared" si="1667"/>
        <v>0</v>
      </c>
      <c r="ES165" s="242">
        <f t="shared" si="1667"/>
        <v>0</v>
      </c>
      <c r="ET165" s="242">
        <f t="shared" si="1667"/>
        <v>0</v>
      </c>
    </row>
    <row r="166" spans="2:150" x14ac:dyDescent="0.2">
      <c r="B166" s="8" t="s">
        <v>322</v>
      </c>
      <c r="F166" s="242">
        <f t="shared" ref="F166:AK166" si="1668">-F147+F148</f>
        <v>0</v>
      </c>
      <c r="G166" s="242">
        <f t="shared" si="1668"/>
        <v>0</v>
      </c>
      <c r="H166" s="242">
        <f t="shared" si="1668"/>
        <v>0</v>
      </c>
      <c r="I166" s="242">
        <f t="shared" si="1668"/>
        <v>0</v>
      </c>
      <c r="J166" s="242">
        <f t="shared" si="1668"/>
        <v>0</v>
      </c>
      <c r="K166" s="242">
        <f t="shared" si="1668"/>
        <v>0</v>
      </c>
      <c r="L166" s="242">
        <f t="shared" si="1668"/>
        <v>0</v>
      </c>
      <c r="M166" s="242">
        <f t="shared" si="1668"/>
        <v>0</v>
      </c>
      <c r="N166" s="242">
        <f t="shared" si="1668"/>
        <v>0</v>
      </c>
      <c r="O166" s="242">
        <f t="shared" si="1668"/>
        <v>0</v>
      </c>
      <c r="P166" s="242">
        <f t="shared" si="1668"/>
        <v>0</v>
      </c>
      <c r="Q166" s="242">
        <f t="shared" si="1668"/>
        <v>0</v>
      </c>
      <c r="R166" s="242">
        <f t="shared" si="1668"/>
        <v>0</v>
      </c>
      <c r="S166" s="242">
        <f t="shared" si="1668"/>
        <v>0</v>
      </c>
      <c r="T166" s="242">
        <f t="shared" si="1668"/>
        <v>0</v>
      </c>
      <c r="U166" s="242">
        <f t="shared" si="1668"/>
        <v>0</v>
      </c>
      <c r="V166" s="242">
        <f t="shared" si="1668"/>
        <v>0</v>
      </c>
      <c r="W166" s="242">
        <f t="shared" si="1668"/>
        <v>0</v>
      </c>
      <c r="X166" s="242">
        <f t="shared" si="1668"/>
        <v>0</v>
      </c>
      <c r="Y166" s="242">
        <f t="shared" si="1668"/>
        <v>0</v>
      </c>
      <c r="Z166" s="242">
        <f t="shared" si="1668"/>
        <v>0</v>
      </c>
      <c r="AA166" s="242">
        <f t="shared" si="1668"/>
        <v>0</v>
      </c>
      <c r="AB166" s="242">
        <f t="shared" si="1668"/>
        <v>0</v>
      </c>
      <c r="AC166" s="242">
        <f t="shared" si="1668"/>
        <v>0</v>
      </c>
      <c r="AD166" s="242">
        <f t="shared" si="1668"/>
        <v>0</v>
      </c>
      <c r="AE166" s="242">
        <f t="shared" si="1668"/>
        <v>0</v>
      </c>
      <c r="AF166" s="242">
        <f t="shared" si="1668"/>
        <v>0</v>
      </c>
      <c r="AG166" s="242">
        <f t="shared" si="1668"/>
        <v>0</v>
      </c>
      <c r="AH166" s="242">
        <f t="shared" si="1668"/>
        <v>0</v>
      </c>
      <c r="AI166" s="242">
        <f t="shared" si="1668"/>
        <v>0</v>
      </c>
      <c r="AJ166" s="242">
        <f t="shared" si="1668"/>
        <v>0</v>
      </c>
      <c r="AK166" s="242">
        <f t="shared" si="1668"/>
        <v>0</v>
      </c>
      <c r="AL166" s="242">
        <f t="shared" ref="AL166:BQ166" si="1669">-AL147+AL148</f>
        <v>0</v>
      </c>
      <c r="AM166" s="242">
        <f t="shared" si="1669"/>
        <v>0</v>
      </c>
      <c r="AN166" s="242">
        <f t="shared" si="1669"/>
        <v>0</v>
      </c>
      <c r="AO166" s="242">
        <f t="shared" si="1669"/>
        <v>0</v>
      </c>
      <c r="AP166" s="242">
        <f t="shared" si="1669"/>
        <v>0</v>
      </c>
      <c r="AQ166" s="242">
        <f t="shared" si="1669"/>
        <v>0</v>
      </c>
      <c r="AR166" s="242">
        <f t="shared" si="1669"/>
        <v>0</v>
      </c>
      <c r="AS166" s="242">
        <f t="shared" si="1669"/>
        <v>0</v>
      </c>
      <c r="AT166" s="242">
        <f t="shared" si="1669"/>
        <v>0</v>
      </c>
      <c r="AU166" s="242">
        <f t="shared" si="1669"/>
        <v>0</v>
      </c>
      <c r="AV166" s="242">
        <f t="shared" si="1669"/>
        <v>0</v>
      </c>
      <c r="AW166" s="242">
        <f t="shared" si="1669"/>
        <v>0</v>
      </c>
      <c r="AX166" s="242">
        <f t="shared" si="1669"/>
        <v>0</v>
      </c>
      <c r="AY166" s="242">
        <f t="shared" si="1669"/>
        <v>0</v>
      </c>
      <c r="AZ166" s="242">
        <f t="shared" si="1669"/>
        <v>0</v>
      </c>
      <c r="BA166" s="242">
        <f t="shared" si="1669"/>
        <v>0</v>
      </c>
      <c r="BB166" s="242">
        <f t="shared" si="1669"/>
        <v>0</v>
      </c>
      <c r="BC166" s="242">
        <f t="shared" si="1669"/>
        <v>0</v>
      </c>
      <c r="BD166" s="242">
        <f t="shared" si="1669"/>
        <v>0</v>
      </c>
      <c r="BE166" s="242">
        <f t="shared" si="1669"/>
        <v>0</v>
      </c>
      <c r="BF166" s="242">
        <f t="shared" si="1669"/>
        <v>0</v>
      </c>
      <c r="BG166" s="242">
        <f t="shared" si="1669"/>
        <v>0</v>
      </c>
      <c r="BH166" s="242">
        <f t="shared" si="1669"/>
        <v>0</v>
      </c>
      <c r="BI166" s="242">
        <f t="shared" si="1669"/>
        <v>0</v>
      </c>
      <c r="BJ166" s="242">
        <f t="shared" si="1669"/>
        <v>0</v>
      </c>
      <c r="BK166" s="242">
        <f t="shared" si="1669"/>
        <v>0</v>
      </c>
      <c r="BL166" s="242">
        <f t="shared" si="1669"/>
        <v>0</v>
      </c>
      <c r="BM166" s="242">
        <f t="shared" si="1669"/>
        <v>0</v>
      </c>
      <c r="BN166" s="242">
        <f t="shared" si="1669"/>
        <v>0</v>
      </c>
      <c r="BO166" s="242">
        <f t="shared" si="1669"/>
        <v>0</v>
      </c>
      <c r="BP166" s="242">
        <f t="shared" si="1669"/>
        <v>0</v>
      </c>
      <c r="BQ166" s="242">
        <f t="shared" si="1669"/>
        <v>0</v>
      </c>
      <c r="BR166" s="242">
        <f t="shared" ref="BR166:CW166" si="1670">-BR147+BR148</f>
        <v>0</v>
      </c>
      <c r="BS166" s="242">
        <f t="shared" si="1670"/>
        <v>0</v>
      </c>
      <c r="BT166" s="242">
        <f t="shared" si="1670"/>
        <v>0</v>
      </c>
      <c r="BU166" s="242">
        <f t="shared" si="1670"/>
        <v>0</v>
      </c>
      <c r="BV166" s="242">
        <f t="shared" si="1670"/>
        <v>0</v>
      </c>
      <c r="BW166" s="242">
        <f t="shared" si="1670"/>
        <v>0</v>
      </c>
      <c r="BX166" s="242">
        <f t="shared" si="1670"/>
        <v>0</v>
      </c>
      <c r="BY166" s="242">
        <f t="shared" si="1670"/>
        <v>0</v>
      </c>
      <c r="BZ166" s="242">
        <f t="shared" si="1670"/>
        <v>0</v>
      </c>
      <c r="CA166" s="242">
        <f t="shared" si="1670"/>
        <v>0</v>
      </c>
      <c r="CB166" s="242">
        <f t="shared" si="1670"/>
        <v>0</v>
      </c>
      <c r="CC166" s="242">
        <f t="shared" si="1670"/>
        <v>0</v>
      </c>
      <c r="CD166" s="242">
        <f t="shared" si="1670"/>
        <v>0</v>
      </c>
      <c r="CE166" s="242">
        <f t="shared" si="1670"/>
        <v>0</v>
      </c>
      <c r="CF166" s="242">
        <f t="shared" si="1670"/>
        <v>0</v>
      </c>
      <c r="CG166" s="242">
        <f t="shared" si="1670"/>
        <v>0</v>
      </c>
      <c r="CH166" s="242">
        <f t="shared" si="1670"/>
        <v>0</v>
      </c>
      <c r="CI166" s="242">
        <f t="shared" si="1670"/>
        <v>0</v>
      </c>
      <c r="CJ166" s="242">
        <f t="shared" si="1670"/>
        <v>0</v>
      </c>
      <c r="CK166" s="242">
        <f t="shared" si="1670"/>
        <v>0</v>
      </c>
      <c r="CL166" s="242">
        <f t="shared" si="1670"/>
        <v>0</v>
      </c>
      <c r="CM166" s="242">
        <f t="shared" si="1670"/>
        <v>0</v>
      </c>
      <c r="CN166" s="242">
        <f t="shared" si="1670"/>
        <v>0</v>
      </c>
      <c r="CO166" s="242">
        <f t="shared" si="1670"/>
        <v>0</v>
      </c>
      <c r="CP166" s="242">
        <f t="shared" si="1670"/>
        <v>0</v>
      </c>
      <c r="CQ166" s="242">
        <f t="shared" si="1670"/>
        <v>0</v>
      </c>
      <c r="CR166" s="242">
        <f t="shared" si="1670"/>
        <v>0</v>
      </c>
      <c r="CS166" s="242">
        <f t="shared" si="1670"/>
        <v>0</v>
      </c>
      <c r="CT166" s="242">
        <f t="shared" si="1670"/>
        <v>0</v>
      </c>
      <c r="CU166" s="242">
        <f t="shared" si="1670"/>
        <v>0</v>
      </c>
      <c r="CV166" s="242">
        <f t="shared" si="1670"/>
        <v>0</v>
      </c>
      <c r="CW166" s="242">
        <f t="shared" si="1670"/>
        <v>0</v>
      </c>
      <c r="CX166" s="242">
        <f t="shared" ref="CX166:EC166" si="1671">-CX147+CX148</f>
        <v>0</v>
      </c>
      <c r="CY166" s="242">
        <f t="shared" si="1671"/>
        <v>0</v>
      </c>
      <c r="CZ166" s="242">
        <f t="shared" si="1671"/>
        <v>0</v>
      </c>
      <c r="DA166" s="242">
        <f t="shared" si="1671"/>
        <v>0</v>
      </c>
      <c r="DB166" s="242">
        <f t="shared" si="1671"/>
        <v>0</v>
      </c>
      <c r="DC166" s="242">
        <f t="shared" si="1671"/>
        <v>0</v>
      </c>
      <c r="DD166" s="242">
        <f t="shared" si="1671"/>
        <v>0</v>
      </c>
      <c r="DE166" s="242">
        <f t="shared" si="1671"/>
        <v>0</v>
      </c>
      <c r="DF166" s="242">
        <f t="shared" si="1671"/>
        <v>0</v>
      </c>
      <c r="DG166" s="242">
        <f t="shared" si="1671"/>
        <v>0</v>
      </c>
      <c r="DH166" s="242">
        <f t="shared" si="1671"/>
        <v>0</v>
      </c>
      <c r="DI166" s="242">
        <f t="shared" si="1671"/>
        <v>0</v>
      </c>
      <c r="DJ166" s="242">
        <f t="shared" si="1671"/>
        <v>0</v>
      </c>
      <c r="DK166" s="242">
        <f t="shared" si="1671"/>
        <v>0</v>
      </c>
      <c r="DL166" s="242">
        <f t="shared" si="1671"/>
        <v>0</v>
      </c>
      <c r="DM166" s="242">
        <f t="shared" si="1671"/>
        <v>0</v>
      </c>
      <c r="DN166" s="242">
        <f t="shared" si="1671"/>
        <v>0</v>
      </c>
      <c r="DO166" s="242">
        <f t="shared" si="1671"/>
        <v>0</v>
      </c>
      <c r="DP166" s="242">
        <f t="shared" si="1671"/>
        <v>0</v>
      </c>
      <c r="DQ166" s="242">
        <f t="shared" si="1671"/>
        <v>0</v>
      </c>
      <c r="DR166" s="242">
        <f t="shared" si="1671"/>
        <v>0</v>
      </c>
      <c r="DS166" s="242">
        <f t="shared" si="1671"/>
        <v>0</v>
      </c>
      <c r="DT166" s="242">
        <f t="shared" si="1671"/>
        <v>0</v>
      </c>
      <c r="DU166" s="242">
        <f t="shared" si="1671"/>
        <v>0</v>
      </c>
      <c r="DV166" s="242">
        <f t="shared" si="1671"/>
        <v>0</v>
      </c>
      <c r="DW166" s="242">
        <f t="shared" si="1671"/>
        <v>0</v>
      </c>
      <c r="DX166" s="242">
        <f t="shared" si="1671"/>
        <v>0</v>
      </c>
      <c r="DY166" s="242">
        <f t="shared" si="1671"/>
        <v>0</v>
      </c>
      <c r="DZ166" s="242">
        <f t="shared" si="1671"/>
        <v>0</v>
      </c>
      <c r="EA166" s="242">
        <f t="shared" si="1671"/>
        <v>0</v>
      </c>
      <c r="EB166" s="242">
        <f t="shared" si="1671"/>
        <v>0</v>
      </c>
      <c r="EC166" s="242">
        <f t="shared" si="1671"/>
        <v>0</v>
      </c>
      <c r="ED166" s="242">
        <f t="shared" ref="ED166:ET166" si="1672">-ED147+ED148</f>
        <v>0</v>
      </c>
      <c r="EE166" s="242">
        <f t="shared" si="1672"/>
        <v>0</v>
      </c>
      <c r="EF166" s="242">
        <f t="shared" si="1672"/>
        <v>0</v>
      </c>
      <c r="EG166" s="242">
        <f t="shared" si="1672"/>
        <v>0</v>
      </c>
      <c r="EH166" s="242">
        <f t="shared" si="1672"/>
        <v>0</v>
      </c>
      <c r="EI166" s="242">
        <f t="shared" si="1672"/>
        <v>0</v>
      </c>
      <c r="EJ166" s="242">
        <f t="shared" si="1672"/>
        <v>0</v>
      </c>
      <c r="EK166" s="242">
        <f t="shared" si="1672"/>
        <v>0</v>
      </c>
      <c r="EL166" s="242">
        <f t="shared" si="1672"/>
        <v>0</v>
      </c>
      <c r="EM166" s="242">
        <f t="shared" si="1672"/>
        <v>0</v>
      </c>
      <c r="EN166" s="242">
        <f t="shared" si="1672"/>
        <v>0</v>
      </c>
      <c r="EO166" s="242">
        <f t="shared" si="1672"/>
        <v>0</v>
      </c>
      <c r="EP166" s="242">
        <f t="shared" si="1672"/>
        <v>0</v>
      </c>
      <c r="EQ166" s="242">
        <f t="shared" si="1672"/>
        <v>0</v>
      </c>
      <c r="ER166" s="242">
        <f t="shared" si="1672"/>
        <v>0</v>
      </c>
      <c r="ES166" s="242">
        <f t="shared" si="1672"/>
        <v>0</v>
      </c>
      <c r="ET166" s="242">
        <f t="shared" si="1672"/>
        <v>0</v>
      </c>
    </row>
    <row r="167" spans="2:150" x14ac:dyDescent="0.2">
      <c r="B167" s="8" t="s">
        <v>323</v>
      </c>
      <c r="F167" s="242">
        <f t="shared" ref="F167:AK167" si="1673">F149</f>
        <v>0</v>
      </c>
      <c r="G167" s="242">
        <f t="shared" si="1673"/>
        <v>0</v>
      </c>
      <c r="H167" s="242">
        <f t="shared" si="1673"/>
        <v>0</v>
      </c>
      <c r="I167" s="242">
        <f t="shared" si="1673"/>
        <v>0</v>
      </c>
      <c r="J167" s="242">
        <f t="shared" si="1673"/>
        <v>0</v>
      </c>
      <c r="K167" s="242">
        <f t="shared" si="1673"/>
        <v>0</v>
      </c>
      <c r="L167" s="242">
        <f t="shared" si="1673"/>
        <v>0</v>
      </c>
      <c r="M167" s="242">
        <f t="shared" si="1673"/>
        <v>0</v>
      </c>
      <c r="N167" s="242">
        <f t="shared" si="1673"/>
        <v>0</v>
      </c>
      <c r="O167" s="242">
        <f t="shared" si="1673"/>
        <v>0</v>
      </c>
      <c r="P167" s="242">
        <f t="shared" si="1673"/>
        <v>0</v>
      </c>
      <c r="Q167" s="242">
        <f t="shared" si="1673"/>
        <v>0</v>
      </c>
      <c r="R167" s="242">
        <f t="shared" si="1673"/>
        <v>0</v>
      </c>
      <c r="S167" s="242">
        <f t="shared" si="1673"/>
        <v>0</v>
      </c>
      <c r="T167" s="242">
        <f t="shared" si="1673"/>
        <v>0</v>
      </c>
      <c r="U167" s="242">
        <f t="shared" si="1673"/>
        <v>0</v>
      </c>
      <c r="V167" s="242">
        <f t="shared" si="1673"/>
        <v>0</v>
      </c>
      <c r="W167" s="242">
        <f t="shared" si="1673"/>
        <v>0</v>
      </c>
      <c r="X167" s="242">
        <f t="shared" si="1673"/>
        <v>0</v>
      </c>
      <c r="Y167" s="242">
        <f t="shared" si="1673"/>
        <v>0</v>
      </c>
      <c r="Z167" s="242">
        <f t="shared" si="1673"/>
        <v>0</v>
      </c>
      <c r="AA167" s="242">
        <f t="shared" si="1673"/>
        <v>0</v>
      </c>
      <c r="AB167" s="242">
        <f t="shared" si="1673"/>
        <v>0</v>
      </c>
      <c r="AC167" s="242">
        <f t="shared" si="1673"/>
        <v>0</v>
      </c>
      <c r="AD167" s="242">
        <f t="shared" si="1673"/>
        <v>0</v>
      </c>
      <c r="AE167" s="242">
        <f t="shared" si="1673"/>
        <v>0</v>
      </c>
      <c r="AF167" s="242">
        <f t="shared" si="1673"/>
        <v>0</v>
      </c>
      <c r="AG167" s="242">
        <f t="shared" si="1673"/>
        <v>0</v>
      </c>
      <c r="AH167" s="242">
        <f t="shared" si="1673"/>
        <v>0</v>
      </c>
      <c r="AI167" s="242">
        <f t="shared" si="1673"/>
        <v>0</v>
      </c>
      <c r="AJ167" s="242">
        <f t="shared" si="1673"/>
        <v>0</v>
      </c>
      <c r="AK167" s="242">
        <f t="shared" si="1673"/>
        <v>0</v>
      </c>
      <c r="AL167" s="242">
        <f t="shared" ref="AL167:BQ167" si="1674">AL149</f>
        <v>0</v>
      </c>
      <c r="AM167" s="242">
        <f t="shared" si="1674"/>
        <v>0</v>
      </c>
      <c r="AN167" s="242">
        <f t="shared" si="1674"/>
        <v>0</v>
      </c>
      <c r="AO167" s="242">
        <f t="shared" si="1674"/>
        <v>0</v>
      </c>
      <c r="AP167" s="242">
        <f t="shared" si="1674"/>
        <v>0</v>
      </c>
      <c r="AQ167" s="242">
        <f t="shared" si="1674"/>
        <v>0</v>
      </c>
      <c r="AR167" s="242">
        <f t="shared" si="1674"/>
        <v>0</v>
      </c>
      <c r="AS167" s="242">
        <f t="shared" si="1674"/>
        <v>0</v>
      </c>
      <c r="AT167" s="242">
        <f t="shared" si="1674"/>
        <v>0</v>
      </c>
      <c r="AU167" s="242">
        <f t="shared" si="1674"/>
        <v>0</v>
      </c>
      <c r="AV167" s="242">
        <f t="shared" si="1674"/>
        <v>0</v>
      </c>
      <c r="AW167" s="242">
        <f t="shared" si="1674"/>
        <v>0</v>
      </c>
      <c r="AX167" s="242">
        <f t="shared" si="1674"/>
        <v>0</v>
      </c>
      <c r="AY167" s="242">
        <f t="shared" si="1674"/>
        <v>0</v>
      </c>
      <c r="AZ167" s="242">
        <f t="shared" si="1674"/>
        <v>0</v>
      </c>
      <c r="BA167" s="242">
        <f t="shared" si="1674"/>
        <v>0</v>
      </c>
      <c r="BB167" s="242">
        <f t="shared" si="1674"/>
        <v>0</v>
      </c>
      <c r="BC167" s="242">
        <f t="shared" si="1674"/>
        <v>0</v>
      </c>
      <c r="BD167" s="242">
        <f t="shared" si="1674"/>
        <v>0</v>
      </c>
      <c r="BE167" s="242">
        <f t="shared" si="1674"/>
        <v>0</v>
      </c>
      <c r="BF167" s="242">
        <f t="shared" si="1674"/>
        <v>0</v>
      </c>
      <c r="BG167" s="242">
        <f t="shared" si="1674"/>
        <v>0</v>
      </c>
      <c r="BH167" s="242">
        <f t="shared" si="1674"/>
        <v>0</v>
      </c>
      <c r="BI167" s="242">
        <f t="shared" si="1674"/>
        <v>0</v>
      </c>
      <c r="BJ167" s="242">
        <f t="shared" si="1674"/>
        <v>0</v>
      </c>
      <c r="BK167" s="242">
        <f t="shared" si="1674"/>
        <v>0</v>
      </c>
      <c r="BL167" s="242">
        <f t="shared" si="1674"/>
        <v>0</v>
      </c>
      <c r="BM167" s="242">
        <f t="shared" si="1674"/>
        <v>0</v>
      </c>
      <c r="BN167" s="242">
        <f t="shared" si="1674"/>
        <v>0</v>
      </c>
      <c r="BO167" s="242">
        <f t="shared" si="1674"/>
        <v>0</v>
      </c>
      <c r="BP167" s="242">
        <f t="shared" si="1674"/>
        <v>0</v>
      </c>
      <c r="BQ167" s="242">
        <f t="shared" si="1674"/>
        <v>0</v>
      </c>
      <c r="BR167" s="242">
        <f t="shared" ref="BR167:CW167" si="1675">BR149</f>
        <v>0</v>
      </c>
      <c r="BS167" s="242">
        <f t="shared" si="1675"/>
        <v>0</v>
      </c>
      <c r="BT167" s="242">
        <f t="shared" si="1675"/>
        <v>0</v>
      </c>
      <c r="BU167" s="242">
        <f t="shared" si="1675"/>
        <v>0</v>
      </c>
      <c r="BV167" s="242">
        <f t="shared" si="1675"/>
        <v>0</v>
      </c>
      <c r="BW167" s="242">
        <f t="shared" si="1675"/>
        <v>0</v>
      </c>
      <c r="BX167" s="242">
        <f t="shared" si="1675"/>
        <v>0</v>
      </c>
      <c r="BY167" s="242">
        <f t="shared" si="1675"/>
        <v>0</v>
      </c>
      <c r="BZ167" s="242">
        <f t="shared" si="1675"/>
        <v>0</v>
      </c>
      <c r="CA167" s="242">
        <f t="shared" si="1675"/>
        <v>0</v>
      </c>
      <c r="CB167" s="242">
        <f t="shared" si="1675"/>
        <v>0</v>
      </c>
      <c r="CC167" s="242">
        <f t="shared" si="1675"/>
        <v>0</v>
      </c>
      <c r="CD167" s="242">
        <f t="shared" si="1675"/>
        <v>0</v>
      </c>
      <c r="CE167" s="242">
        <f t="shared" si="1675"/>
        <v>0</v>
      </c>
      <c r="CF167" s="242">
        <f t="shared" si="1675"/>
        <v>0</v>
      </c>
      <c r="CG167" s="242">
        <f t="shared" si="1675"/>
        <v>0</v>
      </c>
      <c r="CH167" s="242">
        <f t="shared" si="1675"/>
        <v>0</v>
      </c>
      <c r="CI167" s="242">
        <f t="shared" si="1675"/>
        <v>0</v>
      </c>
      <c r="CJ167" s="242">
        <f t="shared" si="1675"/>
        <v>0</v>
      </c>
      <c r="CK167" s="242">
        <f t="shared" si="1675"/>
        <v>0</v>
      </c>
      <c r="CL167" s="242">
        <f t="shared" si="1675"/>
        <v>0</v>
      </c>
      <c r="CM167" s="242">
        <f t="shared" si="1675"/>
        <v>0</v>
      </c>
      <c r="CN167" s="242">
        <f t="shared" si="1675"/>
        <v>0</v>
      </c>
      <c r="CO167" s="242">
        <f t="shared" si="1675"/>
        <v>0</v>
      </c>
      <c r="CP167" s="242">
        <f t="shared" si="1675"/>
        <v>0</v>
      </c>
      <c r="CQ167" s="242">
        <f t="shared" si="1675"/>
        <v>0</v>
      </c>
      <c r="CR167" s="242">
        <f t="shared" si="1675"/>
        <v>0</v>
      </c>
      <c r="CS167" s="242">
        <f t="shared" si="1675"/>
        <v>0</v>
      </c>
      <c r="CT167" s="242">
        <f t="shared" si="1675"/>
        <v>0</v>
      </c>
      <c r="CU167" s="242">
        <f t="shared" si="1675"/>
        <v>0</v>
      </c>
      <c r="CV167" s="242">
        <f t="shared" si="1675"/>
        <v>0</v>
      </c>
      <c r="CW167" s="242">
        <f t="shared" si="1675"/>
        <v>0</v>
      </c>
      <c r="CX167" s="242">
        <f t="shared" ref="CX167:EC167" si="1676">CX149</f>
        <v>0</v>
      </c>
      <c r="CY167" s="242">
        <f t="shared" si="1676"/>
        <v>0</v>
      </c>
      <c r="CZ167" s="242">
        <f t="shared" si="1676"/>
        <v>0</v>
      </c>
      <c r="DA167" s="242">
        <f t="shared" si="1676"/>
        <v>0</v>
      </c>
      <c r="DB167" s="242">
        <f t="shared" si="1676"/>
        <v>0</v>
      </c>
      <c r="DC167" s="242">
        <f t="shared" si="1676"/>
        <v>0</v>
      </c>
      <c r="DD167" s="242">
        <f t="shared" si="1676"/>
        <v>0</v>
      </c>
      <c r="DE167" s="242">
        <f t="shared" si="1676"/>
        <v>0</v>
      </c>
      <c r="DF167" s="242">
        <f t="shared" si="1676"/>
        <v>0</v>
      </c>
      <c r="DG167" s="242">
        <f t="shared" si="1676"/>
        <v>0</v>
      </c>
      <c r="DH167" s="242">
        <f t="shared" si="1676"/>
        <v>0</v>
      </c>
      <c r="DI167" s="242">
        <f t="shared" si="1676"/>
        <v>0</v>
      </c>
      <c r="DJ167" s="242">
        <f t="shared" si="1676"/>
        <v>0</v>
      </c>
      <c r="DK167" s="242">
        <f t="shared" si="1676"/>
        <v>0</v>
      </c>
      <c r="DL167" s="242">
        <f t="shared" si="1676"/>
        <v>0</v>
      </c>
      <c r="DM167" s="242">
        <f t="shared" si="1676"/>
        <v>0</v>
      </c>
      <c r="DN167" s="242">
        <f t="shared" si="1676"/>
        <v>0</v>
      </c>
      <c r="DO167" s="242">
        <f t="shared" si="1676"/>
        <v>0</v>
      </c>
      <c r="DP167" s="242">
        <f t="shared" si="1676"/>
        <v>0</v>
      </c>
      <c r="DQ167" s="242">
        <f t="shared" si="1676"/>
        <v>0</v>
      </c>
      <c r="DR167" s="242">
        <f t="shared" si="1676"/>
        <v>0</v>
      </c>
      <c r="DS167" s="242">
        <f t="shared" si="1676"/>
        <v>0</v>
      </c>
      <c r="DT167" s="242">
        <f t="shared" si="1676"/>
        <v>0</v>
      </c>
      <c r="DU167" s="242">
        <f t="shared" si="1676"/>
        <v>0</v>
      </c>
      <c r="DV167" s="242">
        <f t="shared" si="1676"/>
        <v>0</v>
      </c>
      <c r="DW167" s="242">
        <f t="shared" si="1676"/>
        <v>0</v>
      </c>
      <c r="DX167" s="242">
        <f t="shared" si="1676"/>
        <v>0</v>
      </c>
      <c r="DY167" s="242">
        <f t="shared" si="1676"/>
        <v>0</v>
      </c>
      <c r="DZ167" s="242">
        <f t="shared" si="1676"/>
        <v>0</v>
      </c>
      <c r="EA167" s="242">
        <f t="shared" si="1676"/>
        <v>0</v>
      </c>
      <c r="EB167" s="242">
        <f t="shared" si="1676"/>
        <v>0</v>
      </c>
      <c r="EC167" s="242">
        <f t="shared" si="1676"/>
        <v>0</v>
      </c>
      <c r="ED167" s="242">
        <f t="shared" ref="ED167:ET167" si="1677">ED149</f>
        <v>0</v>
      </c>
      <c r="EE167" s="242">
        <f t="shared" si="1677"/>
        <v>0</v>
      </c>
      <c r="EF167" s="242">
        <f t="shared" si="1677"/>
        <v>0</v>
      </c>
      <c r="EG167" s="242">
        <f t="shared" si="1677"/>
        <v>0</v>
      </c>
      <c r="EH167" s="242">
        <f t="shared" si="1677"/>
        <v>0</v>
      </c>
      <c r="EI167" s="242">
        <f t="shared" si="1677"/>
        <v>0</v>
      </c>
      <c r="EJ167" s="242">
        <f t="shared" si="1677"/>
        <v>0</v>
      </c>
      <c r="EK167" s="242">
        <f t="shared" si="1677"/>
        <v>0</v>
      </c>
      <c r="EL167" s="242">
        <f t="shared" si="1677"/>
        <v>0</v>
      </c>
      <c r="EM167" s="242">
        <f t="shared" si="1677"/>
        <v>0</v>
      </c>
      <c r="EN167" s="242">
        <f t="shared" si="1677"/>
        <v>0</v>
      </c>
      <c r="EO167" s="242">
        <f t="shared" si="1677"/>
        <v>0</v>
      </c>
      <c r="EP167" s="242">
        <f t="shared" si="1677"/>
        <v>0</v>
      </c>
      <c r="EQ167" s="242">
        <f t="shared" si="1677"/>
        <v>0</v>
      </c>
      <c r="ER167" s="242">
        <f t="shared" si="1677"/>
        <v>0</v>
      </c>
      <c r="ES167" s="242">
        <f t="shared" si="1677"/>
        <v>0</v>
      </c>
      <c r="ET167" s="242">
        <f t="shared" si="1677"/>
        <v>0</v>
      </c>
    </row>
    <row r="168" spans="2:150" x14ac:dyDescent="0.2">
      <c r="B168" s="43" t="s">
        <v>184</v>
      </c>
      <c r="C168" s="44"/>
      <c r="D168" s="250">
        <f t="shared" ref="D168" ca="1" si="1678">SUM(F168:ET168)</f>
        <v>4992185.2827406693</v>
      </c>
      <c r="E168" s="44"/>
      <c r="F168" s="250">
        <f t="shared" ref="F168:AK168" ca="1" si="1679">SUM(F154:F167)</f>
        <v>-2021575.8597919773</v>
      </c>
      <c r="G168" s="250">
        <f t="shared" ca="1" si="1679"/>
        <v>-133075.85979197739</v>
      </c>
      <c r="H168" s="250">
        <f t="shared" ca="1" si="1679"/>
        <v>-133075.85979197739</v>
      </c>
      <c r="I168" s="250">
        <f t="shared" ca="1" si="1679"/>
        <v>-133075.85979197739</v>
      </c>
      <c r="J168" s="250">
        <f t="shared" ca="1" si="1679"/>
        <v>-133075.85979197739</v>
      </c>
      <c r="K168" s="250">
        <f t="shared" ca="1" si="1679"/>
        <v>-133075.85979197739</v>
      </c>
      <c r="L168" s="250">
        <f t="shared" ca="1" si="1679"/>
        <v>-133075.85979197739</v>
      </c>
      <c r="M168" s="250">
        <f t="shared" ca="1" si="1679"/>
        <v>-133075.85979197739</v>
      </c>
      <c r="N168" s="250">
        <f t="shared" ca="1" si="1679"/>
        <v>-133075.85979197739</v>
      </c>
      <c r="O168" s="250">
        <f t="shared" ca="1" si="1679"/>
        <v>-133075.85979197739</v>
      </c>
      <c r="P168" s="250">
        <f t="shared" ca="1" si="1679"/>
        <v>-133075.85979197739</v>
      </c>
      <c r="Q168" s="250">
        <f t="shared" ca="1" si="1679"/>
        <v>-133075.85979197739</v>
      </c>
      <c r="R168" s="250">
        <f t="shared" ca="1" si="1679"/>
        <v>-133075.85979197739</v>
      </c>
      <c r="S168" s="250">
        <f t="shared" ca="1" si="1679"/>
        <v>-133075.85979197739</v>
      </c>
      <c r="T168" s="250">
        <f t="shared" ca="1" si="1679"/>
        <v>-133075.85979197739</v>
      </c>
      <c r="U168" s="250">
        <f t="shared" ca="1" si="1679"/>
        <v>-1109050.8597919773</v>
      </c>
      <c r="V168" s="250">
        <f t="shared" ca="1" si="1679"/>
        <v>-1109050.8597919773</v>
      </c>
      <c r="W168" s="250">
        <f t="shared" ca="1" si="1679"/>
        <v>-1109050.8597919773</v>
      </c>
      <c r="X168" s="250">
        <f t="shared" ca="1" si="1679"/>
        <v>-334243.05899830069</v>
      </c>
      <c r="Y168" s="250">
        <f t="shared" ca="1" si="1679"/>
        <v>0</v>
      </c>
      <c r="Z168" s="250">
        <f t="shared" ca="1" si="1679"/>
        <v>0</v>
      </c>
      <c r="AA168" s="250">
        <f t="shared" ca="1" si="1679"/>
        <v>0</v>
      </c>
      <c r="AB168" s="250">
        <f t="shared" ca="1" si="1679"/>
        <v>0</v>
      </c>
      <c r="AC168" s="250">
        <f t="shared" ca="1" si="1679"/>
        <v>0</v>
      </c>
      <c r="AD168" s="250">
        <f t="shared" ca="1" si="1679"/>
        <v>0</v>
      </c>
      <c r="AE168" s="250">
        <f t="shared" ca="1" si="1679"/>
        <v>0</v>
      </c>
      <c r="AF168" s="250">
        <f t="shared" ca="1" si="1679"/>
        <v>0</v>
      </c>
      <c r="AG168" s="250">
        <f t="shared" ca="1" si="1679"/>
        <v>0</v>
      </c>
      <c r="AH168" s="250">
        <f t="shared" ca="1" si="1679"/>
        <v>0</v>
      </c>
      <c r="AI168" s="250">
        <f t="shared" ca="1" si="1679"/>
        <v>0</v>
      </c>
      <c r="AJ168" s="250">
        <f t="shared" ca="1" si="1679"/>
        <v>0</v>
      </c>
      <c r="AK168" s="250">
        <f t="shared" ca="1" si="1679"/>
        <v>0</v>
      </c>
      <c r="AL168" s="250">
        <f t="shared" ref="AL168:BQ168" ca="1" si="1680">SUM(AL154:AL167)</f>
        <v>0</v>
      </c>
      <c r="AM168" s="250">
        <f t="shared" ca="1" si="1680"/>
        <v>0</v>
      </c>
      <c r="AN168" s="250">
        <f t="shared" ca="1" si="1680"/>
        <v>0</v>
      </c>
      <c r="AO168" s="250">
        <f t="shared" ca="1" si="1680"/>
        <v>0</v>
      </c>
      <c r="AP168" s="250">
        <f t="shared" ca="1" si="1680"/>
        <v>0</v>
      </c>
      <c r="AQ168" s="250">
        <f t="shared" ca="1" si="1680"/>
        <v>0</v>
      </c>
      <c r="AR168" s="250">
        <f t="shared" ca="1" si="1680"/>
        <v>0</v>
      </c>
      <c r="AS168" s="250">
        <f t="shared" ca="1" si="1680"/>
        <v>0</v>
      </c>
      <c r="AT168" s="250">
        <f t="shared" ca="1" si="1680"/>
        <v>0</v>
      </c>
      <c r="AU168" s="250">
        <f t="shared" ca="1" si="1680"/>
        <v>0</v>
      </c>
      <c r="AV168" s="250">
        <f t="shared" ca="1" si="1680"/>
        <v>0</v>
      </c>
      <c r="AW168" s="250">
        <f t="shared" ca="1" si="1680"/>
        <v>0</v>
      </c>
      <c r="AX168" s="250">
        <f t="shared" ca="1" si="1680"/>
        <v>0</v>
      </c>
      <c r="AY168" s="250">
        <f t="shared" ca="1" si="1680"/>
        <v>0</v>
      </c>
      <c r="AZ168" s="250">
        <f t="shared" ca="1" si="1680"/>
        <v>0</v>
      </c>
      <c r="BA168" s="250">
        <f t="shared" ca="1" si="1680"/>
        <v>0</v>
      </c>
      <c r="BB168" s="250">
        <f t="shared" ca="1" si="1680"/>
        <v>0</v>
      </c>
      <c r="BC168" s="250">
        <f t="shared" ca="1" si="1680"/>
        <v>0</v>
      </c>
      <c r="BD168" s="250">
        <f t="shared" ca="1" si="1680"/>
        <v>0</v>
      </c>
      <c r="BE168" s="250">
        <f t="shared" ca="1" si="1680"/>
        <v>0</v>
      </c>
      <c r="BF168" s="250">
        <f t="shared" ca="1" si="1680"/>
        <v>0</v>
      </c>
      <c r="BG168" s="250">
        <f t="shared" ca="1" si="1680"/>
        <v>0</v>
      </c>
      <c r="BH168" s="250">
        <f t="shared" ca="1" si="1680"/>
        <v>0</v>
      </c>
      <c r="BI168" s="250">
        <f t="shared" ca="1" si="1680"/>
        <v>0</v>
      </c>
      <c r="BJ168" s="250">
        <f t="shared" ca="1" si="1680"/>
        <v>0</v>
      </c>
      <c r="BK168" s="250">
        <f t="shared" ca="1" si="1680"/>
        <v>0</v>
      </c>
      <c r="BL168" s="250">
        <f t="shared" ca="1" si="1680"/>
        <v>0</v>
      </c>
      <c r="BM168" s="250">
        <f t="shared" ca="1" si="1680"/>
        <v>0</v>
      </c>
      <c r="BN168" s="250">
        <f t="shared" ca="1" si="1680"/>
        <v>0</v>
      </c>
      <c r="BO168" s="250">
        <f t="shared" ca="1" si="1680"/>
        <v>0</v>
      </c>
      <c r="BP168" s="250">
        <f t="shared" ca="1" si="1680"/>
        <v>0</v>
      </c>
      <c r="BQ168" s="250">
        <f t="shared" ca="1" si="1680"/>
        <v>0</v>
      </c>
      <c r="BR168" s="250">
        <f t="shared" ref="BR168:CW168" ca="1" si="1681">SUM(BR154:BR167)</f>
        <v>0</v>
      </c>
      <c r="BS168" s="250">
        <f t="shared" ca="1" si="1681"/>
        <v>0</v>
      </c>
      <c r="BT168" s="250">
        <f t="shared" ca="1" si="1681"/>
        <v>0</v>
      </c>
      <c r="BU168" s="250">
        <f t="shared" ca="1" si="1681"/>
        <v>0</v>
      </c>
      <c r="BV168" s="250">
        <f t="shared" ca="1" si="1681"/>
        <v>0</v>
      </c>
      <c r="BW168" s="250">
        <f t="shared" ca="1" si="1681"/>
        <v>0</v>
      </c>
      <c r="BX168" s="250">
        <f t="shared" ca="1" si="1681"/>
        <v>0</v>
      </c>
      <c r="BY168" s="250">
        <f t="shared" ca="1" si="1681"/>
        <v>0</v>
      </c>
      <c r="BZ168" s="250">
        <f t="shared" ca="1" si="1681"/>
        <v>1.3510072172794025</v>
      </c>
      <c r="CA168" s="250">
        <f t="shared" ca="1" si="1681"/>
        <v>1.3510072370409034</v>
      </c>
      <c r="CB168" s="250">
        <f t="shared" ca="1" si="1681"/>
        <v>1.351007251010742</v>
      </c>
      <c r="CC168" s="250">
        <f t="shared" ca="1" si="1681"/>
        <v>1.351007258403115</v>
      </c>
      <c r="CD168" s="250">
        <f t="shared" ca="1" si="1681"/>
        <v>1.3510072585195303</v>
      </c>
      <c r="CE168" s="250">
        <f t="shared" ca="1" si="1681"/>
        <v>1.3510072508943267</v>
      </c>
      <c r="CF168" s="250">
        <f t="shared" ca="1" si="1681"/>
        <v>1.3510072345670778</v>
      </c>
      <c r="CG168" s="250">
        <f t="shared" ca="1" si="1681"/>
        <v>1.3510072090430185</v>
      </c>
      <c r="CH168" s="250">
        <f t="shared" ca="1" si="1681"/>
        <v>1.35100717341993</v>
      </c>
      <c r="CI168" s="250">
        <f t="shared" ca="1" si="1681"/>
        <v>1.3510071268246975</v>
      </c>
      <c r="CJ168" s="250">
        <f t="shared" ca="1" si="1681"/>
        <v>1.3510070684133098</v>
      </c>
      <c r="CK168" s="250">
        <f t="shared" ca="1" si="1681"/>
        <v>12538203.956879515</v>
      </c>
      <c r="CL168" s="250">
        <f t="shared" ca="1" si="1681"/>
        <v>0</v>
      </c>
      <c r="CM168" s="250">
        <f t="shared" ca="1" si="1681"/>
        <v>0</v>
      </c>
      <c r="CN168" s="250">
        <f t="shared" ca="1" si="1681"/>
        <v>0</v>
      </c>
      <c r="CO168" s="250">
        <f t="shared" ca="1" si="1681"/>
        <v>0</v>
      </c>
      <c r="CP168" s="250">
        <f t="shared" ca="1" si="1681"/>
        <v>0</v>
      </c>
      <c r="CQ168" s="250">
        <f t="shared" ca="1" si="1681"/>
        <v>0</v>
      </c>
      <c r="CR168" s="250">
        <f t="shared" ca="1" si="1681"/>
        <v>0</v>
      </c>
      <c r="CS168" s="250">
        <f t="shared" ca="1" si="1681"/>
        <v>0</v>
      </c>
      <c r="CT168" s="250">
        <f t="shared" ca="1" si="1681"/>
        <v>0</v>
      </c>
      <c r="CU168" s="250">
        <f t="shared" ca="1" si="1681"/>
        <v>0</v>
      </c>
      <c r="CV168" s="250">
        <f t="shared" ca="1" si="1681"/>
        <v>0</v>
      </c>
      <c r="CW168" s="250">
        <f t="shared" ca="1" si="1681"/>
        <v>0</v>
      </c>
      <c r="CX168" s="250">
        <f t="shared" ref="CX168:EC168" ca="1" si="1682">SUM(CX154:CX167)</f>
        <v>0</v>
      </c>
      <c r="CY168" s="250">
        <f t="shared" ca="1" si="1682"/>
        <v>0</v>
      </c>
      <c r="CZ168" s="250">
        <f t="shared" ca="1" si="1682"/>
        <v>0</v>
      </c>
      <c r="DA168" s="250">
        <f t="shared" ca="1" si="1682"/>
        <v>0</v>
      </c>
      <c r="DB168" s="250">
        <f t="shared" ca="1" si="1682"/>
        <v>0</v>
      </c>
      <c r="DC168" s="250">
        <f t="shared" ca="1" si="1682"/>
        <v>0</v>
      </c>
      <c r="DD168" s="250">
        <f t="shared" ca="1" si="1682"/>
        <v>0</v>
      </c>
      <c r="DE168" s="250">
        <f t="shared" ca="1" si="1682"/>
        <v>0</v>
      </c>
      <c r="DF168" s="250">
        <f t="shared" ca="1" si="1682"/>
        <v>0</v>
      </c>
      <c r="DG168" s="250">
        <f t="shared" ca="1" si="1682"/>
        <v>0</v>
      </c>
      <c r="DH168" s="250">
        <f t="shared" ca="1" si="1682"/>
        <v>0</v>
      </c>
      <c r="DI168" s="250">
        <f t="shared" ca="1" si="1682"/>
        <v>0</v>
      </c>
      <c r="DJ168" s="250">
        <f t="shared" ca="1" si="1682"/>
        <v>0</v>
      </c>
      <c r="DK168" s="250">
        <f t="shared" ca="1" si="1682"/>
        <v>0</v>
      </c>
      <c r="DL168" s="250">
        <f t="shared" ca="1" si="1682"/>
        <v>0</v>
      </c>
      <c r="DM168" s="250">
        <f t="shared" ca="1" si="1682"/>
        <v>0</v>
      </c>
      <c r="DN168" s="250">
        <f t="shared" ca="1" si="1682"/>
        <v>0</v>
      </c>
      <c r="DO168" s="250">
        <f t="shared" ca="1" si="1682"/>
        <v>0</v>
      </c>
      <c r="DP168" s="250">
        <f t="shared" ca="1" si="1682"/>
        <v>0</v>
      </c>
      <c r="DQ168" s="250">
        <f t="shared" ca="1" si="1682"/>
        <v>0</v>
      </c>
      <c r="DR168" s="250">
        <f t="shared" ca="1" si="1682"/>
        <v>0</v>
      </c>
      <c r="DS168" s="250">
        <f t="shared" ca="1" si="1682"/>
        <v>0</v>
      </c>
      <c r="DT168" s="250">
        <f t="shared" ca="1" si="1682"/>
        <v>0</v>
      </c>
      <c r="DU168" s="250">
        <f t="shared" ca="1" si="1682"/>
        <v>0</v>
      </c>
      <c r="DV168" s="250">
        <f t="shared" ca="1" si="1682"/>
        <v>0</v>
      </c>
      <c r="DW168" s="250">
        <f t="shared" ca="1" si="1682"/>
        <v>0</v>
      </c>
      <c r="DX168" s="250">
        <f t="shared" ca="1" si="1682"/>
        <v>0</v>
      </c>
      <c r="DY168" s="250">
        <f t="shared" ca="1" si="1682"/>
        <v>0</v>
      </c>
      <c r="DZ168" s="250">
        <f t="shared" ca="1" si="1682"/>
        <v>0</v>
      </c>
      <c r="EA168" s="250">
        <f t="shared" ca="1" si="1682"/>
        <v>0</v>
      </c>
      <c r="EB168" s="250">
        <f t="shared" ca="1" si="1682"/>
        <v>0</v>
      </c>
      <c r="EC168" s="250">
        <f t="shared" ca="1" si="1682"/>
        <v>0</v>
      </c>
      <c r="ED168" s="250">
        <f t="shared" ref="ED168:ET168" ca="1" si="1683">SUM(ED154:ED167)</f>
        <v>0</v>
      </c>
      <c r="EE168" s="250">
        <f t="shared" ca="1" si="1683"/>
        <v>0</v>
      </c>
      <c r="EF168" s="250">
        <f t="shared" ca="1" si="1683"/>
        <v>0</v>
      </c>
      <c r="EG168" s="250">
        <f t="shared" ca="1" si="1683"/>
        <v>0</v>
      </c>
      <c r="EH168" s="250">
        <f t="shared" ca="1" si="1683"/>
        <v>0</v>
      </c>
      <c r="EI168" s="250">
        <f t="shared" ca="1" si="1683"/>
        <v>0</v>
      </c>
      <c r="EJ168" s="250">
        <f t="shared" ca="1" si="1683"/>
        <v>0</v>
      </c>
      <c r="EK168" s="250">
        <f t="shared" ca="1" si="1683"/>
        <v>0</v>
      </c>
      <c r="EL168" s="250">
        <f t="shared" ca="1" si="1683"/>
        <v>0</v>
      </c>
      <c r="EM168" s="250">
        <f t="shared" ca="1" si="1683"/>
        <v>0</v>
      </c>
      <c r="EN168" s="250">
        <f t="shared" ca="1" si="1683"/>
        <v>0</v>
      </c>
      <c r="EO168" s="250">
        <f t="shared" ca="1" si="1683"/>
        <v>0</v>
      </c>
      <c r="EP168" s="250">
        <f t="shared" ca="1" si="1683"/>
        <v>0</v>
      </c>
      <c r="EQ168" s="250">
        <f t="shared" ca="1" si="1683"/>
        <v>0</v>
      </c>
      <c r="ER168" s="250">
        <f t="shared" ca="1" si="1683"/>
        <v>0</v>
      </c>
      <c r="ES168" s="250">
        <f t="shared" ca="1" si="1683"/>
        <v>0</v>
      </c>
      <c r="ET168" s="250">
        <f t="shared" ca="1" si="1683"/>
        <v>0</v>
      </c>
    </row>
    <row r="169" spans="2:150" x14ac:dyDescent="0.2"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spans="2:150" x14ac:dyDescent="0.2">
      <c r="B170" s="106" t="s">
        <v>213</v>
      </c>
      <c r="C170" s="114"/>
      <c r="D170" s="107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spans="2:150" x14ac:dyDescent="0.2">
      <c r="B171" s="115" t="s">
        <v>193</v>
      </c>
      <c r="C171" s="116"/>
      <c r="D171" s="253">
        <f ca="1">D168</f>
        <v>4992185.2827406693</v>
      </c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spans="2:150" x14ac:dyDescent="0.2">
      <c r="B172" s="115" t="s">
        <v>191</v>
      </c>
      <c r="C172" s="116"/>
      <c r="D172" s="117">
        <f ca="1">(D168-SUM(F154:ET154))/-SUM(F154:ET154)</f>
        <v>1.6615641527986797</v>
      </c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spans="2:150" x14ac:dyDescent="0.2">
      <c r="B173" s="118" t="s">
        <v>192</v>
      </c>
      <c r="C173" s="119"/>
      <c r="D173" s="120">
        <f ca="1">XIRR(F168:ET168,F6:ET6)</f>
        <v>8.6374065279960624E-2</v>
      </c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spans="2:150" x14ac:dyDescent="0.2"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spans="2:150" x14ac:dyDescent="0.2"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spans="2:150" x14ac:dyDescent="0.2">
      <c r="B176" s="102" t="s">
        <v>221</v>
      </c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spans="2:150" x14ac:dyDescent="0.2"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spans="2:150" x14ac:dyDescent="0.2">
      <c r="B178" t="s">
        <v>167</v>
      </c>
      <c r="F178" s="242">
        <f>E182</f>
        <v>0</v>
      </c>
      <c r="G178" s="242">
        <f t="shared" ref="G178:BN178" ca="1" si="1684">F182</f>
        <v>2021575.8597919769</v>
      </c>
      <c r="H178" s="242">
        <f t="shared" ca="1" si="1684"/>
        <v>2168128.8919825652</v>
      </c>
      <c r="I178" s="242">
        <f t="shared" ca="1" si="1684"/>
        <v>2315658.9443877563</v>
      </c>
      <c r="J178" s="242">
        <f t="shared" ca="1" si="1684"/>
        <v>2464172.5304756472</v>
      </c>
      <c r="K178" s="242">
        <f t="shared" ca="1" si="1684"/>
        <v>2613676.2071374557</v>
      </c>
      <c r="L178" s="242">
        <f t="shared" ca="1" si="1684"/>
        <v>2764176.5749770077</v>
      </c>
      <c r="M178" s="242">
        <f t="shared" ca="1" si="1684"/>
        <v>2915680.2786021535</v>
      </c>
      <c r="N178" s="242">
        <f t="shared" ca="1" si="1684"/>
        <v>3068194.0069181304</v>
      </c>
      <c r="O178" s="242">
        <f t="shared" ca="1" si="1684"/>
        <v>3221724.493422877</v>
      </c>
      <c r="P178" s="242">
        <f t="shared" ca="1" si="1684"/>
        <v>3376278.5165043194</v>
      </c>
      <c r="Q178" s="242">
        <f t="shared" ca="1" si="1684"/>
        <v>3531862.8997396338</v>
      </c>
      <c r="R178" s="242">
        <f t="shared" ca="1" si="1684"/>
        <v>3688484.512196512</v>
      </c>
      <c r="S178" s="242">
        <f t="shared" ca="1" si="1684"/>
        <v>3846150.2687364318</v>
      </c>
      <c r="T178" s="242">
        <f t="shared" ca="1" si="1684"/>
        <v>4004867.130319945</v>
      </c>
      <c r="U178" s="242">
        <f t="shared" ca="1" si="1684"/>
        <v>4164642.1043140101</v>
      </c>
      <c r="V178" s="242">
        <f t="shared" ca="1" si="1684"/>
        <v>5301457.244801362</v>
      </c>
      <c r="W178" s="242">
        <f t="shared" ca="1" si="1684"/>
        <v>6445851.1528919563</v>
      </c>
      <c r="X178" s="242">
        <f t="shared" ca="1" si="1684"/>
        <v>7597874.3537031459</v>
      </c>
      <c r="Y178" s="242">
        <f t="shared" ca="1" si="1684"/>
        <v>7982769.9083915502</v>
      </c>
      <c r="Z178" s="242">
        <f t="shared" ca="1" si="1684"/>
        <v>8035988.3744461481</v>
      </c>
      <c r="AA178" s="242">
        <f t="shared" ca="1" si="1684"/>
        <v>8089561.630274347</v>
      </c>
      <c r="AB178" s="242">
        <f t="shared" ca="1" si="1684"/>
        <v>8143492.0411413014</v>
      </c>
      <c r="AC178" s="242">
        <f t="shared" ca="1" si="1684"/>
        <v>8197781.988080604</v>
      </c>
      <c r="AD178" s="242">
        <f t="shared" ca="1" si="1684"/>
        <v>8252433.8679993935</v>
      </c>
      <c r="AE178" s="242">
        <f t="shared" ca="1" si="1684"/>
        <v>8307450.0937842075</v>
      </c>
      <c r="AF178" s="242">
        <f t="shared" ca="1" si="1684"/>
        <v>8362833.094407483</v>
      </c>
      <c r="AG178" s="242">
        <f t="shared" ca="1" si="1684"/>
        <v>8418585.315034803</v>
      </c>
      <c r="AH178" s="242">
        <f t="shared" ca="1" si="1684"/>
        <v>8474709.2171328682</v>
      </c>
      <c r="AI178" s="242">
        <f t="shared" ca="1" si="1684"/>
        <v>8531207.2785781492</v>
      </c>
      <c r="AJ178" s="242">
        <f t="shared" ca="1" si="1684"/>
        <v>8588081.9937662929</v>
      </c>
      <c r="AK178" s="242">
        <f t="shared" ca="1" si="1684"/>
        <v>8645335.8737222478</v>
      </c>
      <c r="AL178" s="242">
        <f t="shared" ca="1" si="1684"/>
        <v>8702971.4462111499</v>
      </c>
      <c r="AM178" s="242">
        <f t="shared" ca="1" si="1684"/>
        <v>8760991.2558498718</v>
      </c>
      <c r="AN178" s="242">
        <f t="shared" ca="1" si="1684"/>
        <v>8819397.8642194252</v>
      </c>
      <c r="AO178" s="242">
        <f t="shared" ca="1" si="1684"/>
        <v>8878193.849978026</v>
      </c>
      <c r="AP178" s="242">
        <f t="shared" ca="1" si="1684"/>
        <v>8937381.8089749254</v>
      </c>
      <c r="AQ178" s="242">
        <f t="shared" ca="1" si="1684"/>
        <v>8996964.3543650638</v>
      </c>
      <c r="AR178" s="242">
        <f t="shared" ca="1" si="1684"/>
        <v>9056944.1167244017</v>
      </c>
      <c r="AS178" s="242">
        <f t="shared" ca="1" si="1684"/>
        <v>9117323.7441660836</v>
      </c>
      <c r="AT178" s="242">
        <f t="shared" ca="1" si="1684"/>
        <v>9178105.9024573229</v>
      </c>
      <c r="AU178" s="242">
        <f t="shared" ca="1" si="1684"/>
        <v>9239293.2751371339</v>
      </c>
      <c r="AV178" s="242">
        <f t="shared" ca="1" si="1684"/>
        <v>9300888.5636347942</v>
      </c>
      <c r="AW178" s="242">
        <f t="shared" ca="1" si="1684"/>
        <v>9362894.4873890951</v>
      </c>
      <c r="AX178" s="242">
        <f t="shared" ca="1" si="1684"/>
        <v>9425313.7839684412</v>
      </c>
      <c r="AY178" s="242">
        <f t="shared" ca="1" si="1684"/>
        <v>9488149.2091916818</v>
      </c>
      <c r="AZ178" s="242">
        <f t="shared" ca="1" si="1684"/>
        <v>9551403.537249798</v>
      </c>
      <c r="BA178" s="242">
        <f t="shared" ca="1" si="1684"/>
        <v>9615079.5608283672</v>
      </c>
      <c r="BB178" s="242">
        <f t="shared" ca="1" si="1684"/>
        <v>9679180.0912309028</v>
      </c>
      <c r="BC178" s="242">
        <f t="shared" ca="1" si="1684"/>
        <v>9743707.9585029185</v>
      </c>
      <c r="BD178" s="242">
        <f t="shared" ca="1" si="1684"/>
        <v>9808666.0115569104</v>
      </c>
      <c r="BE178" s="242">
        <f t="shared" ca="1" si="1684"/>
        <v>9874057.1182981227</v>
      </c>
      <c r="BF178" s="242">
        <f t="shared" ca="1" si="1684"/>
        <v>9939884.1657511555</v>
      </c>
      <c r="BG178" s="242">
        <f t="shared" ca="1" si="1684"/>
        <v>10006150.060187491</v>
      </c>
      <c r="BH178" s="242">
        <f t="shared" ca="1" si="1684"/>
        <v>10072857.727253698</v>
      </c>
      <c r="BI178" s="242">
        <f t="shared" ca="1" si="1684"/>
        <v>10140010.112100694</v>
      </c>
      <c r="BJ178" s="242">
        <f t="shared" ca="1" si="1684"/>
        <v>10207610.179513743</v>
      </c>
      <c r="BK178" s="242">
        <f t="shared" ca="1" si="1684"/>
        <v>10275660.914043307</v>
      </c>
      <c r="BL178" s="242">
        <f t="shared" ca="1" si="1684"/>
        <v>10344165.320136907</v>
      </c>
      <c r="BM178" s="242">
        <f t="shared" ca="1" si="1684"/>
        <v>10413126.422271665</v>
      </c>
      <c r="BN178" s="242">
        <f t="shared" ca="1" si="1684"/>
        <v>10482547.26508794</v>
      </c>
      <c r="BO178" s="242">
        <f t="shared" ref="BO178:BZ178" ca="1" si="1685">BN182</f>
        <v>10552430.913523665</v>
      </c>
      <c r="BP178" s="242">
        <f t="shared" ca="1" si="1685"/>
        <v>10622780.452949671</v>
      </c>
      <c r="BQ178" s="242">
        <f t="shared" ca="1" si="1685"/>
        <v>10693598.989306008</v>
      </c>
      <c r="BR178" s="242">
        <f t="shared" ca="1" si="1685"/>
        <v>10764889.649238927</v>
      </c>
      <c r="BS178" s="242">
        <f t="shared" ca="1" si="1685"/>
        <v>10836655.580238983</v>
      </c>
      <c r="BT178" s="242">
        <f t="shared" ca="1" si="1685"/>
        <v>10908899.950780073</v>
      </c>
      <c r="BU178" s="242">
        <f t="shared" ca="1" si="1685"/>
        <v>10981625.950459205</v>
      </c>
      <c r="BV178" s="242">
        <f t="shared" ca="1" si="1685"/>
        <v>11054836.790137382</v>
      </c>
      <c r="BW178" s="242">
        <f t="shared" ca="1" si="1685"/>
        <v>11128535.702081325</v>
      </c>
      <c r="BX178" s="242">
        <f t="shared" ca="1" si="1685"/>
        <v>11202725.940106276</v>
      </c>
      <c r="BY178" s="242">
        <f t="shared" ca="1" si="1685"/>
        <v>11277410.779719479</v>
      </c>
      <c r="BZ178" s="242">
        <f t="shared" ca="1" si="1685"/>
        <v>11352593.518264974</v>
      </c>
      <c r="CA178" s="242">
        <f t="shared" ref="CA178" ca="1" si="1686">BZ182</f>
        <v>11428276.124061823</v>
      </c>
      <c r="CB178" s="242">
        <f t="shared" ref="CB178" ca="1" si="1687">CA182</f>
        <v>11504463.280565681</v>
      </c>
      <c r="CC178" s="242">
        <f t="shared" ref="CC178" ca="1" si="1688">CB182</f>
        <v>11581158.351448033</v>
      </c>
      <c r="CD178" s="242">
        <f t="shared" ref="CD178" ca="1" si="1689">CC182</f>
        <v>11658364.722804861</v>
      </c>
      <c r="CE178" s="242">
        <f t="shared" ref="CE178" ca="1" si="1690">CD182</f>
        <v>11736085.803306112</v>
      </c>
      <c r="CF178" s="242">
        <f t="shared" ref="CF178" ca="1" si="1691">CE182</f>
        <v>11814325.024346178</v>
      </c>
      <c r="CG178" s="242">
        <f t="shared" ref="CG178" ca="1" si="1692">CF182</f>
        <v>11893085.840195509</v>
      </c>
      <c r="CH178" s="242">
        <f t="shared" ref="CH178" ca="1" si="1693">CG182</f>
        <v>11972371.72815289</v>
      </c>
      <c r="CI178" s="242">
        <f t="shared" ref="CI178" ca="1" si="1694">CH182</f>
        <v>12052186.18869921</v>
      </c>
      <c r="CJ178" s="242">
        <f t="shared" ref="CJ178" ca="1" si="1695">CI182</f>
        <v>12132532.74565185</v>
      </c>
      <c r="CK178" s="242">
        <f t="shared" ref="CK178" ca="1" si="1696">CJ182</f>
        <v>12213414.946317283</v>
      </c>
      <c r="CL178" s="242">
        <f t="shared" ref="CL178" ca="1" si="1697">CK182</f>
        <v>0</v>
      </c>
      <c r="CM178" s="242">
        <f t="shared" ref="CM178" ca="1" si="1698">CL182</f>
        <v>0</v>
      </c>
      <c r="CN178" s="242">
        <f t="shared" ref="CN178" ca="1" si="1699">CM182</f>
        <v>0</v>
      </c>
      <c r="CO178" s="242">
        <f t="shared" ref="CO178" ca="1" si="1700">CN182</f>
        <v>0</v>
      </c>
      <c r="CP178" s="242">
        <f t="shared" ref="CP178" ca="1" si="1701">CO182</f>
        <v>0</v>
      </c>
      <c r="CQ178" s="242">
        <f t="shared" ref="CQ178" ca="1" si="1702">CP182</f>
        <v>0</v>
      </c>
      <c r="CR178" s="242">
        <f t="shared" ref="CR178" ca="1" si="1703">CQ182</f>
        <v>0</v>
      </c>
      <c r="CS178" s="242">
        <f t="shared" ref="CS178" ca="1" si="1704">CR182</f>
        <v>0</v>
      </c>
      <c r="CT178" s="242">
        <f t="shared" ref="CT178" ca="1" si="1705">CS182</f>
        <v>0</v>
      </c>
      <c r="CU178" s="242">
        <f t="shared" ref="CU178" ca="1" si="1706">CT182</f>
        <v>0</v>
      </c>
      <c r="CV178" s="242">
        <f t="shared" ref="CV178" ca="1" si="1707">CU182</f>
        <v>0</v>
      </c>
      <c r="CW178" s="242">
        <f t="shared" ref="CW178" ca="1" si="1708">CV182</f>
        <v>0</v>
      </c>
      <c r="CX178" s="242">
        <f t="shared" ref="CX178" ca="1" si="1709">CW182</f>
        <v>0</v>
      </c>
      <c r="CY178" s="242">
        <f t="shared" ref="CY178" ca="1" si="1710">CX182</f>
        <v>0</v>
      </c>
      <c r="CZ178" s="242">
        <f t="shared" ref="CZ178" ca="1" si="1711">CY182</f>
        <v>0</v>
      </c>
      <c r="DA178" s="242">
        <f t="shared" ref="DA178" ca="1" si="1712">CZ182</f>
        <v>0</v>
      </c>
      <c r="DB178" s="242">
        <f t="shared" ref="DB178" ca="1" si="1713">DA182</f>
        <v>0</v>
      </c>
      <c r="DC178" s="242">
        <f t="shared" ref="DC178" ca="1" si="1714">DB182</f>
        <v>0</v>
      </c>
      <c r="DD178" s="242">
        <f t="shared" ref="DD178" ca="1" si="1715">DC182</f>
        <v>0</v>
      </c>
      <c r="DE178" s="242">
        <f t="shared" ref="DE178" ca="1" si="1716">DD182</f>
        <v>0</v>
      </c>
      <c r="DF178" s="242">
        <f t="shared" ref="DF178" ca="1" si="1717">DE182</f>
        <v>0</v>
      </c>
      <c r="DG178" s="242">
        <f t="shared" ref="DG178" ca="1" si="1718">DF182</f>
        <v>0</v>
      </c>
      <c r="DH178" s="242">
        <f t="shared" ref="DH178" ca="1" si="1719">DG182</f>
        <v>0</v>
      </c>
      <c r="DI178" s="242">
        <f t="shared" ref="DI178" ca="1" si="1720">DH182</f>
        <v>0</v>
      </c>
      <c r="DJ178" s="242">
        <f t="shared" ref="DJ178" ca="1" si="1721">DI182</f>
        <v>0</v>
      </c>
      <c r="DK178" s="242">
        <f t="shared" ref="DK178" ca="1" si="1722">DJ182</f>
        <v>0</v>
      </c>
      <c r="DL178" s="242">
        <f t="shared" ref="DL178" ca="1" si="1723">DK182</f>
        <v>0</v>
      </c>
      <c r="DM178" s="242">
        <f t="shared" ref="DM178" ca="1" si="1724">DL182</f>
        <v>0</v>
      </c>
      <c r="DN178" s="242">
        <f t="shared" ref="DN178" ca="1" si="1725">DM182</f>
        <v>0</v>
      </c>
      <c r="DO178" s="242">
        <f t="shared" ref="DO178" ca="1" si="1726">DN182</f>
        <v>0</v>
      </c>
      <c r="DP178" s="242">
        <f t="shared" ref="DP178" ca="1" si="1727">DO182</f>
        <v>0</v>
      </c>
      <c r="DQ178" s="242">
        <f t="shared" ref="DQ178" ca="1" si="1728">DP182</f>
        <v>0</v>
      </c>
      <c r="DR178" s="242">
        <f t="shared" ref="DR178" ca="1" si="1729">DQ182</f>
        <v>0</v>
      </c>
      <c r="DS178" s="242">
        <f t="shared" ref="DS178" ca="1" si="1730">DR182</f>
        <v>0</v>
      </c>
      <c r="DT178" s="242">
        <f t="shared" ref="DT178" ca="1" si="1731">DS182</f>
        <v>0</v>
      </c>
      <c r="DU178" s="242">
        <f t="shared" ref="DU178" ca="1" si="1732">DT182</f>
        <v>0</v>
      </c>
      <c r="DV178" s="242">
        <f t="shared" ref="DV178" ca="1" si="1733">DU182</f>
        <v>0</v>
      </c>
      <c r="DW178" s="242">
        <f t="shared" ref="DW178" ca="1" si="1734">DV182</f>
        <v>0</v>
      </c>
      <c r="DX178" s="242">
        <f t="shared" ref="DX178" ca="1" si="1735">DW182</f>
        <v>0</v>
      </c>
      <c r="DY178" s="242">
        <f t="shared" ref="DY178" ca="1" si="1736">DX182</f>
        <v>0</v>
      </c>
      <c r="DZ178" s="242">
        <f t="shared" ref="DZ178" ca="1" si="1737">DY182</f>
        <v>0</v>
      </c>
      <c r="EA178" s="242">
        <f t="shared" ref="EA178" ca="1" si="1738">DZ182</f>
        <v>0</v>
      </c>
      <c r="EB178" s="242">
        <f t="shared" ref="EB178" ca="1" si="1739">EA182</f>
        <v>0</v>
      </c>
      <c r="EC178" s="242">
        <f t="shared" ref="EC178" ca="1" si="1740">EB182</f>
        <v>0</v>
      </c>
      <c r="ED178" s="242">
        <f t="shared" ref="ED178" ca="1" si="1741">EC182</f>
        <v>0</v>
      </c>
      <c r="EE178" s="242">
        <f t="shared" ref="EE178" ca="1" si="1742">ED182</f>
        <v>0</v>
      </c>
      <c r="EF178" s="242">
        <f t="shared" ref="EF178" ca="1" si="1743">EE182</f>
        <v>0</v>
      </c>
      <c r="EG178" s="242">
        <f t="shared" ref="EG178" ca="1" si="1744">EF182</f>
        <v>0</v>
      </c>
      <c r="EH178" s="242">
        <f t="shared" ref="EH178" ca="1" si="1745">EG182</f>
        <v>0</v>
      </c>
      <c r="EI178" s="242">
        <f t="shared" ref="EI178" ca="1" si="1746">EH182</f>
        <v>0</v>
      </c>
      <c r="EJ178" s="242">
        <f t="shared" ref="EJ178" ca="1" si="1747">EI182</f>
        <v>0</v>
      </c>
      <c r="EK178" s="242">
        <f t="shared" ref="EK178" ca="1" si="1748">EJ182</f>
        <v>0</v>
      </c>
      <c r="EL178" s="242">
        <f t="shared" ref="EL178" ca="1" si="1749">EK182</f>
        <v>0</v>
      </c>
      <c r="EM178" s="242">
        <f t="shared" ref="EM178" ca="1" si="1750">EL182</f>
        <v>0</v>
      </c>
      <c r="EN178" s="242">
        <f t="shared" ref="EN178" ca="1" si="1751">EM182</f>
        <v>0</v>
      </c>
      <c r="EO178" s="242">
        <f t="shared" ref="EO178" ca="1" si="1752">EN182</f>
        <v>0</v>
      </c>
      <c r="EP178" s="242">
        <f t="shared" ref="EP178" ca="1" si="1753">EO182</f>
        <v>0</v>
      </c>
      <c r="EQ178" s="242">
        <f t="shared" ref="EQ178" ca="1" si="1754">EP182</f>
        <v>0</v>
      </c>
      <c r="ER178" s="242">
        <f t="shared" ref="ER178" ca="1" si="1755">EQ182</f>
        <v>0</v>
      </c>
      <c r="ES178" s="242">
        <f t="shared" ref="ES178" ca="1" si="1756">ER182</f>
        <v>0</v>
      </c>
      <c r="ET178" s="242">
        <f t="shared" ref="ET178" ca="1" si="1757">ES182</f>
        <v>0</v>
      </c>
    </row>
    <row r="179" spans="2:150" x14ac:dyDescent="0.2">
      <c r="B179" t="s">
        <v>220</v>
      </c>
      <c r="F179" s="242">
        <f ca="1">IF(F168&lt;0,-F168,0)</f>
        <v>2021575.8597919773</v>
      </c>
      <c r="G179" s="242">
        <f t="shared" ref="G179:BN179" ca="1" si="1758">IF(G168&lt;0,-G168,0)</f>
        <v>133075.85979197739</v>
      </c>
      <c r="H179" s="242">
        <f t="shared" ca="1" si="1758"/>
        <v>133075.85979197739</v>
      </c>
      <c r="I179" s="242">
        <f t="shared" ca="1" si="1758"/>
        <v>133075.85979197739</v>
      </c>
      <c r="J179" s="242">
        <f t="shared" ca="1" si="1758"/>
        <v>133075.85979197739</v>
      </c>
      <c r="K179" s="242">
        <f t="shared" ca="1" si="1758"/>
        <v>133075.85979197739</v>
      </c>
      <c r="L179" s="242">
        <f t="shared" ca="1" si="1758"/>
        <v>133075.85979197739</v>
      </c>
      <c r="M179" s="242">
        <f t="shared" ca="1" si="1758"/>
        <v>133075.85979197739</v>
      </c>
      <c r="N179" s="242">
        <f t="shared" ca="1" si="1758"/>
        <v>133075.85979197739</v>
      </c>
      <c r="O179" s="242">
        <f t="shared" ca="1" si="1758"/>
        <v>133075.85979197739</v>
      </c>
      <c r="P179" s="242">
        <f t="shared" ca="1" si="1758"/>
        <v>133075.85979197739</v>
      </c>
      <c r="Q179" s="242">
        <f t="shared" ca="1" si="1758"/>
        <v>133075.85979197739</v>
      </c>
      <c r="R179" s="242">
        <f t="shared" ca="1" si="1758"/>
        <v>133075.85979197739</v>
      </c>
      <c r="S179" s="242">
        <f t="shared" ca="1" si="1758"/>
        <v>133075.85979197739</v>
      </c>
      <c r="T179" s="242">
        <f t="shared" ca="1" si="1758"/>
        <v>133075.85979197739</v>
      </c>
      <c r="U179" s="242">
        <f t="shared" ca="1" si="1758"/>
        <v>1109050.8597919773</v>
      </c>
      <c r="V179" s="242">
        <f t="shared" ca="1" si="1758"/>
        <v>1109050.8597919773</v>
      </c>
      <c r="W179" s="242">
        <f t="shared" ca="1" si="1758"/>
        <v>1109050.8597919773</v>
      </c>
      <c r="X179" s="242">
        <f t="shared" ca="1" si="1758"/>
        <v>334243.05899830069</v>
      </c>
      <c r="Y179" s="242">
        <f t="shared" ca="1" si="1758"/>
        <v>0</v>
      </c>
      <c r="Z179" s="242">
        <f t="shared" ca="1" si="1758"/>
        <v>0</v>
      </c>
      <c r="AA179" s="242">
        <f t="shared" ca="1" si="1758"/>
        <v>0</v>
      </c>
      <c r="AB179" s="242">
        <f t="shared" ca="1" si="1758"/>
        <v>0</v>
      </c>
      <c r="AC179" s="242">
        <f t="shared" ca="1" si="1758"/>
        <v>0</v>
      </c>
      <c r="AD179" s="242">
        <f t="shared" ca="1" si="1758"/>
        <v>0</v>
      </c>
      <c r="AE179" s="242">
        <f t="shared" ca="1" si="1758"/>
        <v>0</v>
      </c>
      <c r="AF179" s="242">
        <f t="shared" ca="1" si="1758"/>
        <v>0</v>
      </c>
      <c r="AG179" s="242">
        <f t="shared" ca="1" si="1758"/>
        <v>0</v>
      </c>
      <c r="AH179" s="242">
        <f t="shared" ca="1" si="1758"/>
        <v>0</v>
      </c>
      <c r="AI179" s="242">
        <f t="shared" ca="1" si="1758"/>
        <v>0</v>
      </c>
      <c r="AJ179" s="242">
        <f t="shared" ca="1" si="1758"/>
        <v>0</v>
      </c>
      <c r="AK179" s="242">
        <f t="shared" ca="1" si="1758"/>
        <v>0</v>
      </c>
      <c r="AL179" s="242">
        <f t="shared" ca="1" si="1758"/>
        <v>0</v>
      </c>
      <c r="AM179" s="242">
        <f t="shared" ca="1" si="1758"/>
        <v>0</v>
      </c>
      <c r="AN179" s="242">
        <f t="shared" ca="1" si="1758"/>
        <v>0</v>
      </c>
      <c r="AO179" s="242">
        <f t="shared" ca="1" si="1758"/>
        <v>0</v>
      </c>
      <c r="AP179" s="242">
        <f t="shared" ca="1" si="1758"/>
        <v>0</v>
      </c>
      <c r="AQ179" s="242">
        <f t="shared" ca="1" si="1758"/>
        <v>0</v>
      </c>
      <c r="AR179" s="242">
        <f t="shared" ca="1" si="1758"/>
        <v>0</v>
      </c>
      <c r="AS179" s="242">
        <f t="shared" ca="1" si="1758"/>
        <v>0</v>
      </c>
      <c r="AT179" s="242">
        <f t="shared" ca="1" si="1758"/>
        <v>0</v>
      </c>
      <c r="AU179" s="242">
        <f t="shared" ca="1" si="1758"/>
        <v>0</v>
      </c>
      <c r="AV179" s="242">
        <f t="shared" ca="1" si="1758"/>
        <v>0</v>
      </c>
      <c r="AW179" s="242">
        <f t="shared" ca="1" si="1758"/>
        <v>0</v>
      </c>
      <c r="AX179" s="242">
        <f t="shared" ca="1" si="1758"/>
        <v>0</v>
      </c>
      <c r="AY179" s="242">
        <f t="shared" ca="1" si="1758"/>
        <v>0</v>
      </c>
      <c r="AZ179" s="242">
        <f t="shared" ca="1" si="1758"/>
        <v>0</v>
      </c>
      <c r="BA179" s="242">
        <f t="shared" ca="1" si="1758"/>
        <v>0</v>
      </c>
      <c r="BB179" s="242">
        <f t="shared" ca="1" si="1758"/>
        <v>0</v>
      </c>
      <c r="BC179" s="242">
        <f t="shared" ca="1" si="1758"/>
        <v>0</v>
      </c>
      <c r="BD179" s="242">
        <f t="shared" ca="1" si="1758"/>
        <v>0</v>
      </c>
      <c r="BE179" s="242">
        <f t="shared" ca="1" si="1758"/>
        <v>0</v>
      </c>
      <c r="BF179" s="242">
        <f t="shared" ca="1" si="1758"/>
        <v>0</v>
      </c>
      <c r="BG179" s="242">
        <f t="shared" ca="1" si="1758"/>
        <v>0</v>
      </c>
      <c r="BH179" s="242">
        <f t="shared" ca="1" si="1758"/>
        <v>0</v>
      </c>
      <c r="BI179" s="242">
        <f t="shared" ca="1" si="1758"/>
        <v>0</v>
      </c>
      <c r="BJ179" s="242">
        <f t="shared" ca="1" si="1758"/>
        <v>0</v>
      </c>
      <c r="BK179" s="242">
        <f t="shared" ca="1" si="1758"/>
        <v>0</v>
      </c>
      <c r="BL179" s="242">
        <f t="shared" ca="1" si="1758"/>
        <v>0</v>
      </c>
      <c r="BM179" s="242">
        <f t="shared" ca="1" si="1758"/>
        <v>0</v>
      </c>
      <c r="BN179" s="242">
        <f t="shared" ca="1" si="1758"/>
        <v>0</v>
      </c>
      <c r="BO179" s="242">
        <f t="shared" ref="BO179:BZ179" ca="1" si="1759">IF(BO168&lt;0,-BO168,0)</f>
        <v>0</v>
      </c>
      <c r="BP179" s="242">
        <f t="shared" ca="1" si="1759"/>
        <v>0</v>
      </c>
      <c r="BQ179" s="242">
        <f t="shared" ca="1" si="1759"/>
        <v>0</v>
      </c>
      <c r="BR179" s="242">
        <f t="shared" ca="1" si="1759"/>
        <v>0</v>
      </c>
      <c r="BS179" s="242">
        <f t="shared" ca="1" si="1759"/>
        <v>0</v>
      </c>
      <c r="BT179" s="242">
        <f t="shared" ca="1" si="1759"/>
        <v>0</v>
      </c>
      <c r="BU179" s="242">
        <f t="shared" ca="1" si="1759"/>
        <v>0</v>
      </c>
      <c r="BV179" s="242">
        <f t="shared" ca="1" si="1759"/>
        <v>0</v>
      </c>
      <c r="BW179" s="242">
        <f t="shared" ca="1" si="1759"/>
        <v>0</v>
      </c>
      <c r="BX179" s="242">
        <f t="shared" ca="1" si="1759"/>
        <v>0</v>
      </c>
      <c r="BY179" s="242">
        <f t="shared" ca="1" si="1759"/>
        <v>0</v>
      </c>
      <c r="BZ179" s="242">
        <f t="shared" ca="1" si="1759"/>
        <v>0</v>
      </c>
      <c r="CA179" s="242">
        <f t="shared" ref="CA179:EL179" ca="1" si="1760">IF(CA168&lt;0,-CA168,0)</f>
        <v>0</v>
      </c>
      <c r="CB179" s="242">
        <f t="shared" ca="1" si="1760"/>
        <v>0</v>
      </c>
      <c r="CC179" s="242">
        <f t="shared" ca="1" si="1760"/>
        <v>0</v>
      </c>
      <c r="CD179" s="242">
        <f t="shared" ca="1" si="1760"/>
        <v>0</v>
      </c>
      <c r="CE179" s="242">
        <f t="shared" ca="1" si="1760"/>
        <v>0</v>
      </c>
      <c r="CF179" s="242">
        <f t="shared" ca="1" si="1760"/>
        <v>0</v>
      </c>
      <c r="CG179" s="242">
        <f t="shared" ca="1" si="1760"/>
        <v>0</v>
      </c>
      <c r="CH179" s="242">
        <f t="shared" ca="1" si="1760"/>
        <v>0</v>
      </c>
      <c r="CI179" s="242">
        <f t="shared" ca="1" si="1760"/>
        <v>0</v>
      </c>
      <c r="CJ179" s="242">
        <f t="shared" ca="1" si="1760"/>
        <v>0</v>
      </c>
      <c r="CK179" s="242">
        <f t="shared" ca="1" si="1760"/>
        <v>0</v>
      </c>
      <c r="CL179" s="242">
        <f t="shared" ca="1" si="1760"/>
        <v>0</v>
      </c>
      <c r="CM179" s="242">
        <f t="shared" ca="1" si="1760"/>
        <v>0</v>
      </c>
      <c r="CN179" s="242">
        <f t="shared" ca="1" si="1760"/>
        <v>0</v>
      </c>
      <c r="CO179" s="242">
        <f t="shared" ca="1" si="1760"/>
        <v>0</v>
      </c>
      <c r="CP179" s="242">
        <f t="shared" ca="1" si="1760"/>
        <v>0</v>
      </c>
      <c r="CQ179" s="242">
        <f t="shared" ca="1" si="1760"/>
        <v>0</v>
      </c>
      <c r="CR179" s="242">
        <f t="shared" ca="1" si="1760"/>
        <v>0</v>
      </c>
      <c r="CS179" s="242">
        <f t="shared" ca="1" si="1760"/>
        <v>0</v>
      </c>
      <c r="CT179" s="242">
        <f t="shared" ca="1" si="1760"/>
        <v>0</v>
      </c>
      <c r="CU179" s="242">
        <f t="shared" ca="1" si="1760"/>
        <v>0</v>
      </c>
      <c r="CV179" s="242">
        <f t="shared" ca="1" si="1760"/>
        <v>0</v>
      </c>
      <c r="CW179" s="242">
        <f t="shared" ca="1" si="1760"/>
        <v>0</v>
      </c>
      <c r="CX179" s="242">
        <f t="shared" ca="1" si="1760"/>
        <v>0</v>
      </c>
      <c r="CY179" s="242">
        <f t="shared" ca="1" si="1760"/>
        <v>0</v>
      </c>
      <c r="CZ179" s="242">
        <f t="shared" ca="1" si="1760"/>
        <v>0</v>
      </c>
      <c r="DA179" s="242">
        <f t="shared" ca="1" si="1760"/>
        <v>0</v>
      </c>
      <c r="DB179" s="242">
        <f t="shared" ca="1" si="1760"/>
        <v>0</v>
      </c>
      <c r="DC179" s="242">
        <f t="shared" ca="1" si="1760"/>
        <v>0</v>
      </c>
      <c r="DD179" s="242">
        <f t="shared" ca="1" si="1760"/>
        <v>0</v>
      </c>
      <c r="DE179" s="242">
        <f t="shared" ca="1" si="1760"/>
        <v>0</v>
      </c>
      <c r="DF179" s="242">
        <f t="shared" ca="1" si="1760"/>
        <v>0</v>
      </c>
      <c r="DG179" s="242">
        <f t="shared" ca="1" si="1760"/>
        <v>0</v>
      </c>
      <c r="DH179" s="242">
        <f t="shared" ca="1" si="1760"/>
        <v>0</v>
      </c>
      <c r="DI179" s="242">
        <f t="shared" ca="1" si="1760"/>
        <v>0</v>
      </c>
      <c r="DJ179" s="242">
        <f t="shared" ca="1" si="1760"/>
        <v>0</v>
      </c>
      <c r="DK179" s="242">
        <f t="shared" ca="1" si="1760"/>
        <v>0</v>
      </c>
      <c r="DL179" s="242">
        <f t="shared" ca="1" si="1760"/>
        <v>0</v>
      </c>
      <c r="DM179" s="242">
        <f t="shared" ca="1" si="1760"/>
        <v>0</v>
      </c>
      <c r="DN179" s="242">
        <f t="shared" ca="1" si="1760"/>
        <v>0</v>
      </c>
      <c r="DO179" s="242">
        <f t="shared" ca="1" si="1760"/>
        <v>0</v>
      </c>
      <c r="DP179" s="242">
        <f t="shared" ca="1" si="1760"/>
        <v>0</v>
      </c>
      <c r="DQ179" s="242">
        <f t="shared" ca="1" si="1760"/>
        <v>0</v>
      </c>
      <c r="DR179" s="242">
        <f t="shared" ca="1" si="1760"/>
        <v>0</v>
      </c>
      <c r="DS179" s="242">
        <f t="shared" ca="1" si="1760"/>
        <v>0</v>
      </c>
      <c r="DT179" s="242">
        <f t="shared" ca="1" si="1760"/>
        <v>0</v>
      </c>
      <c r="DU179" s="242">
        <f t="shared" ca="1" si="1760"/>
        <v>0</v>
      </c>
      <c r="DV179" s="242">
        <f t="shared" ca="1" si="1760"/>
        <v>0</v>
      </c>
      <c r="DW179" s="242">
        <f t="shared" ca="1" si="1760"/>
        <v>0</v>
      </c>
      <c r="DX179" s="242">
        <f t="shared" ca="1" si="1760"/>
        <v>0</v>
      </c>
      <c r="DY179" s="242">
        <f t="shared" ca="1" si="1760"/>
        <v>0</v>
      </c>
      <c r="DZ179" s="242">
        <f t="shared" ca="1" si="1760"/>
        <v>0</v>
      </c>
      <c r="EA179" s="242">
        <f t="shared" ca="1" si="1760"/>
        <v>0</v>
      </c>
      <c r="EB179" s="242">
        <f t="shared" ca="1" si="1760"/>
        <v>0</v>
      </c>
      <c r="EC179" s="242">
        <f t="shared" ca="1" si="1760"/>
        <v>0</v>
      </c>
      <c r="ED179" s="242">
        <f t="shared" ca="1" si="1760"/>
        <v>0</v>
      </c>
      <c r="EE179" s="242">
        <f t="shared" ca="1" si="1760"/>
        <v>0</v>
      </c>
      <c r="EF179" s="242">
        <f t="shared" ca="1" si="1760"/>
        <v>0</v>
      </c>
      <c r="EG179" s="242">
        <f t="shared" ca="1" si="1760"/>
        <v>0</v>
      </c>
      <c r="EH179" s="242">
        <f t="shared" ca="1" si="1760"/>
        <v>0</v>
      </c>
      <c r="EI179" s="242">
        <f t="shared" ca="1" si="1760"/>
        <v>0</v>
      </c>
      <c r="EJ179" s="242">
        <f t="shared" ca="1" si="1760"/>
        <v>0</v>
      </c>
      <c r="EK179" s="242">
        <f t="shared" ca="1" si="1760"/>
        <v>0</v>
      </c>
      <c r="EL179" s="242">
        <f t="shared" ca="1" si="1760"/>
        <v>0</v>
      </c>
      <c r="EM179" s="242">
        <f t="shared" ref="EM179:ET179" ca="1" si="1761">IF(EM168&lt;0,-EM168,0)</f>
        <v>0</v>
      </c>
      <c r="EN179" s="242">
        <f t="shared" ca="1" si="1761"/>
        <v>0</v>
      </c>
      <c r="EO179" s="242">
        <f t="shared" ca="1" si="1761"/>
        <v>0</v>
      </c>
      <c r="EP179" s="242">
        <f t="shared" ca="1" si="1761"/>
        <v>0</v>
      </c>
      <c r="EQ179" s="242">
        <f t="shared" ca="1" si="1761"/>
        <v>0</v>
      </c>
      <c r="ER179" s="242">
        <f t="shared" ca="1" si="1761"/>
        <v>0</v>
      </c>
      <c r="ES179" s="242">
        <f t="shared" ca="1" si="1761"/>
        <v>0</v>
      </c>
      <c r="ET179" s="242">
        <f t="shared" ca="1" si="1761"/>
        <v>0</v>
      </c>
    </row>
    <row r="180" spans="2:150" x14ac:dyDescent="0.2">
      <c r="B180" t="s">
        <v>217</v>
      </c>
      <c r="F180" s="242">
        <f>F178*Promote!$F$3/12</f>
        <v>0</v>
      </c>
      <c r="G180" s="242">
        <f ca="1">G178*Promote!$F$3/12</f>
        <v>13477.172398613178</v>
      </c>
      <c r="H180" s="242">
        <f ca="1">H178*Promote!$F$3/12</f>
        <v>14454.192613217101</v>
      </c>
      <c r="I180" s="242">
        <f ca="1">I178*Promote!$F$3/12</f>
        <v>15437.726295918377</v>
      </c>
      <c r="J180" s="242">
        <f ca="1">J178*Promote!$F$3/12</f>
        <v>16427.81686983765</v>
      </c>
      <c r="K180" s="242">
        <f ca="1">K178*Promote!$F$3/12</f>
        <v>17424.508047583036</v>
      </c>
      <c r="L180" s="242">
        <f ca="1">L178*Promote!$F$3/12</f>
        <v>18427.843833180053</v>
      </c>
      <c r="M180" s="242">
        <f ca="1">M178*Promote!$F$3/12</f>
        <v>19437.868524014357</v>
      </c>
      <c r="N180" s="242">
        <f ca="1">N178*Promote!$F$3/12</f>
        <v>20454.626712787536</v>
      </c>
      <c r="O180" s="242">
        <f ca="1">O178*Promote!$F$3/12</f>
        <v>21478.163289485849</v>
      </c>
      <c r="P180" s="242">
        <f ca="1">P178*Promote!$F$3/12</f>
        <v>22508.523443362126</v>
      </c>
      <c r="Q180" s="242">
        <f ca="1">Q178*Promote!$F$3/12</f>
        <v>23545.752664930889</v>
      </c>
      <c r="R180" s="242">
        <f ca="1">R178*Promote!$F$3/12</f>
        <v>24589.896747976745</v>
      </c>
      <c r="S180" s="242">
        <f ca="1">S178*Promote!$F$3/12</f>
        <v>25641.001791576215</v>
      </c>
      <c r="T180" s="242">
        <f ca="1">T178*Promote!$F$3/12</f>
        <v>26699.114202132969</v>
      </c>
      <c r="U180" s="242">
        <f ca="1">U178*Promote!$F$3/12</f>
        <v>27764.280695426733</v>
      </c>
      <c r="V180" s="242">
        <f ca="1">V178*Promote!$F$3/12</f>
        <v>35343.048298675749</v>
      </c>
      <c r="W180" s="242">
        <f ca="1">W178*Promote!$F$3/12</f>
        <v>42972.341019279709</v>
      </c>
      <c r="X180" s="242">
        <f ca="1">X178*Promote!$F$3/12</f>
        <v>50652.495691354306</v>
      </c>
      <c r="Y180" s="242">
        <f ca="1">Y178*Promote!$F$3/12</f>
        <v>53218.466055943667</v>
      </c>
      <c r="Z180" s="242">
        <f ca="1">Z178*Promote!$F$3/12</f>
        <v>53573.255829640984</v>
      </c>
      <c r="AA180" s="242">
        <f ca="1">AA178*Promote!$F$3/12</f>
        <v>53930.410868495645</v>
      </c>
      <c r="AB180" s="242">
        <f ca="1">AB178*Promote!$F$3/12</f>
        <v>54289.946940942005</v>
      </c>
      <c r="AC180" s="242">
        <f ca="1">AC178*Promote!$F$3/12</f>
        <v>54651.879920537358</v>
      </c>
      <c r="AD180" s="242">
        <f ca="1">AD178*Promote!$F$3/12</f>
        <v>55016.225786662624</v>
      </c>
      <c r="AE180" s="242">
        <f ca="1">AE178*Promote!$F$3/12</f>
        <v>55383.000625228051</v>
      </c>
      <c r="AF180" s="242">
        <f ca="1">AF178*Promote!$F$3/12</f>
        <v>55752.220629383221</v>
      </c>
      <c r="AG180" s="242">
        <f ca="1">AG178*Promote!$F$3/12</f>
        <v>56123.902100232022</v>
      </c>
      <c r="AH180" s="242">
        <f ca="1">AH178*Promote!$F$3/12</f>
        <v>56498.061447552456</v>
      </c>
      <c r="AI180" s="242">
        <f ca="1">AI178*Promote!$F$3/12</f>
        <v>56874.715190520998</v>
      </c>
      <c r="AJ180" s="242">
        <f ca="1">AJ178*Promote!$F$3/12</f>
        <v>57253.879958441954</v>
      </c>
      <c r="AK180" s="242">
        <f ca="1">AK178*Promote!$F$3/12</f>
        <v>57635.57249148166</v>
      </c>
      <c r="AL180" s="242">
        <f ca="1">AL178*Promote!$F$3/12</f>
        <v>58019.809641407664</v>
      </c>
      <c r="AM180" s="242">
        <f ca="1">AM178*Promote!$F$3/12</f>
        <v>58406.608372332477</v>
      </c>
      <c r="AN180" s="242">
        <f ca="1">AN178*Promote!$F$3/12</f>
        <v>58795.985761462834</v>
      </c>
      <c r="AO180" s="242">
        <f ca="1">AO178*Promote!$F$3/12</f>
        <v>59187.958999853501</v>
      </c>
      <c r="AP180" s="242">
        <f ca="1">AP178*Promote!$F$3/12</f>
        <v>59582.545393166169</v>
      </c>
      <c r="AQ180" s="242">
        <f ca="1">AQ178*Promote!$F$3/12</f>
        <v>59979.762362433765</v>
      </c>
      <c r="AR180" s="242">
        <f ca="1">AR178*Promote!$F$3/12</f>
        <v>60379.627444829348</v>
      </c>
      <c r="AS180" s="242">
        <f ca="1">AS178*Promote!$F$3/12</f>
        <v>60782.15829444056</v>
      </c>
      <c r="AT180" s="242">
        <f ca="1">AT178*Promote!$F$3/12</f>
        <v>61187.372683048823</v>
      </c>
      <c r="AU180" s="242">
        <f ca="1">AU178*Promote!$F$3/12</f>
        <v>61595.288500914226</v>
      </c>
      <c r="AV180" s="242">
        <f ca="1">AV178*Promote!$F$3/12</f>
        <v>62005.923757565295</v>
      </c>
      <c r="AW180" s="242">
        <f ca="1">AW178*Promote!$F$3/12</f>
        <v>62419.296582593968</v>
      </c>
      <c r="AX180" s="242">
        <f ca="1">AX178*Promote!$F$3/12</f>
        <v>62835.425226456275</v>
      </c>
      <c r="AY180" s="242">
        <f ca="1">AY178*Promote!$F$3/12</f>
        <v>63254.328061277884</v>
      </c>
      <c r="AZ180" s="242">
        <f ca="1">AZ178*Promote!$F$3/12</f>
        <v>63676.023581665322</v>
      </c>
      <c r="BA180" s="242">
        <f ca="1">BA178*Promote!$F$3/12</f>
        <v>64100.530405522448</v>
      </c>
      <c r="BB180" s="242">
        <f ca="1">BB178*Promote!$F$3/12</f>
        <v>64527.867274872689</v>
      </c>
      <c r="BC180" s="242">
        <f ca="1">BC178*Promote!$F$3/12</f>
        <v>64958.053056686127</v>
      </c>
      <c r="BD180" s="242">
        <f ca="1">BD178*Promote!$F$3/12</f>
        <v>65391.106743712735</v>
      </c>
      <c r="BE180" s="242">
        <f ca="1">BE178*Promote!$F$3/12</f>
        <v>65827.047455320819</v>
      </c>
      <c r="BF180" s="242">
        <f ca="1">BF178*Promote!$F$3/12</f>
        <v>66265.894438341042</v>
      </c>
      <c r="BG180" s="242">
        <f ca="1">BG178*Promote!$F$3/12</f>
        <v>66707.667067916613</v>
      </c>
      <c r="BH180" s="242">
        <f ca="1">BH178*Promote!$F$3/12</f>
        <v>67152.384848357979</v>
      </c>
      <c r="BI180" s="242">
        <f ca="1">BI178*Promote!$F$3/12</f>
        <v>67600.067414004632</v>
      </c>
      <c r="BJ180" s="242">
        <f ca="1">BJ178*Promote!$F$3/12</f>
        <v>68050.73453009162</v>
      </c>
      <c r="BK180" s="242">
        <f ca="1">BK178*Promote!$F$3/12</f>
        <v>68504.406093622049</v>
      </c>
      <c r="BL180" s="242">
        <f ca="1">BL178*Promote!$F$3/12</f>
        <v>68961.102134246044</v>
      </c>
      <c r="BM180" s="242">
        <f ca="1">BM178*Promote!$F$3/12</f>
        <v>69420.842815144439</v>
      </c>
      <c r="BN180" s="242">
        <f ca="1">BN178*Promote!$F$3/12</f>
        <v>69883.648433919603</v>
      </c>
      <c r="BO180" s="242">
        <f ca="1">BO178*Promote!$F$3/12</f>
        <v>70349.539423491093</v>
      </c>
      <c r="BP180" s="242">
        <f ca="1">BP178*Promote!$F$3/12</f>
        <v>70818.536352997806</v>
      </c>
      <c r="BQ180" s="242">
        <f ca="1">BQ178*Promote!$F$3/12</f>
        <v>71290.659928706722</v>
      </c>
      <c r="BR180" s="242">
        <f ca="1">BR178*Promote!$F$3/12</f>
        <v>71765.930994926181</v>
      </c>
      <c r="BS180" s="242">
        <f ca="1">BS178*Promote!$F$3/12</f>
        <v>72244.370534926551</v>
      </c>
      <c r="BT180" s="242">
        <f ca="1">BT178*Promote!$F$3/12</f>
        <v>72725.999671867161</v>
      </c>
      <c r="BU180" s="242">
        <f ca="1">BU178*Promote!$F$3/12</f>
        <v>73210.839669728026</v>
      </c>
      <c r="BV180" s="242">
        <f ca="1">BV178*Promote!$F$3/12</f>
        <v>73698.911934249219</v>
      </c>
      <c r="BW180" s="242">
        <f ca="1">BW178*Promote!$F$3/12</f>
        <v>74190.238013875496</v>
      </c>
      <c r="BX180" s="242">
        <f ca="1">BX178*Promote!$F$3/12</f>
        <v>74684.83960070851</v>
      </c>
      <c r="BY180" s="242">
        <f ca="1">BY178*Promote!$F$3/12</f>
        <v>75182.738531463197</v>
      </c>
      <c r="BZ180" s="242">
        <f ca="1">BZ178*Promote!$F$3/12</f>
        <v>75683.956788433163</v>
      </c>
      <c r="CA180" s="242">
        <f ca="1">CA178*Promote!$F$3/12</f>
        <v>76188.507493745492</v>
      </c>
      <c r="CB180" s="242">
        <f ca="1">CB178*Promote!$F$3/12</f>
        <v>76696.421870437873</v>
      </c>
      <c r="CC180" s="242">
        <f ca="1">CC178*Promote!$F$3/12</f>
        <v>77207.72234298689</v>
      </c>
      <c r="CD180" s="242">
        <f ca="1">CD178*Promote!$F$3/12</f>
        <v>77722.431485365742</v>
      </c>
      <c r="CE180" s="242">
        <f ca="1">CE178*Promote!$F$3/12</f>
        <v>78240.572022040753</v>
      </c>
      <c r="CF180" s="242">
        <f ca="1">CF178*Promote!$F$3/12</f>
        <v>78762.166828974528</v>
      </c>
      <c r="CG180" s="242">
        <f ca="1">CG178*Promote!$F$3/12</f>
        <v>79287.238934636727</v>
      </c>
      <c r="CH180" s="242">
        <f ca="1">CH178*Promote!$F$3/12</f>
        <v>79815.811521019263</v>
      </c>
      <c r="CI180" s="242">
        <f ca="1">CI178*Promote!$F$3/12</f>
        <v>80347.907924661398</v>
      </c>
      <c r="CJ180" s="242">
        <f ca="1">CJ178*Promote!$F$3/12</f>
        <v>80883.551637679004</v>
      </c>
      <c r="CK180" s="242">
        <f ca="1">CK178*Promote!$F$3/12</f>
        <v>81422.766308781895</v>
      </c>
      <c r="CL180" s="242">
        <f ca="1">CL178*Promote!$F$3/12</f>
        <v>0</v>
      </c>
      <c r="CM180" s="242">
        <f ca="1">CM178*Promote!$F$3/12</f>
        <v>0</v>
      </c>
      <c r="CN180" s="242">
        <f ca="1">CN178*Promote!$F$3/12</f>
        <v>0</v>
      </c>
      <c r="CO180" s="242">
        <f ca="1">CO178*Promote!$F$3/12</f>
        <v>0</v>
      </c>
      <c r="CP180" s="242">
        <f ca="1">CP178*Promote!$F$3/12</f>
        <v>0</v>
      </c>
      <c r="CQ180" s="242">
        <f ca="1">CQ178*Promote!$F$3/12</f>
        <v>0</v>
      </c>
      <c r="CR180" s="242">
        <f ca="1">CR178*Promote!$F$3/12</f>
        <v>0</v>
      </c>
      <c r="CS180" s="242">
        <f ca="1">CS178*Promote!$F$3/12</f>
        <v>0</v>
      </c>
      <c r="CT180" s="242">
        <f ca="1">CT178*Promote!$F$3/12</f>
        <v>0</v>
      </c>
      <c r="CU180" s="242">
        <f ca="1">CU178*Promote!$F$3/12</f>
        <v>0</v>
      </c>
      <c r="CV180" s="242">
        <f ca="1">CV178*Promote!$F$3/12</f>
        <v>0</v>
      </c>
      <c r="CW180" s="242">
        <f ca="1">CW178*Promote!$F$3/12</f>
        <v>0</v>
      </c>
      <c r="CX180" s="242">
        <f ca="1">CX178*Promote!$F$3/12</f>
        <v>0</v>
      </c>
      <c r="CY180" s="242">
        <f ca="1">CY178*Promote!$F$3/12</f>
        <v>0</v>
      </c>
      <c r="CZ180" s="242">
        <f ca="1">CZ178*Promote!$F$3/12</f>
        <v>0</v>
      </c>
      <c r="DA180" s="242">
        <f ca="1">DA178*Promote!$F$3/12</f>
        <v>0</v>
      </c>
      <c r="DB180" s="242">
        <f ca="1">DB178*Promote!$F$3/12</f>
        <v>0</v>
      </c>
      <c r="DC180" s="242">
        <f ca="1">DC178*Promote!$F$3/12</f>
        <v>0</v>
      </c>
      <c r="DD180" s="242">
        <f ca="1">DD178*Promote!$F$3/12</f>
        <v>0</v>
      </c>
      <c r="DE180" s="242">
        <f ca="1">DE178*Promote!$F$3/12</f>
        <v>0</v>
      </c>
      <c r="DF180" s="242">
        <f ca="1">DF178*Promote!$F$3/12</f>
        <v>0</v>
      </c>
      <c r="DG180" s="242">
        <f ca="1">DG178*Promote!$F$3/12</f>
        <v>0</v>
      </c>
      <c r="DH180" s="242">
        <f ca="1">DH178*Promote!$F$3/12</f>
        <v>0</v>
      </c>
      <c r="DI180" s="242">
        <f ca="1">DI178*Promote!$F$3/12</f>
        <v>0</v>
      </c>
      <c r="DJ180" s="242">
        <f ca="1">DJ178*Promote!$F$3/12</f>
        <v>0</v>
      </c>
      <c r="DK180" s="242">
        <f ca="1">DK178*Promote!$F$3/12</f>
        <v>0</v>
      </c>
      <c r="DL180" s="242">
        <f ca="1">DL178*Promote!$F$3/12</f>
        <v>0</v>
      </c>
      <c r="DM180" s="242">
        <f ca="1">DM178*Promote!$F$3/12</f>
        <v>0</v>
      </c>
      <c r="DN180" s="242">
        <f ca="1">DN178*Promote!$F$3/12</f>
        <v>0</v>
      </c>
      <c r="DO180" s="242">
        <f ca="1">DO178*Promote!$F$3/12</f>
        <v>0</v>
      </c>
      <c r="DP180" s="242">
        <f ca="1">DP178*Promote!$F$3/12</f>
        <v>0</v>
      </c>
      <c r="DQ180" s="242">
        <f ca="1">DQ178*Promote!$F$3/12</f>
        <v>0</v>
      </c>
      <c r="DR180" s="242">
        <f ca="1">DR178*Promote!$F$3/12</f>
        <v>0</v>
      </c>
      <c r="DS180" s="242">
        <f ca="1">DS178*Promote!$F$3/12</f>
        <v>0</v>
      </c>
      <c r="DT180" s="242">
        <f ca="1">DT178*Promote!$F$3/12</f>
        <v>0</v>
      </c>
      <c r="DU180" s="242">
        <f ca="1">DU178*Promote!$F$3/12</f>
        <v>0</v>
      </c>
      <c r="DV180" s="242">
        <f ca="1">DV178*Promote!$F$3/12</f>
        <v>0</v>
      </c>
      <c r="DW180" s="242">
        <f ca="1">DW178*Promote!$F$3/12</f>
        <v>0</v>
      </c>
      <c r="DX180" s="242">
        <f ca="1">DX178*Promote!$F$3/12</f>
        <v>0</v>
      </c>
      <c r="DY180" s="242">
        <f ca="1">DY178*Promote!$F$3/12</f>
        <v>0</v>
      </c>
      <c r="DZ180" s="242">
        <f ca="1">DZ178*Promote!$F$3/12</f>
        <v>0</v>
      </c>
      <c r="EA180" s="242">
        <f ca="1">EA178*Promote!$F$3/12</f>
        <v>0</v>
      </c>
      <c r="EB180" s="242">
        <f ca="1">EB178*Promote!$F$3/12</f>
        <v>0</v>
      </c>
      <c r="EC180" s="242">
        <f ca="1">EC178*Promote!$F$3/12</f>
        <v>0</v>
      </c>
      <c r="ED180" s="242">
        <f ca="1">ED178*Promote!$F$3/12</f>
        <v>0</v>
      </c>
      <c r="EE180" s="242">
        <f ca="1">EE178*Promote!$F$3/12</f>
        <v>0</v>
      </c>
      <c r="EF180" s="242">
        <f ca="1">EF178*Promote!$F$3/12</f>
        <v>0</v>
      </c>
      <c r="EG180" s="242">
        <f ca="1">EG178*Promote!$F$3/12</f>
        <v>0</v>
      </c>
      <c r="EH180" s="242">
        <f ca="1">EH178*Promote!$F$3/12</f>
        <v>0</v>
      </c>
      <c r="EI180" s="242">
        <f ca="1">EI178*Promote!$F$3/12</f>
        <v>0</v>
      </c>
      <c r="EJ180" s="242">
        <f ca="1">EJ178*Promote!$F$3/12</f>
        <v>0</v>
      </c>
      <c r="EK180" s="242">
        <f ca="1">EK178*Promote!$F$3/12</f>
        <v>0</v>
      </c>
      <c r="EL180" s="242">
        <f ca="1">EL178*Promote!$F$3/12</f>
        <v>0</v>
      </c>
      <c r="EM180" s="242">
        <f ca="1">EM178*Promote!$F$3/12</f>
        <v>0</v>
      </c>
      <c r="EN180" s="242">
        <f ca="1">EN178*Promote!$F$3/12</f>
        <v>0</v>
      </c>
      <c r="EO180" s="242">
        <f ca="1">EO178*Promote!$F$3/12</f>
        <v>0</v>
      </c>
      <c r="EP180" s="242">
        <f ca="1">EP178*Promote!$F$3/12</f>
        <v>0</v>
      </c>
      <c r="EQ180" s="242">
        <f ca="1">EQ178*Promote!$F$3/12</f>
        <v>0</v>
      </c>
      <c r="ER180" s="242">
        <f ca="1">ER178*Promote!$F$3/12</f>
        <v>0</v>
      </c>
      <c r="ES180" s="242">
        <f ca="1">ES178*Promote!$F$3/12</f>
        <v>0</v>
      </c>
      <c r="ET180" s="242">
        <f ca="1">ET178*Promote!$F$3/12</f>
        <v>0</v>
      </c>
    </row>
    <row r="181" spans="2:150" x14ac:dyDescent="0.2">
      <c r="B181" t="s">
        <v>222</v>
      </c>
      <c r="F181" s="242">
        <f ca="1">-IF(F168&gt;0,MIN(F168,SUM(F178:F180)),0)</f>
        <v>0</v>
      </c>
      <c r="G181" s="242">
        <f t="shared" ref="G181:BN181" ca="1" si="1762">-IF(G168&gt;0,MIN(G168,SUM(G178:G180)),0)</f>
        <v>0</v>
      </c>
      <c r="H181" s="242">
        <f t="shared" ca="1" si="1762"/>
        <v>0</v>
      </c>
      <c r="I181" s="242">
        <f t="shared" ca="1" si="1762"/>
        <v>0</v>
      </c>
      <c r="J181" s="242">
        <f t="shared" ca="1" si="1762"/>
        <v>0</v>
      </c>
      <c r="K181" s="242">
        <f t="shared" ca="1" si="1762"/>
        <v>0</v>
      </c>
      <c r="L181" s="242">
        <f t="shared" ca="1" si="1762"/>
        <v>0</v>
      </c>
      <c r="M181" s="242">
        <f t="shared" ca="1" si="1762"/>
        <v>0</v>
      </c>
      <c r="N181" s="242">
        <f t="shared" ca="1" si="1762"/>
        <v>0</v>
      </c>
      <c r="O181" s="242">
        <f t="shared" ca="1" si="1762"/>
        <v>0</v>
      </c>
      <c r="P181" s="242">
        <f t="shared" ca="1" si="1762"/>
        <v>0</v>
      </c>
      <c r="Q181" s="242">
        <f t="shared" ca="1" si="1762"/>
        <v>0</v>
      </c>
      <c r="R181" s="242">
        <f t="shared" ca="1" si="1762"/>
        <v>0</v>
      </c>
      <c r="S181" s="242">
        <f t="shared" ca="1" si="1762"/>
        <v>0</v>
      </c>
      <c r="T181" s="242">
        <f t="shared" ca="1" si="1762"/>
        <v>0</v>
      </c>
      <c r="U181" s="242">
        <f t="shared" ca="1" si="1762"/>
        <v>0</v>
      </c>
      <c r="V181" s="242">
        <f t="shared" ca="1" si="1762"/>
        <v>0</v>
      </c>
      <c r="W181" s="242">
        <f t="shared" ca="1" si="1762"/>
        <v>0</v>
      </c>
      <c r="X181" s="242">
        <f t="shared" ca="1" si="1762"/>
        <v>0</v>
      </c>
      <c r="Y181" s="242">
        <f t="shared" ca="1" si="1762"/>
        <v>0</v>
      </c>
      <c r="Z181" s="242">
        <f t="shared" ca="1" si="1762"/>
        <v>0</v>
      </c>
      <c r="AA181" s="242">
        <f t="shared" ca="1" si="1762"/>
        <v>0</v>
      </c>
      <c r="AB181" s="242">
        <f t="shared" ca="1" si="1762"/>
        <v>0</v>
      </c>
      <c r="AC181" s="242">
        <f t="shared" ca="1" si="1762"/>
        <v>0</v>
      </c>
      <c r="AD181" s="242">
        <f t="shared" ca="1" si="1762"/>
        <v>0</v>
      </c>
      <c r="AE181" s="242">
        <f t="shared" ca="1" si="1762"/>
        <v>0</v>
      </c>
      <c r="AF181" s="242">
        <f t="shared" ca="1" si="1762"/>
        <v>0</v>
      </c>
      <c r="AG181" s="242">
        <f t="shared" ca="1" si="1762"/>
        <v>0</v>
      </c>
      <c r="AH181" s="242">
        <f t="shared" ca="1" si="1762"/>
        <v>0</v>
      </c>
      <c r="AI181" s="242">
        <f t="shared" ca="1" si="1762"/>
        <v>0</v>
      </c>
      <c r="AJ181" s="242">
        <f t="shared" ca="1" si="1762"/>
        <v>0</v>
      </c>
      <c r="AK181" s="242">
        <f t="shared" ca="1" si="1762"/>
        <v>0</v>
      </c>
      <c r="AL181" s="242">
        <f t="shared" ca="1" si="1762"/>
        <v>0</v>
      </c>
      <c r="AM181" s="242">
        <f t="shared" ca="1" si="1762"/>
        <v>0</v>
      </c>
      <c r="AN181" s="242">
        <f t="shared" ca="1" si="1762"/>
        <v>0</v>
      </c>
      <c r="AO181" s="242">
        <f t="shared" ca="1" si="1762"/>
        <v>0</v>
      </c>
      <c r="AP181" s="242">
        <f t="shared" ca="1" si="1762"/>
        <v>0</v>
      </c>
      <c r="AQ181" s="242">
        <f t="shared" ca="1" si="1762"/>
        <v>0</v>
      </c>
      <c r="AR181" s="242">
        <f t="shared" ca="1" si="1762"/>
        <v>0</v>
      </c>
      <c r="AS181" s="242">
        <f t="shared" ca="1" si="1762"/>
        <v>0</v>
      </c>
      <c r="AT181" s="242">
        <f t="shared" ca="1" si="1762"/>
        <v>0</v>
      </c>
      <c r="AU181" s="242">
        <f t="shared" ca="1" si="1762"/>
        <v>0</v>
      </c>
      <c r="AV181" s="242">
        <f t="shared" ca="1" si="1762"/>
        <v>0</v>
      </c>
      <c r="AW181" s="242">
        <f t="shared" ca="1" si="1762"/>
        <v>0</v>
      </c>
      <c r="AX181" s="242">
        <f t="shared" ca="1" si="1762"/>
        <v>0</v>
      </c>
      <c r="AY181" s="242">
        <f t="shared" ca="1" si="1762"/>
        <v>0</v>
      </c>
      <c r="AZ181" s="242">
        <f t="shared" ca="1" si="1762"/>
        <v>0</v>
      </c>
      <c r="BA181" s="242">
        <f t="shared" ca="1" si="1762"/>
        <v>0</v>
      </c>
      <c r="BB181" s="242">
        <f t="shared" ca="1" si="1762"/>
        <v>0</v>
      </c>
      <c r="BC181" s="242">
        <f t="shared" ca="1" si="1762"/>
        <v>0</v>
      </c>
      <c r="BD181" s="242">
        <f t="shared" ca="1" si="1762"/>
        <v>0</v>
      </c>
      <c r="BE181" s="242">
        <f t="shared" ca="1" si="1762"/>
        <v>0</v>
      </c>
      <c r="BF181" s="242">
        <f t="shared" ca="1" si="1762"/>
        <v>0</v>
      </c>
      <c r="BG181" s="242">
        <f t="shared" ca="1" si="1762"/>
        <v>0</v>
      </c>
      <c r="BH181" s="242">
        <f t="shared" ca="1" si="1762"/>
        <v>0</v>
      </c>
      <c r="BI181" s="242">
        <f t="shared" ca="1" si="1762"/>
        <v>0</v>
      </c>
      <c r="BJ181" s="242">
        <f t="shared" ca="1" si="1762"/>
        <v>0</v>
      </c>
      <c r="BK181" s="242">
        <f t="shared" ca="1" si="1762"/>
        <v>0</v>
      </c>
      <c r="BL181" s="242">
        <f t="shared" ca="1" si="1762"/>
        <v>0</v>
      </c>
      <c r="BM181" s="242">
        <f t="shared" ca="1" si="1762"/>
        <v>0</v>
      </c>
      <c r="BN181" s="242">
        <f t="shared" ca="1" si="1762"/>
        <v>0</v>
      </c>
      <c r="BO181" s="242">
        <f t="shared" ref="BO181" ca="1" si="1763">-IF(BO168&gt;0,MIN(BO168,SUM(BO178:BO180)),0)</f>
        <v>0</v>
      </c>
      <c r="BP181" s="242">
        <f t="shared" ref="BP181" ca="1" si="1764">-IF(BP168&gt;0,MIN(BP168,SUM(BP178:BP180)),0)</f>
        <v>0</v>
      </c>
      <c r="BQ181" s="242">
        <f t="shared" ref="BQ181" ca="1" si="1765">-IF(BQ168&gt;0,MIN(BQ168,SUM(BQ178:BQ180)),0)</f>
        <v>0</v>
      </c>
      <c r="BR181" s="242">
        <f t="shared" ref="BR181" ca="1" si="1766">-IF(BR168&gt;0,MIN(BR168,SUM(BR178:BR180)),0)</f>
        <v>0</v>
      </c>
      <c r="BS181" s="242">
        <f t="shared" ref="BS181" ca="1" si="1767">-IF(BS168&gt;0,MIN(BS168,SUM(BS178:BS180)),0)</f>
        <v>0</v>
      </c>
      <c r="BT181" s="242">
        <f t="shared" ref="BT181" ca="1" si="1768">-IF(BT168&gt;0,MIN(BT168,SUM(BT178:BT180)),0)</f>
        <v>0</v>
      </c>
      <c r="BU181" s="242">
        <f t="shared" ref="BU181" ca="1" si="1769">-IF(BU168&gt;0,MIN(BU168,SUM(BU178:BU180)),0)</f>
        <v>0</v>
      </c>
      <c r="BV181" s="242">
        <f t="shared" ref="BV181" ca="1" si="1770">-IF(BV168&gt;0,MIN(BV168,SUM(BV178:BV180)),0)</f>
        <v>0</v>
      </c>
      <c r="BW181" s="242">
        <f t="shared" ref="BW181" ca="1" si="1771">-IF(BW168&gt;0,MIN(BW168,SUM(BW178:BW180)),0)</f>
        <v>0</v>
      </c>
      <c r="BX181" s="242">
        <f t="shared" ref="BX181" ca="1" si="1772">-IF(BX168&gt;0,MIN(BX168,SUM(BX178:BX180)),0)</f>
        <v>0</v>
      </c>
      <c r="BY181" s="242">
        <f t="shared" ref="BY181" ca="1" si="1773">-IF(BY168&gt;0,MIN(BY168,SUM(BY178:BY180)),0)</f>
        <v>0</v>
      </c>
      <c r="BZ181" s="242">
        <f t="shared" ref="BZ181:EK181" ca="1" si="1774">-IF(BZ168&gt;0,MIN(BZ168,SUM(BZ178:BZ180)),0)</f>
        <v>-1.3510072172794025</v>
      </c>
      <c r="CA181" s="242">
        <f t="shared" ca="1" si="1774"/>
        <v>-1.3510072370409034</v>
      </c>
      <c r="CB181" s="242">
        <f t="shared" ca="1" si="1774"/>
        <v>-1.351007251010742</v>
      </c>
      <c r="CC181" s="242">
        <f t="shared" ca="1" si="1774"/>
        <v>-1.351007258403115</v>
      </c>
      <c r="CD181" s="242">
        <f t="shared" ca="1" si="1774"/>
        <v>-1.3510072585195303</v>
      </c>
      <c r="CE181" s="242">
        <f t="shared" ca="1" si="1774"/>
        <v>-1.3510072508943267</v>
      </c>
      <c r="CF181" s="242">
        <f t="shared" ca="1" si="1774"/>
        <v>-1.3510072345670778</v>
      </c>
      <c r="CG181" s="242">
        <f t="shared" ca="1" si="1774"/>
        <v>-1.3510072090430185</v>
      </c>
      <c r="CH181" s="242">
        <f t="shared" ca="1" si="1774"/>
        <v>-1.35100717341993</v>
      </c>
      <c r="CI181" s="242">
        <f t="shared" ca="1" si="1774"/>
        <v>-1.3510071268246975</v>
      </c>
      <c r="CJ181" s="242">
        <f t="shared" ca="1" si="1774"/>
        <v>-1.3510070684133098</v>
      </c>
      <c r="CK181" s="242">
        <f t="shared" ca="1" si="1774"/>
        <v>-12294837.712626066</v>
      </c>
      <c r="CL181" s="242">
        <f t="shared" ca="1" si="1774"/>
        <v>0</v>
      </c>
      <c r="CM181" s="242">
        <f t="shared" ca="1" si="1774"/>
        <v>0</v>
      </c>
      <c r="CN181" s="242">
        <f t="shared" ca="1" si="1774"/>
        <v>0</v>
      </c>
      <c r="CO181" s="242">
        <f t="shared" ca="1" si="1774"/>
        <v>0</v>
      </c>
      <c r="CP181" s="242">
        <f t="shared" ca="1" si="1774"/>
        <v>0</v>
      </c>
      <c r="CQ181" s="242">
        <f t="shared" ca="1" si="1774"/>
        <v>0</v>
      </c>
      <c r="CR181" s="242">
        <f t="shared" ca="1" si="1774"/>
        <v>0</v>
      </c>
      <c r="CS181" s="242">
        <f t="shared" ca="1" si="1774"/>
        <v>0</v>
      </c>
      <c r="CT181" s="242">
        <f t="shared" ca="1" si="1774"/>
        <v>0</v>
      </c>
      <c r="CU181" s="242">
        <f t="shared" ca="1" si="1774"/>
        <v>0</v>
      </c>
      <c r="CV181" s="242">
        <f t="shared" ca="1" si="1774"/>
        <v>0</v>
      </c>
      <c r="CW181" s="242">
        <f t="shared" ca="1" si="1774"/>
        <v>0</v>
      </c>
      <c r="CX181" s="242">
        <f t="shared" ca="1" si="1774"/>
        <v>0</v>
      </c>
      <c r="CY181" s="242">
        <f t="shared" ca="1" si="1774"/>
        <v>0</v>
      </c>
      <c r="CZ181" s="242">
        <f t="shared" ca="1" si="1774"/>
        <v>0</v>
      </c>
      <c r="DA181" s="242">
        <f t="shared" ca="1" si="1774"/>
        <v>0</v>
      </c>
      <c r="DB181" s="242">
        <f t="shared" ca="1" si="1774"/>
        <v>0</v>
      </c>
      <c r="DC181" s="242">
        <f t="shared" ca="1" si="1774"/>
        <v>0</v>
      </c>
      <c r="DD181" s="242">
        <f t="shared" ca="1" si="1774"/>
        <v>0</v>
      </c>
      <c r="DE181" s="242">
        <f t="shared" ca="1" si="1774"/>
        <v>0</v>
      </c>
      <c r="DF181" s="242">
        <f t="shared" ca="1" si="1774"/>
        <v>0</v>
      </c>
      <c r="DG181" s="242">
        <f t="shared" ca="1" si="1774"/>
        <v>0</v>
      </c>
      <c r="DH181" s="242">
        <f t="shared" ca="1" si="1774"/>
        <v>0</v>
      </c>
      <c r="DI181" s="242">
        <f t="shared" ca="1" si="1774"/>
        <v>0</v>
      </c>
      <c r="DJ181" s="242">
        <f t="shared" ca="1" si="1774"/>
        <v>0</v>
      </c>
      <c r="DK181" s="242">
        <f t="shared" ca="1" si="1774"/>
        <v>0</v>
      </c>
      <c r="DL181" s="242">
        <f t="shared" ca="1" si="1774"/>
        <v>0</v>
      </c>
      <c r="DM181" s="242">
        <f t="shared" ca="1" si="1774"/>
        <v>0</v>
      </c>
      <c r="DN181" s="242">
        <f t="shared" ca="1" si="1774"/>
        <v>0</v>
      </c>
      <c r="DO181" s="242">
        <f t="shared" ca="1" si="1774"/>
        <v>0</v>
      </c>
      <c r="DP181" s="242">
        <f t="shared" ca="1" si="1774"/>
        <v>0</v>
      </c>
      <c r="DQ181" s="242">
        <f t="shared" ca="1" si="1774"/>
        <v>0</v>
      </c>
      <c r="DR181" s="242">
        <f t="shared" ca="1" si="1774"/>
        <v>0</v>
      </c>
      <c r="DS181" s="242">
        <f t="shared" ca="1" si="1774"/>
        <v>0</v>
      </c>
      <c r="DT181" s="242">
        <f t="shared" ca="1" si="1774"/>
        <v>0</v>
      </c>
      <c r="DU181" s="242">
        <f t="shared" ca="1" si="1774"/>
        <v>0</v>
      </c>
      <c r="DV181" s="242">
        <f t="shared" ca="1" si="1774"/>
        <v>0</v>
      </c>
      <c r="DW181" s="242">
        <f t="shared" ca="1" si="1774"/>
        <v>0</v>
      </c>
      <c r="DX181" s="242">
        <f t="shared" ca="1" si="1774"/>
        <v>0</v>
      </c>
      <c r="DY181" s="242">
        <f t="shared" ca="1" si="1774"/>
        <v>0</v>
      </c>
      <c r="DZ181" s="242">
        <f t="shared" ca="1" si="1774"/>
        <v>0</v>
      </c>
      <c r="EA181" s="242">
        <f t="shared" ca="1" si="1774"/>
        <v>0</v>
      </c>
      <c r="EB181" s="242">
        <f t="shared" ca="1" si="1774"/>
        <v>0</v>
      </c>
      <c r="EC181" s="242">
        <f t="shared" ca="1" si="1774"/>
        <v>0</v>
      </c>
      <c r="ED181" s="242">
        <f t="shared" ca="1" si="1774"/>
        <v>0</v>
      </c>
      <c r="EE181" s="242">
        <f t="shared" ca="1" si="1774"/>
        <v>0</v>
      </c>
      <c r="EF181" s="242">
        <f t="shared" ca="1" si="1774"/>
        <v>0</v>
      </c>
      <c r="EG181" s="242">
        <f t="shared" ca="1" si="1774"/>
        <v>0</v>
      </c>
      <c r="EH181" s="242">
        <f t="shared" ca="1" si="1774"/>
        <v>0</v>
      </c>
      <c r="EI181" s="242">
        <f t="shared" ca="1" si="1774"/>
        <v>0</v>
      </c>
      <c r="EJ181" s="242">
        <f t="shared" ca="1" si="1774"/>
        <v>0</v>
      </c>
      <c r="EK181" s="242">
        <f t="shared" ca="1" si="1774"/>
        <v>0</v>
      </c>
      <c r="EL181" s="242">
        <f t="shared" ref="EL181:ET181" ca="1" si="1775">-IF(EL168&gt;0,MIN(EL168,SUM(EL178:EL180)),0)</f>
        <v>0</v>
      </c>
      <c r="EM181" s="242">
        <f t="shared" ca="1" si="1775"/>
        <v>0</v>
      </c>
      <c r="EN181" s="242">
        <f t="shared" ca="1" si="1775"/>
        <v>0</v>
      </c>
      <c r="EO181" s="242">
        <f t="shared" ca="1" si="1775"/>
        <v>0</v>
      </c>
      <c r="EP181" s="242">
        <f t="shared" ca="1" si="1775"/>
        <v>0</v>
      </c>
      <c r="EQ181" s="242">
        <f t="shared" ca="1" si="1775"/>
        <v>0</v>
      </c>
      <c r="ER181" s="242">
        <f t="shared" ca="1" si="1775"/>
        <v>0</v>
      </c>
      <c r="ES181" s="242">
        <f t="shared" ca="1" si="1775"/>
        <v>0</v>
      </c>
      <c r="ET181" s="242">
        <f t="shared" ca="1" si="1775"/>
        <v>0</v>
      </c>
    </row>
    <row r="182" spans="2:150" x14ac:dyDescent="0.2">
      <c r="B182" t="s">
        <v>169</v>
      </c>
      <c r="F182" s="252">
        <f ca="1">SUM(F178:F181)</f>
        <v>2021575.8597919773</v>
      </c>
      <c r="G182" s="252">
        <f t="shared" ref="G182:AY182" ca="1" si="1776">SUM(G178:G181)</f>
        <v>2168128.8919825675</v>
      </c>
      <c r="H182" s="252">
        <f t="shared" ca="1" si="1776"/>
        <v>2315658.9443877595</v>
      </c>
      <c r="I182" s="252">
        <f t="shared" ca="1" si="1776"/>
        <v>2464172.5304756518</v>
      </c>
      <c r="J182" s="252">
        <f t="shared" ca="1" si="1776"/>
        <v>2613676.2071374622</v>
      </c>
      <c r="K182" s="252">
        <f t="shared" ca="1" si="1776"/>
        <v>2764176.5749770161</v>
      </c>
      <c r="L182" s="252">
        <f t="shared" ca="1" si="1776"/>
        <v>2915680.2786021652</v>
      </c>
      <c r="M182" s="252">
        <f t="shared" ca="1" si="1776"/>
        <v>3068194.0069181453</v>
      </c>
      <c r="N182" s="252">
        <f t="shared" ca="1" si="1776"/>
        <v>3221724.4934228952</v>
      </c>
      <c r="O182" s="252">
        <f t="shared" ca="1" si="1776"/>
        <v>3376278.5165043403</v>
      </c>
      <c r="P182" s="252">
        <f t="shared" ca="1" si="1776"/>
        <v>3531862.8997396589</v>
      </c>
      <c r="Q182" s="252">
        <f t="shared" ca="1" si="1776"/>
        <v>3688484.5121965422</v>
      </c>
      <c r="R182" s="252">
        <f t="shared" ca="1" si="1776"/>
        <v>3846150.2687364658</v>
      </c>
      <c r="S182" s="252">
        <f t="shared" ca="1" si="1776"/>
        <v>4004867.1303199856</v>
      </c>
      <c r="T182" s="252">
        <f t="shared" ca="1" si="1776"/>
        <v>4164642.1043140553</v>
      </c>
      <c r="U182" s="252">
        <f t="shared" ca="1" si="1776"/>
        <v>5301457.2448014142</v>
      </c>
      <c r="V182" s="252">
        <f t="shared" ca="1" si="1776"/>
        <v>6445851.1528920149</v>
      </c>
      <c r="W182" s="252">
        <f t="shared" ca="1" si="1776"/>
        <v>7597874.3537032129</v>
      </c>
      <c r="X182" s="252">
        <f t="shared" ca="1" si="1776"/>
        <v>7982769.9083928009</v>
      </c>
      <c r="Y182" s="252">
        <f t="shared" ca="1" si="1776"/>
        <v>8035988.3744474938</v>
      </c>
      <c r="Z182" s="252">
        <f t="shared" ca="1" si="1776"/>
        <v>8089561.6302757887</v>
      </c>
      <c r="AA182" s="252">
        <f t="shared" ca="1" si="1776"/>
        <v>8143492.0411428427</v>
      </c>
      <c r="AB182" s="252">
        <f t="shared" ca="1" si="1776"/>
        <v>8197781.9880822431</v>
      </c>
      <c r="AC182" s="252">
        <f t="shared" ca="1" si="1776"/>
        <v>8252433.8680011416</v>
      </c>
      <c r="AD182" s="252">
        <f t="shared" ca="1" si="1776"/>
        <v>8307450.0937860562</v>
      </c>
      <c r="AE182" s="252">
        <f t="shared" ca="1" si="1776"/>
        <v>8362833.094409436</v>
      </c>
      <c r="AF182" s="252">
        <f t="shared" ca="1" si="1776"/>
        <v>8418585.3150368668</v>
      </c>
      <c r="AG182" s="252">
        <f t="shared" ca="1" si="1776"/>
        <v>8474709.2171350345</v>
      </c>
      <c r="AH182" s="252">
        <f t="shared" ca="1" si="1776"/>
        <v>8531207.2785804216</v>
      </c>
      <c r="AI182" s="252">
        <f t="shared" ca="1" si="1776"/>
        <v>8588081.9937686697</v>
      </c>
      <c r="AJ182" s="252">
        <f t="shared" ca="1" si="1776"/>
        <v>8645335.8737247344</v>
      </c>
      <c r="AK182" s="252">
        <f t="shared" ca="1" si="1776"/>
        <v>8702971.4462137297</v>
      </c>
      <c r="AL182" s="252">
        <f t="shared" ca="1" si="1776"/>
        <v>8760991.2558525577</v>
      </c>
      <c r="AM182" s="252">
        <f t="shared" ca="1" si="1776"/>
        <v>8819397.8642222043</v>
      </c>
      <c r="AN182" s="252">
        <f t="shared" ca="1" si="1776"/>
        <v>8878193.8499808889</v>
      </c>
      <c r="AO182" s="252">
        <f t="shared" ca="1" si="1776"/>
        <v>8937381.8089778796</v>
      </c>
      <c r="AP182" s="252">
        <f t="shared" ca="1" si="1776"/>
        <v>8996964.3543680925</v>
      </c>
      <c r="AQ182" s="252">
        <f t="shared" ca="1" si="1776"/>
        <v>9056944.1167274974</v>
      </c>
      <c r="AR182" s="252">
        <f t="shared" ca="1" si="1776"/>
        <v>9117323.7441692315</v>
      </c>
      <c r="AS182" s="252">
        <f t="shared" ca="1" si="1776"/>
        <v>9178105.9024605248</v>
      </c>
      <c r="AT182" s="252">
        <f t="shared" ca="1" si="1776"/>
        <v>9239293.2751403712</v>
      </c>
      <c r="AU182" s="252">
        <f t="shared" ca="1" si="1776"/>
        <v>9300888.5636380482</v>
      </c>
      <c r="AV182" s="252">
        <f t="shared" ca="1" si="1776"/>
        <v>9362894.4873923603</v>
      </c>
      <c r="AW182" s="252">
        <f t="shared" ca="1" si="1776"/>
        <v>9425313.7839716896</v>
      </c>
      <c r="AX182" s="252">
        <f t="shared" ca="1" si="1776"/>
        <v>9488149.2091948967</v>
      </c>
      <c r="AY182" s="252">
        <f t="shared" ca="1" si="1776"/>
        <v>9551403.5372529589</v>
      </c>
      <c r="AZ182" s="252">
        <f t="shared" ref="AZ182" ca="1" si="1777">SUM(AZ178:AZ181)</f>
        <v>9615079.560831463</v>
      </c>
      <c r="BA182" s="252">
        <f t="shared" ref="BA182" ca="1" si="1778">SUM(BA178:BA181)</f>
        <v>9679180.0912338905</v>
      </c>
      <c r="BB182" s="252">
        <f t="shared" ref="BB182" ca="1" si="1779">SUM(BB178:BB181)</f>
        <v>9743707.9585057758</v>
      </c>
      <c r="BC182" s="252">
        <f t="shared" ref="BC182" ca="1" si="1780">SUM(BC178:BC181)</f>
        <v>9808666.0115596037</v>
      </c>
      <c r="BD182" s="252">
        <f t="shared" ref="BD182" ca="1" si="1781">SUM(BD178:BD181)</f>
        <v>9874057.1183006223</v>
      </c>
      <c r="BE182" s="252">
        <f t="shared" ref="BE182" ca="1" si="1782">SUM(BE178:BE181)</f>
        <v>9939884.1657534428</v>
      </c>
      <c r="BF182" s="252">
        <f t="shared" ref="BF182" ca="1" si="1783">SUM(BF178:BF181)</f>
        <v>10006150.060189497</v>
      </c>
      <c r="BG182" s="252">
        <f t="shared" ref="BG182" ca="1" si="1784">SUM(BG178:BG181)</f>
        <v>10072857.727255408</v>
      </c>
      <c r="BH182" s="252">
        <f t="shared" ref="BH182" ca="1" si="1785">SUM(BH178:BH181)</f>
        <v>10140010.112102056</v>
      </c>
      <c r="BI182" s="252">
        <f t="shared" ref="BI182" ca="1" si="1786">SUM(BI178:BI181)</f>
        <v>10207610.179514699</v>
      </c>
      <c r="BJ182" s="252">
        <f t="shared" ref="BJ182" ca="1" si="1787">SUM(BJ178:BJ181)</f>
        <v>10275660.914043834</v>
      </c>
      <c r="BK182" s="252">
        <f t="shared" ref="BK182" ca="1" si="1788">SUM(BK178:BK181)</f>
        <v>10344165.320136929</v>
      </c>
      <c r="BL182" s="252">
        <f t="shared" ref="BL182" ca="1" si="1789">SUM(BL178:BL181)</f>
        <v>10413126.422271153</v>
      </c>
      <c r="BM182" s="252">
        <f t="shared" ref="BM182" ca="1" si="1790">SUM(BM178:BM181)</f>
        <v>10482547.265086809</v>
      </c>
      <c r="BN182" s="252">
        <f t="shared" ref="BN182" ca="1" si="1791">SUM(BN178:BN181)</f>
        <v>10552430.91352186</v>
      </c>
      <c r="BO182" s="252">
        <f t="shared" ref="BO182" ca="1" si="1792">SUM(BO178:BO181)</f>
        <v>10622780.452947157</v>
      </c>
      <c r="BP182" s="252">
        <f t="shared" ref="BP182" ca="1" si="1793">SUM(BP178:BP181)</f>
        <v>10693598.989302669</v>
      </c>
      <c r="BQ182" s="252">
        <f t="shared" ref="BQ182" ca="1" si="1794">SUM(BQ178:BQ181)</f>
        <v>10764889.649234716</v>
      </c>
      <c r="BR182" s="252">
        <f t="shared" ref="BR182" ca="1" si="1795">SUM(BR178:BR181)</f>
        <v>10836655.580233853</v>
      </c>
      <c r="BS182" s="252">
        <f t="shared" ref="BS182" ca="1" si="1796">SUM(BS178:BS181)</f>
        <v>10908899.95077391</v>
      </c>
      <c r="BT182" s="252">
        <f t="shared" ref="BT182" ca="1" si="1797">SUM(BT178:BT181)</f>
        <v>10981625.95045194</v>
      </c>
      <c r="BU182" s="252">
        <f t="shared" ref="BU182" ca="1" si="1798">SUM(BU178:BU181)</f>
        <v>11054836.790128933</v>
      </c>
      <c r="BV182" s="252">
        <f t="shared" ref="BV182" ca="1" si="1799">SUM(BV178:BV181)</f>
        <v>11128535.702071631</v>
      </c>
      <c r="BW182" s="252">
        <f t="shared" ref="BW182" ca="1" si="1800">SUM(BW178:BW181)</f>
        <v>11202725.940095199</v>
      </c>
      <c r="BX182" s="252">
        <f t="shared" ref="BX182" ca="1" si="1801">SUM(BX178:BX181)</f>
        <v>11277410.779706985</v>
      </c>
      <c r="BY182" s="252">
        <f t="shared" ref="BY182" ca="1" si="1802">SUM(BY178:BY181)</f>
        <v>11352593.518250942</v>
      </c>
      <c r="BZ182" s="252">
        <f t="shared" ref="BZ182:EK182" ca="1" si="1803">SUM(BZ178:BZ181)</f>
        <v>11428276.12404619</v>
      </c>
      <c r="CA182" s="252">
        <f t="shared" ca="1" si="1803"/>
        <v>11504463.280548332</v>
      </c>
      <c r="CB182" s="252">
        <f t="shared" ca="1" si="1803"/>
        <v>11581158.351428868</v>
      </c>
      <c r="CC182" s="252">
        <f t="shared" ca="1" si="1803"/>
        <v>11658364.722783761</v>
      </c>
      <c r="CD182" s="252">
        <f t="shared" ca="1" si="1803"/>
        <v>11736085.803282969</v>
      </c>
      <c r="CE182" s="252">
        <f t="shared" ca="1" si="1803"/>
        <v>11814325.024320902</v>
      </c>
      <c r="CF182" s="252">
        <f t="shared" ca="1" si="1803"/>
        <v>11893085.840167919</v>
      </c>
      <c r="CG182" s="252">
        <f t="shared" ca="1" si="1803"/>
        <v>11972371.728122937</v>
      </c>
      <c r="CH182" s="252">
        <f t="shared" ca="1" si="1803"/>
        <v>12052186.188666737</v>
      </c>
      <c r="CI182" s="252">
        <f t="shared" ca="1" si="1803"/>
        <v>12132532.745616745</v>
      </c>
      <c r="CJ182" s="252">
        <f t="shared" ca="1" si="1803"/>
        <v>12213414.946282461</v>
      </c>
      <c r="CK182" s="252">
        <f t="shared" ca="1" si="1803"/>
        <v>0</v>
      </c>
      <c r="CL182" s="252">
        <f t="shared" ca="1" si="1803"/>
        <v>0</v>
      </c>
      <c r="CM182" s="252">
        <f t="shared" ca="1" si="1803"/>
        <v>0</v>
      </c>
      <c r="CN182" s="252">
        <f t="shared" ca="1" si="1803"/>
        <v>0</v>
      </c>
      <c r="CO182" s="252">
        <f t="shared" ca="1" si="1803"/>
        <v>0</v>
      </c>
      <c r="CP182" s="252">
        <f t="shared" ca="1" si="1803"/>
        <v>0</v>
      </c>
      <c r="CQ182" s="252">
        <f t="shared" ca="1" si="1803"/>
        <v>0</v>
      </c>
      <c r="CR182" s="252">
        <f t="shared" ca="1" si="1803"/>
        <v>0</v>
      </c>
      <c r="CS182" s="252">
        <f t="shared" ca="1" si="1803"/>
        <v>0</v>
      </c>
      <c r="CT182" s="252">
        <f t="shared" ca="1" si="1803"/>
        <v>0</v>
      </c>
      <c r="CU182" s="252">
        <f t="shared" ca="1" si="1803"/>
        <v>0</v>
      </c>
      <c r="CV182" s="252">
        <f t="shared" ca="1" si="1803"/>
        <v>0</v>
      </c>
      <c r="CW182" s="252">
        <f t="shared" ca="1" si="1803"/>
        <v>0</v>
      </c>
      <c r="CX182" s="252">
        <f t="shared" ca="1" si="1803"/>
        <v>0</v>
      </c>
      <c r="CY182" s="252">
        <f t="shared" ca="1" si="1803"/>
        <v>0</v>
      </c>
      <c r="CZ182" s="252">
        <f t="shared" ca="1" si="1803"/>
        <v>0</v>
      </c>
      <c r="DA182" s="252">
        <f t="shared" ca="1" si="1803"/>
        <v>0</v>
      </c>
      <c r="DB182" s="252">
        <f t="shared" ca="1" si="1803"/>
        <v>0</v>
      </c>
      <c r="DC182" s="252">
        <f t="shared" ca="1" si="1803"/>
        <v>0</v>
      </c>
      <c r="DD182" s="252">
        <f t="shared" ca="1" si="1803"/>
        <v>0</v>
      </c>
      <c r="DE182" s="252">
        <f t="shared" ca="1" si="1803"/>
        <v>0</v>
      </c>
      <c r="DF182" s="252">
        <f t="shared" ca="1" si="1803"/>
        <v>0</v>
      </c>
      <c r="DG182" s="252">
        <f t="shared" ca="1" si="1803"/>
        <v>0</v>
      </c>
      <c r="DH182" s="252">
        <f t="shared" ca="1" si="1803"/>
        <v>0</v>
      </c>
      <c r="DI182" s="252">
        <f t="shared" ca="1" si="1803"/>
        <v>0</v>
      </c>
      <c r="DJ182" s="252">
        <f t="shared" ca="1" si="1803"/>
        <v>0</v>
      </c>
      <c r="DK182" s="252">
        <f t="shared" ca="1" si="1803"/>
        <v>0</v>
      </c>
      <c r="DL182" s="252">
        <f t="shared" ca="1" si="1803"/>
        <v>0</v>
      </c>
      <c r="DM182" s="252">
        <f t="shared" ca="1" si="1803"/>
        <v>0</v>
      </c>
      <c r="DN182" s="252">
        <f t="shared" ca="1" si="1803"/>
        <v>0</v>
      </c>
      <c r="DO182" s="252">
        <f t="shared" ca="1" si="1803"/>
        <v>0</v>
      </c>
      <c r="DP182" s="252">
        <f t="shared" ca="1" si="1803"/>
        <v>0</v>
      </c>
      <c r="DQ182" s="252">
        <f t="shared" ca="1" si="1803"/>
        <v>0</v>
      </c>
      <c r="DR182" s="252">
        <f t="shared" ca="1" si="1803"/>
        <v>0</v>
      </c>
      <c r="DS182" s="252">
        <f t="shared" ca="1" si="1803"/>
        <v>0</v>
      </c>
      <c r="DT182" s="252">
        <f t="shared" ca="1" si="1803"/>
        <v>0</v>
      </c>
      <c r="DU182" s="252">
        <f t="shared" ca="1" si="1803"/>
        <v>0</v>
      </c>
      <c r="DV182" s="252">
        <f t="shared" ca="1" si="1803"/>
        <v>0</v>
      </c>
      <c r="DW182" s="252">
        <f t="shared" ca="1" si="1803"/>
        <v>0</v>
      </c>
      <c r="DX182" s="252">
        <f t="shared" ca="1" si="1803"/>
        <v>0</v>
      </c>
      <c r="DY182" s="252">
        <f t="shared" ca="1" si="1803"/>
        <v>0</v>
      </c>
      <c r="DZ182" s="252">
        <f t="shared" ca="1" si="1803"/>
        <v>0</v>
      </c>
      <c r="EA182" s="252">
        <f t="shared" ca="1" si="1803"/>
        <v>0</v>
      </c>
      <c r="EB182" s="252">
        <f t="shared" ca="1" si="1803"/>
        <v>0</v>
      </c>
      <c r="EC182" s="252">
        <f t="shared" ca="1" si="1803"/>
        <v>0</v>
      </c>
      <c r="ED182" s="252">
        <f t="shared" ca="1" si="1803"/>
        <v>0</v>
      </c>
      <c r="EE182" s="252">
        <f t="shared" ca="1" si="1803"/>
        <v>0</v>
      </c>
      <c r="EF182" s="252">
        <f t="shared" ca="1" si="1803"/>
        <v>0</v>
      </c>
      <c r="EG182" s="252">
        <f t="shared" ca="1" si="1803"/>
        <v>0</v>
      </c>
      <c r="EH182" s="252">
        <f t="shared" ca="1" si="1803"/>
        <v>0</v>
      </c>
      <c r="EI182" s="252">
        <f t="shared" ca="1" si="1803"/>
        <v>0</v>
      </c>
      <c r="EJ182" s="252">
        <f t="shared" ca="1" si="1803"/>
        <v>0</v>
      </c>
      <c r="EK182" s="252">
        <f t="shared" ca="1" si="1803"/>
        <v>0</v>
      </c>
      <c r="EL182" s="252">
        <f t="shared" ref="EL182:ET182" ca="1" si="1804">SUM(EL178:EL181)</f>
        <v>0</v>
      </c>
      <c r="EM182" s="252">
        <f t="shared" ca="1" si="1804"/>
        <v>0</v>
      </c>
      <c r="EN182" s="252">
        <f t="shared" ca="1" si="1804"/>
        <v>0</v>
      </c>
      <c r="EO182" s="252">
        <f t="shared" ca="1" si="1804"/>
        <v>0</v>
      </c>
      <c r="EP182" s="252">
        <f t="shared" ca="1" si="1804"/>
        <v>0</v>
      </c>
      <c r="EQ182" s="252">
        <f t="shared" ca="1" si="1804"/>
        <v>0</v>
      </c>
      <c r="ER182" s="252">
        <f t="shared" ca="1" si="1804"/>
        <v>0</v>
      </c>
      <c r="ES182" s="252">
        <f t="shared" ca="1" si="1804"/>
        <v>0</v>
      </c>
      <c r="ET182" s="252">
        <f t="shared" ca="1" si="1804"/>
        <v>0</v>
      </c>
    </row>
    <row r="183" spans="2:150" x14ac:dyDescent="0.2"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</row>
    <row r="184" spans="2:150" x14ac:dyDescent="0.2">
      <c r="B184" t="s">
        <v>230</v>
      </c>
      <c r="F184" s="242">
        <f ca="1">F179*Promote!$E$3</f>
        <v>303236.37896879658</v>
      </c>
      <c r="G184" s="242">
        <f ca="1">G179*Promote!$E$3</f>
        <v>19961.378968796609</v>
      </c>
      <c r="H184" s="242">
        <f ca="1">H179*Promote!$E$3</f>
        <v>19961.378968796609</v>
      </c>
      <c r="I184" s="242">
        <f ca="1">I179*Promote!$E$3</f>
        <v>19961.378968796609</v>
      </c>
      <c r="J184" s="242">
        <f ca="1">J179*Promote!$E$3</f>
        <v>19961.378968796609</v>
      </c>
      <c r="K184" s="242">
        <f ca="1">K179*Promote!$E$3</f>
        <v>19961.378968796609</v>
      </c>
      <c r="L184" s="242">
        <f ca="1">L179*Promote!$E$3</f>
        <v>19961.378968796609</v>
      </c>
      <c r="M184" s="242">
        <f ca="1">M179*Promote!$E$3</f>
        <v>19961.378968796609</v>
      </c>
      <c r="N184" s="242">
        <f ca="1">N179*Promote!$E$3</f>
        <v>19961.378968796609</v>
      </c>
      <c r="O184" s="242">
        <f ca="1">O179*Promote!$E$3</f>
        <v>19961.378968796609</v>
      </c>
      <c r="P184" s="242">
        <f ca="1">P179*Promote!$E$3</f>
        <v>19961.378968796609</v>
      </c>
      <c r="Q184" s="242">
        <f ca="1">Q179*Promote!$E$3</f>
        <v>19961.378968796609</v>
      </c>
      <c r="R184" s="242">
        <f ca="1">R179*Promote!$E$3</f>
        <v>19961.378968796609</v>
      </c>
      <c r="S184" s="242">
        <f ca="1">S179*Promote!$E$3</f>
        <v>19961.378968796609</v>
      </c>
      <c r="T184" s="242">
        <f ca="1">T179*Promote!$E$3</f>
        <v>19961.378968796609</v>
      </c>
      <c r="U184" s="242">
        <f ca="1">U179*Promote!$E$3</f>
        <v>166357.62896879661</v>
      </c>
      <c r="V184" s="242">
        <f ca="1">V179*Promote!$E$3</f>
        <v>166357.62896879661</v>
      </c>
      <c r="W184" s="242">
        <f ca="1">W179*Promote!$E$3</f>
        <v>166357.62896879661</v>
      </c>
      <c r="X184" s="242">
        <f ca="1">X179*Promote!$E$3</f>
        <v>50136.458849745104</v>
      </c>
      <c r="Y184" s="242">
        <f ca="1">Y179*Promote!$E$3</f>
        <v>0</v>
      </c>
      <c r="Z184" s="242">
        <f ca="1">Z179*Promote!$E$3</f>
        <v>0</v>
      </c>
      <c r="AA184" s="242">
        <f ca="1">AA179*Promote!$E$3</f>
        <v>0</v>
      </c>
      <c r="AB184" s="242">
        <f ca="1">AB179*Promote!$E$3</f>
        <v>0</v>
      </c>
      <c r="AC184" s="242">
        <f ca="1">AC179*Promote!$E$3</f>
        <v>0</v>
      </c>
      <c r="AD184" s="242">
        <f ca="1">AD179*Promote!$E$3</f>
        <v>0</v>
      </c>
      <c r="AE184" s="242">
        <f ca="1">AE179*Promote!$E$3</f>
        <v>0</v>
      </c>
      <c r="AF184" s="242">
        <f ca="1">AF179*Promote!$E$3</f>
        <v>0</v>
      </c>
      <c r="AG184" s="242">
        <f ca="1">AG179*Promote!$E$3</f>
        <v>0</v>
      </c>
      <c r="AH184" s="242">
        <f ca="1">AH179*Promote!$E$3</f>
        <v>0</v>
      </c>
      <c r="AI184" s="242">
        <f ca="1">AI179*Promote!$E$3</f>
        <v>0</v>
      </c>
      <c r="AJ184" s="242">
        <f ca="1">AJ179*Promote!$E$3</f>
        <v>0</v>
      </c>
      <c r="AK184" s="242">
        <f ca="1">AK179*Promote!$E$3</f>
        <v>0</v>
      </c>
      <c r="AL184" s="242">
        <f ca="1">AL179*Promote!$E$3</f>
        <v>0</v>
      </c>
      <c r="AM184" s="242">
        <f ca="1">AM179*Promote!$E$3</f>
        <v>0</v>
      </c>
      <c r="AN184" s="242">
        <f ca="1">AN179*Promote!$E$3</f>
        <v>0</v>
      </c>
      <c r="AO184" s="242">
        <f ca="1">AO179*Promote!$E$3</f>
        <v>0</v>
      </c>
      <c r="AP184" s="242">
        <f ca="1">AP179*Promote!$E$3</f>
        <v>0</v>
      </c>
      <c r="AQ184" s="242">
        <f ca="1">AQ179*Promote!$E$3</f>
        <v>0</v>
      </c>
      <c r="AR184" s="242">
        <f ca="1">AR179*Promote!$E$3</f>
        <v>0</v>
      </c>
      <c r="AS184" s="242">
        <f ca="1">AS179*Promote!$E$3</f>
        <v>0</v>
      </c>
      <c r="AT184" s="242">
        <f ca="1">AT179*Promote!$E$3</f>
        <v>0</v>
      </c>
      <c r="AU184" s="242">
        <f ca="1">AU179*Promote!$E$3</f>
        <v>0</v>
      </c>
      <c r="AV184" s="242">
        <f ca="1">AV179*Promote!$E$3</f>
        <v>0</v>
      </c>
      <c r="AW184" s="242">
        <f ca="1">AW179*Promote!$E$3</f>
        <v>0</v>
      </c>
      <c r="AX184" s="242">
        <f ca="1">AX179*Promote!$E$3</f>
        <v>0</v>
      </c>
      <c r="AY184" s="242">
        <f ca="1">AY179*Promote!$E$3</f>
        <v>0</v>
      </c>
      <c r="AZ184" s="242">
        <f ca="1">AZ179*Promote!$E$3</f>
        <v>0</v>
      </c>
      <c r="BA184" s="242">
        <f ca="1">BA179*Promote!$E$3</f>
        <v>0</v>
      </c>
      <c r="BB184" s="242">
        <f ca="1">BB179*Promote!$E$3</f>
        <v>0</v>
      </c>
      <c r="BC184" s="242">
        <f ca="1">BC179*Promote!$E$3</f>
        <v>0</v>
      </c>
      <c r="BD184" s="242">
        <f ca="1">BD179*Promote!$E$3</f>
        <v>0</v>
      </c>
      <c r="BE184" s="242">
        <f ca="1">BE179*Promote!$E$3</f>
        <v>0</v>
      </c>
      <c r="BF184" s="242">
        <f ca="1">BF179*Promote!$E$3</f>
        <v>0</v>
      </c>
      <c r="BG184" s="242">
        <f ca="1">BG179*Promote!$E$3</f>
        <v>0</v>
      </c>
      <c r="BH184" s="242">
        <f ca="1">BH179*Promote!$E$3</f>
        <v>0</v>
      </c>
      <c r="BI184" s="242">
        <f ca="1">BI179*Promote!$E$3</f>
        <v>0</v>
      </c>
      <c r="BJ184" s="242">
        <f ca="1">BJ179*Promote!$E$3</f>
        <v>0</v>
      </c>
      <c r="BK184" s="242">
        <f ca="1">BK179*Promote!$E$3</f>
        <v>0</v>
      </c>
      <c r="BL184" s="242">
        <f ca="1">BL179*Promote!$E$3</f>
        <v>0</v>
      </c>
      <c r="BM184" s="242">
        <f ca="1">BM179*Promote!$E$3</f>
        <v>0</v>
      </c>
      <c r="BN184" s="242">
        <f ca="1">BN179*Promote!$E$3</f>
        <v>0</v>
      </c>
      <c r="BO184" s="242">
        <f ca="1">BO179*Promote!$E$3</f>
        <v>0</v>
      </c>
      <c r="BP184" s="242">
        <f ca="1">BP179*Promote!$E$3</f>
        <v>0</v>
      </c>
      <c r="BQ184" s="242">
        <f ca="1">BQ179*Promote!$E$3</f>
        <v>0</v>
      </c>
      <c r="BR184" s="242">
        <f ca="1">BR179*Promote!$E$3</f>
        <v>0</v>
      </c>
      <c r="BS184" s="242">
        <f ca="1">BS179*Promote!$E$3</f>
        <v>0</v>
      </c>
      <c r="BT184" s="242">
        <f ca="1">BT179*Promote!$E$3</f>
        <v>0</v>
      </c>
      <c r="BU184" s="242">
        <f ca="1">BU179*Promote!$E$3</f>
        <v>0</v>
      </c>
      <c r="BV184" s="242">
        <f ca="1">BV179*Promote!$E$3</f>
        <v>0</v>
      </c>
      <c r="BW184" s="242">
        <f ca="1">BW179*Promote!$E$3</f>
        <v>0</v>
      </c>
      <c r="BX184" s="242">
        <f ca="1">BX179*Promote!$E$3</f>
        <v>0</v>
      </c>
      <c r="BY184" s="242">
        <f ca="1">BY179*Promote!$E$3</f>
        <v>0</v>
      </c>
      <c r="BZ184" s="242">
        <f ca="1">BZ179*Promote!$E$3</f>
        <v>0</v>
      </c>
      <c r="CA184" s="242">
        <f ca="1">CA179*Promote!$E$3</f>
        <v>0</v>
      </c>
      <c r="CB184" s="242">
        <f ca="1">CB179*Promote!$E$3</f>
        <v>0</v>
      </c>
      <c r="CC184" s="242">
        <f ca="1">CC179*Promote!$E$3</f>
        <v>0</v>
      </c>
      <c r="CD184" s="242">
        <f ca="1">CD179*Promote!$E$3</f>
        <v>0</v>
      </c>
      <c r="CE184" s="242">
        <f ca="1">CE179*Promote!$E$3</f>
        <v>0</v>
      </c>
      <c r="CF184" s="242">
        <f ca="1">CF179*Promote!$E$3</f>
        <v>0</v>
      </c>
      <c r="CG184" s="242">
        <f ca="1">CG179*Promote!$E$3</f>
        <v>0</v>
      </c>
      <c r="CH184" s="242">
        <f ca="1">CH179*Promote!$E$3</f>
        <v>0</v>
      </c>
      <c r="CI184" s="242">
        <f ca="1">CI179*Promote!$E$3</f>
        <v>0</v>
      </c>
      <c r="CJ184" s="242">
        <f ca="1">CJ179*Promote!$E$3</f>
        <v>0</v>
      </c>
      <c r="CK184" s="242">
        <f ca="1">CK179*Promote!$E$3</f>
        <v>0</v>
      </c>
      <c r="CL184" s="242">
        <f ca="1">CL179*Promote!$E$3</f>
        <v>0</v>
      </c>
      <c r="CM184" s="242">
        <f ca="1">CM179*Promote!$E$3</f>
        <v>0</v>
      </c>
      <c r="CN184" s="242">
        <f ca="1">CN179*Promote!$E$3</f>
        <v>0</v>
      </c>
      <c r="CO184" s="242">
        <f ca="1">CO179*Promote!$E$3</f>
        <v>0</v>
      </c>
      <c r="CP184" s="242">
        <f ca="1">CP179*Promote!$E$3</f>
        <v>0</v>
      </c>
      <c r="CQ184" s="242">
        <f ca="1">CQ179*Promote!$E$3</f>
        <v>0</v>
      </c>
      <c r="CR184" s="242">
        <f ca="1">CR179*Promote!$E$3</f>
        <v>0</v>
      </c>
      <c r="CS184" s="242">
        <f ca="1">CS179*Promote!$E$3</f>
        <v>0</v>
      </c>
      <c r="CT184" s="242">
        <f ca="1">CT179*Promote!$E$3</f>
        <v>0</v>
      </c>
      <c r="CU184" s="242">
        <f ca="1">CU179*Promote!$E$3</f>
        <v>0</v>
      </c>
      <c r="CV184" s="242">
        <f ca="1">CV179*Promote!$E$3</f>
        <v>0</v>
      </c>
      <c r="CW184" s="242">
        <f ca="1">CW179*Promote!$E$3</f>
        <v>0</v>
      </c>
      <c r="CX184" s="242">
        <f ca="1">CX179*Promote!$E$3</f>
        <v>0</v>
      </c>
      <c r="CY184" s="242">
        <f ca="1">CY179*Promote!$E$3</f>
        <v>0</v>
      </c>
      <c r="CZ184" s="242">
        <f ca="1">CZ179*Promote!$E$3</f>
        <v>0</v>
      </c>
      <c r="DA184" s="242">
        <f ca="1">DA179*Promote!$E$3</f>
        <v>0</v>
      </c>
      <c r="DB184" s="242">
        <f ca="1">DB179*Promote!$E$3</f>
        <v>0</v>
      </c>
      <c r="DC184" s="242">
        <f ca="1">DC179*Promote!$E$3</f>
        <v>0</v>
      </c>
      <c r="DD184" s="242">
        <f ca="1">DD179*Promote!$E$3</f>
        <v>0</v>
      </c>
      <c r="DE184" s="242">
        <f ca="1">DE179*Promote!$E$3</f>
        <v>0</v>
      </c>
      <c r="DF184" s="242">
        <f ca="1">DF179*Promote!$E$3</f>
        <v>0</v>
      </c>
      <c r="DG184" s="242">
        <f ca="1">DG179*Promote!$E$3</f>
        <v>0</v>
      </c>
      <c r="DH184" s="242">
        <f ca="1">DH179*Promote!$E$3</f>
        <v>0</v>
      </c>
      <c r="DI184" s="242">
        <f ca="1">DI179*Promote!$E$3</f>
        <v>0</v>
      </c>
      <c r="DJ184" s="242">
        <f ca="1">DJ179*Promote!$E$3</f>
        <v>0</v>
      </c>
      <c r="DK184" s="242">
        <f ca="1">DK179*Promote!$E$3</f>
        <v>0</v>
      </c>
      <c r="DL184" s="242">
        <f ca="1">DL179*Promote!$E$3</f>
        <v>0</v>
      </c>
      <c r="DM184" s="242">
        <f ca="1">DM179*Promote!$E$3</f>
        <v>0</v>
      </c>
      <c r="DN184" s="242">
        <f ca="1">DN179*Promote!$E$3</f>
        <v>0</v>
      </c>
      <c r="DO184" s="242">
        <f ca="1">DO179*Promote!$E$3</f>
        <v>0</v>
      </c>
      <c r="DP184" s="242">
        <f ca="1">DP179*Promote!$E$3</f>
        <v>0</v>
      </c>
      <c r="DQ184" s="242">
        <f ca="1">DQ179*Promote!$E$3</f>
        <v>0</v>
      </c>
      <c r="DR184" s="242">
        <f ca="1">DR179*Promote!$E$3</f>
        <v>0</v>
      </c>
      <c r="DS184" s="242">
        <f ca="1">DS179*Promote!$E$3</f>
        <v>0</v>
      </c>
      <c r="DT184" s="242">
        <f ca="1">DT179*Promote!$E$3</f>
        <v>0</v>
      </c>
      <c r="DU184" s="242">
        <f ca="1">DU179*Promote!$E$3</f>
        <v>0</v>
      </c>
      <c r="DV184" s="242">
        <f ca="1">DV179*Promote!$E$3</f>
        <v>0</v>
      </c>
      <c r="DW184" s="242">
        <f ca="1">DW179*Promote!$E$3</f>
        <v>0</v>
      </c>
      <c r="DX184" s="242">
        <f ca="1">DX179*Promote!$E$3</f>
        <v>0</v>
      </c>
      <c r="DY184" s="242">
        <f ca="1">DY179*Promote!$E$3</f>
        <v>0</v>
      </c>
      <c r="DZ184" s="242">
        <f ca="1">DZ179*Promote!$E$3</f>
        <v>0</v>
      </c>
      <c r="EA184" s="242">
        <f ca="1">EA179*Promote!$E$3</f>
        <v>0</v>
      </c>
      <c r="EB184" s="242">
        <f ca="1">EB179*Promote!$E$3</f>
        <v>0</v>
      </c>
      <c r="EC184" s="242">
        <f ca="1">EC179*Promote!$E$3</f>
        <v>0</v>
      </c>
      <c r="ED184" s="242">
        <f ca="1">ED179*Promote!$E$3</f>
        <v>0</v>
      </c>
      <c r="EE184" s="242">
        <f ca="1">EE179*Promote!$E$3</f>
        <v>0</v>
      </c>
      <c r="EF184" s="242">
        <f ca="1">EF179*Promote!$E$3</f>
        <v>0</v>
      </c>
      <c r="EG184" s="242">
        <f ca="1">EG179*Promote!$E$3</f>
        <v>0</v>
      </c>
      <c r="EH184" s="242">
        <f ca="1">EH179*Promote!$E$3</f>
        <v>0</v>
      </c>
      <c r="EI184" s="242">
        <f ca="1">EI179*Promote!$E$3</f>
        <v>0</v>
      </c>
      <c r="EJ184" s="242">
        <f ca="1">EJ179*Promote!$E$3</f>
        <v>0</v>
      </c>
      <c r="EK184" s="242">
        <f ca="1">EK179*Promote!$E$3</f>
        <v>0</v>
      </c>
      <c r="EL184" s="242">
        <f ca="1">EL179*Promote!$E$3</f>
        <v>0</v>
      </c>
      <c r="EM184" s="242">
        <f ca="1">EM179*Promote!$E$3</f>
        <v>0</v>
      </c>
      <c r="EN184" s="242">
        <f ca="1">EN179*Promote!$E$3</f>
        <v>0</v>
      </c>
      <c r="EO184" s="242">
        <f ca="1">EO179*Promote!$E$3</f>
        <v>0</v>
      </c>
      <c r="EP184" s="242">
        <f ca="1">EP179*Promote!$E$3</f>
        <v>0</v>
      </c>
      <c r="EQ184" s="242">
        <f ca="1">EQ179*Promote!$E$3</f>
        <v>0</v>
      </c>
      <c r="ER184" s="242">
        <f ca="1">ER179*Promote!$E$3</f>
        <v>0</v>
      </c>
      <c r="ES184" s="242">
        <f ca="1">ES179*Promote!$E$3</f>
        <v>0</v>
      </c>
      <c r="ET184" s="242">
        <f ca="1">ET179*Promote!$E$3</f>
        <v>0</v>
      </c>
    </row>
    <row r="185" spans="2:150" x14ac:dyDescent="0.2">
      <c r="B185" t="s">
        <v>226</v>
      </c>
      <c r="F185" s="242">
        <f ca="1">-F$181*Promote!$E3</f>
        <v>0</v>
      </c>
      <c r="G185" s="242">
        <f ca="1">-G$181*Promote!$E3</f>
        <v>0</v>
      </c>
      <c r="H185" s="242">
        <f ca="1">-H$181*Promote!$E3</f>
        <v>0</v>
      </c>
      <c r="I185" s="242">
        <f ca="1">-I$181*Promote!$E3</f>
        <v>0</v>
      </c>
      <c r="J185" s="242">
        <f ca="1">-J$181*Promote!$E3</f>
        <v>0</v>
      </c>
      <c r="K185" s="242">
        <f ca="1">-K$181*Promote!$E3</f>
        <v>0</v>
      </c>
      <c r="L185" s="242">
        <f ca="1">-L$181*Promote!$E3</f>
        <v>0</v>
      </c>
      <c r="M185" s="242">
        <f ca="1">-M$181*Promote!$E3</f>
        <v>0</v>
      </c>
      <c r="N185" s="242">
        <f ca="1">-N$181*Promote!$E3</f>
        <v>0</v>
      </c>
      <c r="O185" s="242">
        <f ca="1">-O$181*Promote!$E3</f>
        <v>0</v>
      </c>
      <c r="P185" s="242">
        <f ca="1">-P$181*Promote!$E3</f>
        <v>0</v>
      </c>
      <c r="Q185" s="242">
        <f ca="1">-Q$181*Promote!$E3</f>
        <v>0</v>
      </c>
      <c r="R185" s="242">
        <f ca="1">-R$181*Promote!$E3</f>
        <v>0</v>
      </c>
      <c r="S185" s="242">
        <f ca="1">-S$181*Promote!$E3</f>
        <v>0</v>
      </c>
      <c r="T185" s="242">
        <f ca="1">-T$181*Promote!$E3</f>
        <v>0</v>
      </c>
      <c r="U185" s="242">
        <f ca="1">-U$181*Promote!$E3</f>
        <v>0</v>
      </c>
      <c r="V185" s="242">
        <f ca="1">-V$181*Promote!$E3</f>
        <v>0</v>
      </c>
      <c r="W185" s="242">
        <f ca="1">-W$181*Promote!$E3</f>
        <v>0</v>
      </c>
      <c r="X185" s="242">
        <f ca="1">-X$181*Promote!$E3</f>
        <v>0</v>
      </c>
      <c r="Y185" s="242">
        <f ca="1">-Y$181*Promote!$E3</f>
        <v>0</v>
      </c>
      <c r="Z185" s="242">
        <f ca="1">-Z$181*Promote!$E3</f>
        <v>0</v>
      </c>
      <c r="AA185" s="242">
        <f ca="1">-AA$181*Promote!$E3</f>
        <v>0</v>
      </c>
      <c r="AB185" s="242">
        <f ca="1">-AB$181*Promote!$E3</f>
        <v>0</v>
      </c>
      <c r="AC185" s="242">
        <f ca="1">-AC$181*Promote!$E3</f>
        <v>0</v>
      </c>
      <c r="AD185" s="242">
        <f ca="1">-AD$181*Promote!$E3</f>
        <v>0</v>
      </c>
      <c r="AE185" s="242">
        <f ca="1">-AE$181*Promote!$E3</f>
        <v>0</v>
      </c>
      <c r="AF185" s="242">
        <f ca="1">-AF$181*Promote!$E3</f>
        <v>0</v>
      </c>
      <c r="AG185" s="242">
        <f ca="1">-AG$181*Promote!$E3</f>
        <v>0</v>
      </c>
      <c r="AH185" s="242">
        <f ca="1">-AH$181*Promote!$E3</f>
        <v>0</v>
      </c>
      <c r="AI185" s="242">
        <f ca="1">-AI$181*Promote!$E3</f>
        <v>0</v>
      </c>
      <c r="AJ185" s="242">
        <f ca="1">-AJ$181*Promote!$E3</f>
        <v>0</v>
      </c>
      <c r="AK185" s="242">
        <f ca="1">-AK$181*Promote!$E3</f>
        <v>0</v>
      </c>
      <c r="AL185" s="242">
        <f ca="1">-AL$181*Promote!$E3</f>
        <v>0</v>
      </c>
      <c r="AM185" s="242">
        <f ca="1">-AM$181*Promote!$E3</f>
        <v>0</v>
      </c>
      <c r="AN185" s="242">
        <f ca="1">-AN$181*Promote!$E3</f>
        <v>0</v>
      </c>
      <c r="AO185" s="242">
        <f ca="1">-AO$181*Promote!$E3</f>
        <v>0</v>
      </c>
      <c r="AP185" s="242">
        <f ca="1">-AP$181*Promote!$E3</f>
        <v>0</v>
      </c>
      <c r="AQ185" s="242">
        <f ca="1">-AQ$181*Promote!$E3</f>
        <v>0</v>
      </c>
      <c r="AR185" s="242">
        <f ca="1">-AR$181*Promote!$E3</f>
        <v>0</v>
      </c>
      <c r="AS185" s="242">
        <f ca="1">-AS$181*Promote!$E3</f>
        <v>0</v>
      </c>
      <c r="AT185" s="242">
        <f ca="1">-AT$181*Promote!$E3</f>
        <v>0</v>
      </c>
      <c r="AU185" s="242">
        <f ca="1">-AU$181*Promote!$E3</f>
        <v>0</v>
      </c>
      <c r="AV185" s="242">
        <f ca="1">-AV$181*Promote!$E3</f>
        <v>0</v>
      </c>
      <c r="AW185" s="242">
        <f ca="1">-AW$181*Promote!$E3</f>
        <v>0</v>
      </c>
      <c r="AX185" s="242">
        <f ca="1">-AX$181*Promote!$E3</f>
        <v>0</v>
      </c>
      <c r="AY185" s="242">
        <f ca="1">-AY$181*Promote!$E3</f>
        <v>0</v>
      </c>
      <c r="AZ185" s="242">
        <f ca="1">-AZ$181*Promote!$E3</f>
        <v>0</v>
      </c>
      <c r="BA185" s="242">
        <f ca="1">-BA$181*Promote!$E3</f>
        <v>0</v>
      </c>
      <c r="BB185" s="242">
        <f ca="1">-BB$181*Promote!$E3</f>
        <v>0</v>
      </c>
      <c r="BC185" s="242">
        <f ca="1">-BC$181*Promote!$E3</f>
        <v>0</v>
      </c>
      <c r="BD185" s="242">
        <f ca="1">-BD$181*Promote!$E3</f>
        <v>0</v>
      </c>
      <c r="BE185" s="242">
        <f ca="1">-BE$181*Promote!$E3</f>
        <v>0</v>
      </c>
      <c r="BF185" s="242">
        <f ca="1">-BF$181*Promote!$E3</f>
        <v>0</v>
      </c>
      <c r="BG185" s="242">
        <f ca="1">-BG$181*Promote!$E3</f>
        <v>0</v>
      </c>
      <c r="BH185" s="242">
        <f ca="1">-BH$181*Promote!$E3</f>
        <v>0</v>
      </c>
      <c r="BI185" s="242">
        <f ca="1">-BI$181*Promote!$E3</f>
        <v>0</v>
      </c>
      <c r="BJ185" s="242">
        <f ca="1">-BJ$181*Promote!$E3</f>
        <v>0</v>
      </c>
      <c r="BK185" s="242">
        <f ca="1">-BK$181*Promote!$E3</f>
        <v>0</v>
      </c>
      <c r="BL185" s="242">
        <f ca="1">-BL$181*Promote!$E3</f>
        <v>0</v>
      </c>
      <c r="BM185" s="242">
        <f ca="1">-BM$181*Promote!$E3</f>
        <v>0</v>
      </c>
      <c r="BN185" s="242">
        <f ca="1">-BN$181*Promote!$E3</f>
        <v>0</v>
      </c>
      <c r="BO185" s="242">
        <f ca="1">-BO$181*Promote!$E3</f>
        <v>0</v>
      </c>
      <c r="BP185" s="242">
        <f ca="1">-BP$181*Promote!$E3</f>
        <v>0</v>
      </c>
      <c r="BQ185" s="242">
        <f ca="1">-BQ$181*Promote!$E3</f>
        <v>0</v>
      </c>
      <c r="BR185" s="242">
        <f ca="1">-BR$181*Promote!$E3</f>
        <v>0</v>
      </c>
      <c r="BS185" s="242">
        <f ca="1">-BS$181*Promote!$E3</f>
        <v>0</v>
      </c>
      <c r="BT185" s="242">
        <f ca="1">-BT$181*Promote!$E3</f>
        <v>0</v>
      </c>
      <c r="BU185" s="242">
        <f ca="1">-BU$181*Promote!$E3</f>
        <v>0</v>
      </c>
      <c r="BV185" s="242">
        <f ca="1">-BV$181*Promote!$E3</f>
        <v>0</v>
      </c>
      <c r="BW185" s="242">
        <f ca="1">-BW$181*Promote!$E3</f>
        <v>0</v>
      </c>
      <c r="BX185" s="242">
        <f ca="1">-BX$181*Promote!$E3</f>
        <v>0</v>
      </c>
      <c r="BY185" s="242">
        <f ca="1">-BY$181*Promote!$E3</f>
        <v>0</v>
      </c>
      <c r="BZ185" s="242">
        <f ca="1">-BZ$181*Promote!$E3</f>
        <v>0.20265108259191036</v>
      </c>
      <c r="CA185" s="242">
        <f ca="1">-CA$181*Promote!$E3</f>
        <v>0.20265108555613551</v>
      </c>
      <c r="CB185" s="242">
        <f ca="1">-CB$181*Promote!$E3</f>
        <v>0.2026510876516113</v>
      </c>
      <c r="CC185" s="242">
        <f ca="1">-CC$181*Promote!$E3</f>
        <v>0.20265108876046725</v>
      </c>
      <c r="CD185" s="242">
        <f ca="1">-CD$181*Promote!$E3</f>
        <v>0.20265108877792953</v>
      </c>
      <c r="CE185" s="242">
        <f ca="1">-CE$181*Promote!$E3</f>
        <v>0.20265108763414899</v>
      </c>
      <c r="CF185" s="242">
        <f ca="1">-CF$181*Promote!$E3</f>
        <v>0.20265108518506167</v>
      </c>
      <c r="CG185" s="242">
        <f ca="1">-CG$181*Promote!$E3</f>
        <v>0.20265108135645277</v>
      </c>
      <c r="CH185" s="242">
        <f ca="1">-CH$181*Promote!$E3</f>
        <v>0.20265107601298951</v>
      </c>
      <c r="CI185" s="242">
        <f ca="1">-CI$181*Promote!$E3</f>
        <v>0.20265106902370461</v>
      </c>
      <c r="CJ185" s="242">
        <f ca="1">-CJ$181*Promote!$E3</f>
        <v>0.20265106026199645</v>
      </c>
      <c r="CK185" s="242">
        <f ca="1">-CK$181*Promote!$E3</f>
        <v>1844225.6568939099</v>
      </c>
      <c r="CL185" s="242">
        <f ca="1">-CL$181*Promote!$E3</f>
        <v>0</v>
      </c>
      <c r="CM185" s="242">
        <f ca="1">-CM$181*Promote!$E3</f>
        <v>0</v>
      </c>
      <c r="CN185" s="242">
        <f ca="1">-CN$181*Promote!$E3</f>
        <v>0</v>
      </c>
      <c r="CO185" s="242">
        <f ca="1">-CO$181*Promote!$E3</f>
        <v>0</v>
      </c>
      <c r="CP185" s="242">
        <f ca="1">-CP$181*Promote!$E3</f>
        <v>0</v>
      </c>
      <c r="CQ185" s="242">
        <f ca="1">-CQ$181*Promote!$E3</f>
        <v>0</v>
      </c>
      <c r="CR185" s="242">
        <f ca="1">-CR$181*Promote!$E3</f>
        <v>0</v>
      </c>
      <c r="CS185" s="242">
        <f ca="1">-CS$181*Promote!$E3</f>
        <v>0</v>
      </c>
      <c r="CT185" s="242">
        <f ca="1">-CT$181*Promote!$E3</f>
        <v>0</v>
      </c>
      <c r="CU185" s="242">
        <f ca="1">-CU$181*Promote!$E3</f>
        <v>0</v>
      </c>
      <c r="CV185" s="242">
        <f ca="1">-CV$181*Promote!$E3</f>
        <v>0</v>
      </c>
      <c r="CW185" s="242">
        <f ca="1">-CW$181*Promote!$E3</f>
        <v>0</v>
      </c>
      <c r="CX185" s="242">
        <f ca="1">-CX$181*Promote!$E3</f>
        <v>0</v>
      </c>
      <c r="CY185" s="242">
        <f ca="1">-CY$181*Promote!$E3</f>
        <v>0</v>
      </c>
      <c r="CZ185" s="242">
        <f ca="1">-CZ$181*Promote!$E3</f>
        <v>0</v>
      </c>
      <c r="DA185" s="242">
        <f ca="1">-DA$181*Promote!$E3</f>
        <v>0</v>
      </c>
      <c r="DB185" s="242">
        <f ca="1">-DB$181*Promote!$E3</f>
        <v>0</v>
      </c>
      <c r="DC185" s="242">
        <f ca="1">-DC$181*Promote!$E3</f>
        <v>0</v>
      </c>
      <c r="DD185" s="242">
        <f ca="1">-DD$181*Promote!$E3</f>
        <v>0</v>
      </c>
      <c r="DE185" s="242">
        <f ca="1">-DE$181*Promote!$E3</f>
        <v>0</v>
      </c>
      <c r="DF185" s="242">
        <f ca="1">-DF$181*Promote!$E3</f>
        <v>0</v>
      </c>
      <c r="DG185" s="242">
        <f ca="1">-DG$181*Promote!$E3</f>
        <v>0</v>
      </c>
      <c r="DH185" s="242">
        <f ca="1">-DH$181*Promote!$E3</f>
        <v>0</v>
      </c>
      <c r="DI185" s="242">
        <f ca="1">-DI$181*Promote!$E3</f>
        <v>0</v>
      </c>
      <c r="DJ185" s="242">
        <f ca="1">-DJ$181*Promote!$E3</f>
        <v>0</v>
      </c>
      <c r="DK185" s="242">
        <f ca="1">-DK$181*Promote!$E3</f>
        <v>0</v>
      </c>
      <c r="DL185" s="242">
        <f ca="1">-DL$181*Promote!$E3</f>
        <v>0</v>
      </c>
      <c r="DM185" s="242">
        <f ca="1">-DM$181*Promote!$E3</f>
        <v>0</v>
      </c>
      <c r="DN185" s="242">
        <f ca="1">-DN$181*Promote!$E3</f>
        <v>0</v>
      </c>
      <c r="DO185" s="242">
        <f ca="1">-DO$181*Promote!$E3</f>
        <v>0</v>
      </c>
      <c r="DP185" s="242">
        <f ca="1">-DP$181*Promote!$E3</f>
        <v>0</v>
      </c>
      <c r="DQ185" s="242">
        <f ca="1">-DQ$181*Promote!$E3</f>
        <v>0</v>
      </c>
      <c r="DR185" s="242">
        <f ca="1">-DR$181*Promote!$E3</f>
        <v>0</v>
      </c>
      <c r="DS185" s="242">
        <f ca="1">-DS$181*Promote!$E3</f>
        <v>0</v>
      </c>
      <c r="DT185" s="242">
        <f ca="1">-DT$181*Promote!$E3</f>
        <v>0</v>
      </c>
      <c r="DU185" s="242">
        <f ca="1">-DU$181*Promote!$E3</f>
        <v>0</v>
      </c>
      <c r="DV185" s="242">
        <f ca="1">-DV$181*Promote!$E3</f>
        <v>0</v>
      </c>
      <c r="DW185" s="242">
        <f ca="1">-DW$181*Promote!$E3</f>
        <v>0</v>
      </c>
      <c r="DX185" s="242">
        <f ca="1">-DX$181*Promote!$E3</f>
        <v>0</v>
      </c>
      <c r="DY185" s="242">
        <f ca="1">-DY$181*Promote!$E3</f>
        <v>0</v>
      </c>
      <c r="DZ185" s="242">
        <f ca="1">-DZ$181*Promote!$E3</f>
        <v>0</v>
      </c>
      <c r="EA185" s="242">
        <f ca="1">-EA$181*Promote!$E3</f>
        <v>0</v>
      </c>
      <c r="EB185" s="242">
        <f ca="1">-EB$181*Promote!$E3</f>
        <v>0</v>
      </c>
      <c r="EC185" s="242">
        <f ca="1">-EC$181*Promote!$E3</f>
        <v>0</v>
      </c>
      <c r="ED185" s="242">
        <f ca="1">-ED$181*Promote!$E3</f>
        <v>0</v>
      </c>
      <c r="EE185" s="242">
        <f ca="1">-EE$181*Promote!$E3</f>
        <v>0</v>
      </c>
      <c r="EF185" s="242">
        <f ca="1">-EF$181*Promote!$E3</f>
        <v>0</v>
      </c>
      <c r="EG185" s="242">
        <f ca="1">-EG$181*Promote!$E3</f>
        <v>0</v>
      </c>
      <c r="EH185" s="242">
        <f ca="1">-EH$181*Promote!$E3</f>
        <v>0</v>
      </c>
      <c r="EI185" s="242">
        <f ca="1">-EI$181*Promote!$E3</f>
        <v>0</v>
      </c>
      <c r="EJ185" s="242">
        <f ca="1">-EJ$181*Promote!$E3</f>
        <v>0</v>
      </c>
      <c r="EK185" s="242">
        <f ca="1">-EK$181*Promote!$E3</f>
        <v>0</v>
      </c>
      <c r="EL185" s="242">
        <f ca="1">-EL$181*Promote!$E3</f>
        <v>0</v>
      </c>
      <c r="EM185" s="242">
        <f ca="1">-EM$181*Promote!$E3</f>
        <v>0</v>
      </c>
      <c r="EN185" s="242">
        <f ca="1">-EN$181*Promote!$E3</f>
        <v>0</v>
      </c>
      <c r="EO185" s="242">
        <f ca="1">-EO$181*Promote!$E3</f>
        <v>0</v>
      </c>
      <c r="EP185" s="242">
        <f ca="1">-EP$181*Promote!$E3</f>
        <v>0</v>
      </c>
      <c r="EQ185" s="242">
        <f ca="1">-EQ$181*Promote!$E3</f>
        <v>0</v>
      </c>
      <c r="ER185" s="242">
        <f ca="1">-ER$181*Promote!$E3</f>
        <v>0</v>
      </c>
      <c r="ES185" s="242">
        <f ca="1">-ES$181*Promote!$E3</f>
        <v>0</v>
      </c>
      <c r="ET185" s="242">
        <f ca="1">-ET$181*Promote!$E3</f>
        <v>0</v>
      </c>
    </row>
    <row r="186" spans="2:150" x14ac:dyDescent="0.2">
      <c r="B186" t="s">
        <v>223</v>
      </c>
      <c r="F186" s="242">
        <f ca="1">F179*Promote!$E$4</f>
        <v>1718339.4808231806</v>
      </c>
      <c r="G186" s="242">
        <f ca="1">G179*Promote!$E$4</f>
        <v>113114.48082318078</v>
      </c>
      <c r="H186" s="242">
        <f ca="1">H179*Promote!$E$4</f>
        <v>113114.48082318078</v>
      </c>
      <c r="I186" s="242">
        <f ca="1">I179*Promote!$E$4</f>
        <v>113114.48082318078</v>
      </c>
      <c r="J186" s="242">
        <f ca="1">J179*Promote!$E$4</f>
        <v>113114.48082318078</v>
      </c>
      <c r="K186" s="242">
        <f ca="1">K179*Promote!$E$4</f>
        <v>113114.48082318078</v>
      </c>
      <c r="L186" s="242">
        <f ca="1">L179*Promote!$E$4</f>
        <v>113114.48082318078</v>
      </c>
      <c r="M186" s="242">
        <f ca="1">M179*Promote!$E$4</f>
        <v>113114.48082318078</v>
      </c>
      <c r="N186" s="242">
        <f ca="1">N179*Promote!$E$4</f>
        <v>113114.48082318078</v>
      </c>
      <c r="O186" s="242">
        <f ca="1">O179*Promote!$E$4</f>
        <v>113114.48082318078</v>
      </c>
      <c r="P186" s="242">
        <f ca="1">P179*Promote!$E$4</f>
        <v>113114.48082318078</v>
      </c>
      <c r="Q186" s="242">
        <f ca="1">Q179*Promote!$E$4</f>
        <v>113114.48082318078</v>
      </c>
      <c r="R186" s="242">
        <f ca="1">R179*Promote!$E$4</f>
        <v>113114.48082318078</v>
      </c>
      <c r="S186" s="242">
        <f ca="1">S179*Promote!$E$4</f>
        <v>113114.48082318078</v>
      </c>
      <c r="T186" s="242">
        <f ca="1">T179*Promote!$E$4</f>
        <v>113114.48082318078</v>
      </c>
      <c r="U186" s="242">
        <f ca="1">U179*Promote!$E$4</f>
        <v>942693.23082318075</v>
      </c>
      <c r="V186" s="242">
        <f ca="1">V179*Promote!$E$4</f>
        <v>942693.23082318075</v>
      </c>
      <c r="W186" s="242">
        <f ca="1">W179*Promote!$E$4</f>
        <v>942693.23082318075</v>
      </c>
      <c r="X186" s="242">
        <f ca="1">X179*Promote!$E$4</f>
        <v>284106.60014855559</v>
      </c>
      <c r="Y186" s="242">
        <f ca="1">Y179*Promote!$E$4</f>
        <v>0</v>
      </c>
      <c r="Z186" s="242">
        <f ca="1">Z179*Promote!$E$4</f>
        <v>0</v>
      </c>
      <c r="AA186" s="242">
        <f ca="1">AA179*Promote!$E$4</f>
        <v>0</v>
      </c>
      <c r="AB186" s="242">
        <f ca="1">AB179*Promote!$E$4</f>
        <v>0</v>
      </c>
      <c r="AC186" s="242">
        <f ca="1">AC179*Promote!$E$4</f>
        <v>0</v>
      </c>
      <c r="AD186" s="242">
        <f ca="1">AD179*Promote!$E$4</f>
        <v>0</v>
      </c>
      <c r="AE186" s="242">
        <f ca="1">AE179*Promote!$E$4</f>
        <v>0</v>
      </c>
      <c r="AF186" s="242">
        <f ca="1">AF179*Promote!$E$4</f>
        <v>0</v>
      </c>
      <c r="AG186" s="242">
        <f ca="1">AG179*Promote!$E$4</f>
        <v>0</v>
      </c>
      <c r="AH186" s="242">
        <f ca="1">AH179*Promote!$E$4</f>
        <v>0</v>
      </c>
      <c r="AI186" s="242">
        <f ca="1">AI179*Promote!$E$4</f>
        <v>0</v>
      </c>
      <c r="AJ186" s="242">
        <f ca="1">AJ179*Promote!$E$4</f>
        <v>0</v>
      </c>
      <c r="AK186" s="242">
        <f ca="1">AK179*Promote!$E$4</f>
        <v>0</v>
      </c>
      <c r="AL186" s="242">
        <f ca="1">AL179*Promote!$E$4</f>
        <v>0</v>
      </c>
      <c r="AM186" s="242">
        <f ca="1">AM179*Promote!$E$4</f>
        <v>0</v>
      </c>
      <c r="AN186" s="242">
        <f ca="1">AN179*Promote!$E$4</f>
        <v>0</v>
      </c>
      <c r="AO186" s="242">
        <f ca="1">AO179*Promote!$E$4</f>
        <v>0</v>
      </c>
      <c r="AP186" s="242">
        <f ca="1">AP179*Promote!$E$4</f>
        <v>0</v>
      </c>
      <c r="AQ186" s="242">
        <f ca="1">AQ179*Promote!$E$4</f>
        <v>0</v>
      </c>
      <c r="AR186" s="242">
        <f ca="1">AR179*Promote!$E$4</f>
        <v>0</v>
      </c>
      <c r="AS186" s="242">
        <f ca="1">AS179*Promote!$E$4</f>
        <v>0</v>
      </c>
      <c r="AT186" s="242">
        <f ca="1">AT179*Promote!$E$4</f>
        <v>0</v>
      </c>
      <c r="AU186" s="242">
        <f ca="1">AU179*Promote!$E$4</f>
        <v>0</v>
      </c>
      <c r="AV186" s="242">
        <f ca="1">AV179*Promote!$E$4</f>
        <v>0</v>
      </c>
      <c r="AW186" s="242">
        <f ca="1">AW179*Promote!$E$4</f>
        <v>0</v>
      </c>
      <c r="AX186" s="242">
        <f ca="1">AX179*Promote!$E$4</f>
        <v>0</v>
      </c>
      <c r="AY186" s="242">
        <f ca="1">AY179*Promote!$E$4</f>
        <v>0</v>
      </c>
      <c r="AZ186" s="242">
        <f ca="1">AZ179*Promote!$E$4</f>
        <v>0</v>
      </c>
      <c r="BA186" s="242">
        <f ca="1">BA179*Promote!$E$4</f>
        <v>0</v>
      </c>
      <c r="BB186" s="242">
        <f ca="1">BB179*Promote!$E$4</f>
        <v>0</v>
      </c>
      <c r="BC186" s="242">
        <f ca="1">BC179*Promote!$E$4</f>
        <v>0</v>
      </c>
      <c r="BD186" s="242">
        <f ca="1">BD179*Promote!$E$4</f>
        <v>0</v>
      </c>
      <c r="BE186" s="242">
        <f ca="1">BE179*Promote!$E$4</f>
        <v>0</v>
      </c>
      <c r="BF186" s="242">
        <f ca="1">BF179*Promote!$E$4</f>
        <v>0</v>
      </c>
      <c r="BG186" s="242">
        <f ca="1">BG179*Promote!$E$4</f>
        <v>0</v>
      </c>
      <c r="BH186" s="242">
        <f ca="1">BH179*Promote!$E$4</f>
        <v>0</v>
      </c>
      <c r="BI186" s="242">
        <f ca="1">BI179*Promote!$E$4</f>
        <v>0</v>
      </c>
      <c r="BJ186" s="242">
        <f ca="1">BJ179*Promote!$E$4</f>
        <v>0</v>
      </c>
      <c r="BK186" s="242">
        <f ca="1">BK179*Promote!$E$4</f>
        <v>0</v>
      </c>
      <c r="BL186" s="242">
        <f ca="1">BL179*Promote!$E$4</f>
        <v>0</v>
      </c>
      <c r="BM186" s="242">
        <f ca="1">BM179*Promote!$E$4</f>
        <v>0</v>
      </c>
      <c r="BN186" s="242">
        <f ca="1">BN179*Promote!$E$4</f>
        <v>0</v>
      </c>
      <c r="BO186" s="242">
        <f ca="1">BO179*Promote!$E$4</f>
        <v>0</v>
      </c>
      <c r="BP186" s="242">
        <f ca="1">BP179*Promote!$E$4</f>
        <v>0</v>
      </c>
      <c r="BQ186" s="242">
        <f ca="1">BQ179*Promote!$E$4</f>
        <v>0</v>
      </c>
      <c r="BR186" s="242">
        <f ca="1">BR179*Promote!$E$4</f>
        <v>0</v>
      </c>
      <c r="BS186" s="242">
        <f ca="1">BS179*Promote!$E$4</f>
        <v>0</v>
      </c>
      <c r="BT186" s="242">
        <f ca="1">BT179*Promote!$E$4</f>
        <v>0</v>
      </c>
      <c r="BU186" s="242">
        <f ca="1">BU179*Promote!$E$4</f>
        <v>0</v>
      </c>
      <c r="BV186" s="242">
        <f ca="1">BV179*Promote!$E$4</f>
        <v>0</v>
      </c>
      <c r="BW186" s="242">
        <f ca="1">BW179*Promote!$E$4</f>
        <v>0</v>
      </c>
      <c r="BX186" s="242">
        <f ca="1">BX179*Promote!$E$4</f>
        <v>0</v>
      </c>
      <c r="BY186" s="242">
        <f ca="1">BY179*Promote!$E$4</f>
        <v>0</v>
      </c>
      <c r="BZ186" s="242">
        <f ca="1">BZ179*Promote!$E$4</f>
        <v>0</v>
      </c>
      <c r="CA186" s="242">
        <f ca="1">CA179*Promote!$E$4</f>
        <v>0</v>
      </c>
      <c r="CB186" s="242">
        <f ca="1">CB179*Promote!$E$4</f>
        <v>0</v>
      </c>
      <c r="CC186" s="242">
        <f ca="1">CC179*Promote!$E$4</f>
        <v>0</v>
      </c>
      <c r="CD186" s="242">
        <f ca="1">CD179*Promote!$E$4</f>
        <v>0</v>
      </c>
      <c r="CE186" s="242">
        <f ca="1">CE179*Promote!$E$4</f>
        <v>0</v>
      </c>
      <c r="CF186" s="242">
        <f ca="1">CF179*Promote!$E$4</f>
        <v>0</v>
      </c>
      <c r="CG186" s="242">
        <f ca="1">CG179*Promote!$E$4</f>
        <v>0</v>
      </c>
      <c r="CH186" s="242">
        <f ca="1">CH179*Promote!$E$4</f>
        <v>0</v>
      </c>
      <c r="CI186" s="242">
        <f ca="1">CI179*Promote!$E$4</f>
        <v>0</v>
      </c>
      <c r="CJ186" s="242">
        <f ca="1">CJ179*Promote!$E$4</f>
        <v>0</v>
      </c>
      <c r="CK186" s="242">
        <f ca="1">CK179*Promote!$E$4</f>
        <v>0</v>
      </c>
      <c r="CL186" s="242">
        <f ca="1">CL179*Promote!$E$4</f>
        <v>0</v>
      </c>
      <c r="CM186" s="242">
        <f ca="1">CM179*Promote!$E$4</f>
        <v>0</v>
      </c>
      <c r="CN186" s="242">
        <f ca="1">CN179*Promote!$E$4</f>
        <v>0</v>
      </c>
      <c r="CO186" s="242">
        <f ca="1">CO179*Promote!$E$4</f>
        <v>0</v>
      </c>
      <c r="CP186" s="242">
        <f ca="1">CP179*Promote!$E$4</f>
        <v>0</v>
      </c>
      <c r="CQ186" s="242">
        <f ca="1">CQ179*Promote!$E$4</f>
        <v>0</v>
      </c>
      <c r="CR186" s="242">
        <f ca="1">CR179*Promote!$E$4</f>
        <v>0</v>
      </c>
      <c r="CS186" s="242">
        <f ca="1">CS179*Promote!$E$4</f>
        <v>0</v>
      </c>
      <c r="CT186" s="242">
        <f ca="1">CT179*Promote!$E$4</f>
        <v>0</v>
      </c>
      <c r="CU186" s="242">
        <f ca="1">CU179*Promote!$E$4</f>
        <v>0</v>
      </c>
      <c r="CV186" s="242">
        <f ca="1">CV179*Promote!$E$4</f>
        <v>0</v>
      </c>
      <c r="CW186" s="242">
        <f ca="1">CW179*Promote!$E$4</f>
        <v>0</v>
      </c>
      <c r="CX186" s="242">
        <f ca="1">CX179*Promote!$E$4</f>
        <v>0</v>
      </c>
      <c r="CY186" s="242">
        <f ca="1">CY179*Promote!$E$4</f>
        <v>0</v>
      </c>
      <c r="CZ186" s="242">
        <f ca="1">CZ179*Promote!$E$4</f>
        <v>0</v>
      </c>
      <c r="DA186" s="242">
        <f ca="1">DA179*Promote!$E$4</f>
        <v>0</v>
      </c>
      <c r="DB186" s="242">
        <f ca="1">DB179*Promote!$E$4</f>
        <v>0</v>
      </c>
      <c r="DC186" s="242">
        <f ca="1">DC179*Promote!$E$4</f>
        <v>0</v>
      </c>
      <c r="DD186" s="242">
        <f ca="1">DD179*Promote!$E$4</f>
        <v>0</v>
      </c>
      <c r="DE186" s="242">
        <f ca="1">DE179*Promote!$E$4</f>
        <v>0</v>
      </c>
      <c r="DF186" s="242">
        <f ca="1">DF179*Promote!$E$4</f>
        <v>0</v>
      </c>
      <c r="DG186" s="242">
        <f ca="1">DG179*Promote!$E$4</f>
        <v>0</v>
      </c>
      <c r="DH186" s="242">
        <f ca="1">DH179*Promote!$E$4</f>
        <v>0</v>
      </c>
      <c r="DI186" s="242">
        <f ca="1">DI179*Promote!$E$4</f>
        <v>0</v>
      </c>
      <c r="DJ186" s="242">
        <f ca="1">DJ179*Promote!$E$4</f>
        <v>0</v>
      </c>
      <c r="DK186" s="242">
        <f ca="1">DK179*Promote!$E$4</f>
        <v>0</v>
      </c>
      <c r="DL186" s="242">
        <f ca="1">DL179*Promote!$E$4</f>
        <v>0</v>
      </c>
      <c r="DM186" s="242">
        <f ca="1">DM179*Promote!$E$4</f>
        <v>0</v>
      </c>
      <c r="DN186" s="242">
        <f ca="1">DN179*Promote!$E$4</f>
        <v>0</v>
      </c>
      <c r="DO186" s="242">
        <f ca="1">DO179*Promote!$E$4</f>
        <v>0</v>
      </c>
      <c r="DP186" s="242">
        <f ca="1">DP179*Promote!$E$4</f>
        <v>0</v>
      </c>
      <c r="DQ186" s="242">
        <f ca="1">DQ179*Promote!$E$4</f>
        <v>0</v>
      </c>
      <c r="DR186" s="242">
        <f ca="1">DR179*Promote!$E$4</f>
        <v>0</v>
      </c>
      <c r="DS186" s="242">
        <f ca="1">DS179*Promote!$E$4</f>
        <v>0</v>
      </c>
      <c r="DT186" s="242">
        <f ca="1">DT179*Promote!$E$4</f>
        <v>0</v>
      </c>
      <c r="DU186" s="242">
        <f ca="1">DU179*Promote!$E$4</f>
        <v>0</v>
      </c>
      <c r="DV186" s="242">
        <f ca="1">DV179*Promote!$E$4</f>
        <v>0</v>
      </c>
      <c r="DW186" s="242">
        <f ca="1">DW179*Promote!$E$4</f>
        <v>0</v>
      </c>
      <c r="DX186" s="242">
        <f ca="1">DX179*Promote!$E$4</f>
        <v>0</v>
      </c>
      <c r="DY186" s="242">
        <f ca="1">DY179*Promote!$E$4</f>
        <v>0</v>
      </c>
      <c r="DZ186" s="242">
        <f ca="1">DZ179*Promote!$E$4</f>
        <v>0</v>
      </c>
      <c r="EA186" s="242">
        <f ca="1">EA179*Promote!$E$4</f>
        <v>0</v>
      </c>
      <c r="EB186" s="242">
        <f ca="1">EB179*Promote!$E$4</f>
        <v>0</v>
      </c>
      <c r="EC186" s="242">
        <f ca="1">EC179*Promote!$E$4</f>
        <v>0</v>
      </c>
      <c r="ED186" s="242">
        <f ca="1">ED179*Promote!$E$4</f>
        <v>0</v>
      </c>
      <c r="EE186" s="242">
        <f ca="1">EE179*Promote!$E$4</f>
        <v>0</v>
      </c>
      <c r="EF186" s="242">
        <f ca="1">EF179*Promote!$E$4</f>
        <v>0</v>
      </c>
      <c r="EG186" s="242">
        <f ca="1">EG179*Promote!$E$4</f>
        <v>0</v>
      </c>
      <c r="EH186" s="242">
        <f ca="1">EH179*Promote!$E$4</f>
        <v>0</v>
      </c>
      <c r="EI186" s="242">
        <f ca="1">EI179*Promote!$E$4</f>
        <v>0</v>
      </c>
      <c r="EJ186" s="242">
        <f ca="1">EJ179*Promote!$E$4</f>
        <v>0</v>
      </c>
      <c r="EK186" s="242">
        <f ca="1">EK179*Promote!$E$4</f>
        <v>0</v>
      </c>
      <c r="EL186" s="242">
        <f ca="1">EL179*Promote!$E$4</f>
        <v>0</v>
      </c>
      <c r="EM186" s="242">
        <f ca="1">EM179*Promote!$E$4</f>
        <v>0</v>
      </c>
      <c r="EN186" s="242">
        <f ca="1">EN179*Promote!$E$4</f>
        <v>0</v>
      </c>
      <c r="EO186" s="242">
        <f ca="1">EO179*Promote!$E$4</f>
        <v>0</v>
      </c>
      <c r="EP186" s="242">
        <f ca="1">EP179*Promote!$E$4</f>
        <v>0</v>
      </c>
      <c r="EQ186" s="242">
        <f ca="1">EQ179*Promote!$E$4</f>
        <v>0</v>
      </c>
      <c r="ER186" s="242">
        <f ca="1">ER179*Promote!$E$4</f>
        <v>0</v>
      </c>
      <c r="ES186" s="242">
        <f ca="1">ES179*Promote!$E$4</f>
        <v>0</v>
      </c>
      <c r="ET186" s="242">
        <f ca="1">ET179*Promote!$E$4</f>
        <v>0</v>
      </c>
    </row>
    <row r="187" spans="2:150" x14ac:dyDescent="0.2">
      <c r="B187" t="s">
        <v>224</v>
      </c>
      <c r="F187" s="242">
        <f ca="1">-F$181*Promote!$E4</f>
        <v>0</v>
      </c>
      <c r="G187" s="242">
        <f ca="1">-G$181*Promote!$E4</f>
        <v>0</v>
      </c>
      <c r="H187" s="242">
        <f ca="1">-H$181*Promote!$E4</f>
        <v>0</v>
      </c>
      <c r="I187" s="242">
        <f ca="1">-I$181*Promote!$E4</f>
        <v>0</v>
      </c>
      <c r="J187" s="242">
        <f ca="1">-J$181*Promote!$E4</f>
        <v>0</v>
      </c>
      <c r="K187" s="242">
        <f ca="1">-K$181*Promote!$E4</f>
        <v>0</v>
      </c>
      <c r="L187" s="242">
        <f ca="1">-L$181*Promote!$E4</f>
        <v>0</v>
      </c>
      <c r="M187" s="242">
        <f ca="1">-M$181*Promote!$E4</f>
        <v>0</v>
      </c>
      <c r="N187" s="242">
        <f ca="1">-N$181*Promote!$E4</f>
        <v>0</v>
      </c>
      <c r="O187" s="242">
        <f ca="1">-O$181*Promote!$E4</f>
        <v>0</v>
      </c>
      <c r="P187" s="242">
        <f ca="1">-P$181*Promote!$E4</f>
        <v>0</v>
      </c>
      <c r="Q187" s="242">
        <f ca="1">-Q$181*Promote!$E4</f>
        <v>0</v>
      </c>
      <c r="R187" s="242">
        <f ca="1">-R$181*Promote!$E4</f>
        <v>0</v>
      </c>
      <c r="S187" s="242">
        <f ca="1">-S$181*Promote!$E4</f>
        <v>0</v>
      </c>
      <c r="T187" s="242">
        <f ca="1">-T$181*Promote!$E4</f>
        <v>0</v>
      </c>
      <c r="U187" s="242">
        <f ca="1">-U$181*Promote!$E4</f>
        <v>0</v>
      </c>
      <c r="V187" s="242">
        <f ca="1">-V$181*Promote!$E4</f>
        <v>0</v>
      </c>
      <c r="W187" s="242">
        <f ca="1">-W$181*Promote!$E4</f>
        <v>0</v>
      </c>
      <c r="X187" s="242">
        <f ca="1">-X$181*Promote!$E4</f>
        <v>0</v>
      </c>
      <c r="Y187" s="242">
        <f ca="1">-Y$181*Promote!$E4</f>
        <v>0</v>
      </c>
      <c r="Z187" s="242">
        <f ca="1">-Z$181*Promote!$E4</f>
        <v>0</v>
      </c>
      <c r="AA187" s="242">
        <f ca="1">-AA$181*Promote!$E4</f>
        <v>0</v>
      </c>
      <c r="AB187" s="242">
        <f ca="1">-AB$181*Promote!$E4</f>
        <v>0</v>
      </c>
      <c r="AC187" s="242">
        <f ca="1">-AC$181*Promote!$E4</f>
        <v>0</v>
      </c>
      <c r="AD187" s="242">
        <f ca="1">-AD$181*Promote!$E4</f>
        <v>0</v>
      </c>
      <c r="AE187" s="242">
        <f ca="1">-AE$181*Promote!$E4</f>
        <v>0</v>
      </c>
      <c r="AF187" s="242">
        <f ca="1">-AF$181*Promote!$E4</f>
        <v>0</v>
      </c>
      <c r="AG187" s="242">
        <f ca="1">-AG$181*Promote!$E4</f>
        <v>0</v>
      </c>
      <c r="AH187" s="242">
        <f ca="1">-AH$181*Promote!$E4</f>
        <v>0</v>
      </c>
      <c r="AI187" s="242">
        <f ca="1">-AI$181*Promote!$E4</f>
        <v>0</v>
      </c>
      <c r="AJ187" s="242">
        <f ca="1">-AJ$181*Promote!$E4</f>
        <v>0</v>
      </c>
      <c r="AK187" s="242">
        <f ca="1">-AK$181*Promote!$E4</f>
        <v>0</v>
      </c>
      <c r="AL187" s="242">
        <f ca="1">-AL$181*Promote!$E4</f>
        <v>0</v>
      </c>
      <c r="AM187" s="242">
        <f ca="1">-AM$181*Promote!$E4</f>
        <v>0</v>
      </c>
      <c r="AN187" s="242">
        <f ca="1">-AN$181*Promote!$E4</f>
        <v>0</v>
      </c>
      <c r="AO187" s="242">
        <f ca="1">-AO$181*Promote!$E4</f>
        <v>0</v>
      </c>
      <c r="AP187" s="242">
        <f ca="1">-AP$181*Promote!$E4</f>
        <v>0</v>
      </c>
      <c r="AQ187" s="242">
        <f ca="1">-AQ$181*Promote!$E4</f>
        <v>0</v>
      </c>
      <c r="AR187" s="242">
        <f ca="1">-AR$181*Promote!$E4</f>
        <v>0</v>
      </c>
      <c r="AS187" s="242">
        <f ca="1">-AS$181*Promote!$E4</f>
        <v>0</v>
      </c>
      <c r="AT187" s="242">
        <f ca="1">-AT$181*Promote!$E4</f>
        <v>0</v>
      </c>
      <c r="AU187" s="242">
        <f ca="1">-AU$181*Promote!$E4</f>
        <v>0</v>
      </c>
      <c r="AV187" s="242">
        <f ca="1">-AV$181*Promote!$E4</f>
        <v>0</v>
      </c>
      <c r="AW187" s="242">
        <f ca="1">-AW$181*Promote!$E4</f>
        <v>0</v>
      </c>
      <c r="AX187" s="242">
        <f ca="1">-AX$181*Promote!$E4</f>
        <v>0</v>
      </c>
      <c r="AY187" s="242">
        <f ca="1">-AY$181*Promote!$E4</f>
        <v>0</v>
      </c>
      <c r="AZ187" s="242">
        <f ca="1">-AZ$181*Promote!$E4</f>
        <v>0</v>
      </c>
      <c r="BA187" s="242">
        <f ca="1">-BA$181*Promote!$E4</f>
        <v>0</v>
      </c>
      <c r="BB187" s="242">
        <f ca="1">-BB$181*Promote!$E4</f>
        <v>0</v>
      </c>
      <c r="BC187" s="242">
        <f ca="1">-BC$181*Promote!$E4</f>
        <v>0</v>
      </c>
      <c r="BD187" s="242">
        <f ca="1">-BD$181*Promote!$E4</f>
        <v>0</v>
      </c>
      <c r="BE187" s="242">
        <f ca="1">-BE$181*Promote!$E4</f>
        <v>0</v>
      </c>
      <c r="BF187" s="242">
        <f ca="1">-BF$181*Promote!$E4</f>
        <v>0</v>
      </c>
      <c r="BG187" s="242">
        <f ca="1">-BG$181*Promote!$E4</f>
        <v>0</v>
      </c>
      <c r="BH187" s="242">
        <f ca="1">-BH$181*Promote!$E4</f>
        <v>0</v>
      </c>
      <c r="BI187" s="242">
        <f ca="1">-BI$181*Promote!$E4</f>
        <v>0</v>
      </c>
      <c r="BJ187" s="242">
        <f ca="1">-BJ$181*Promote!$E4</f>
        <v>0</v>
      </c>
      <c r="BK187" s="242">
        <f ca="1">-BK$181*Promote!$E4</f>
        <v>0</v>
      </c>
      <c r="BL187" s="242">
        <f ca="1">-BL$181*Promote!$E4</f>
        <v>0</v>
      </c>
      <c r="BM187" s="242">
        <f ca="1">-BM$181*Promote!$E4</f>
        <v>0</v>
      </c>
      <c r="BN187" s="242">
        <f ca="1">-BN$181*Promote!$E4</f>
        <v>0</v>
      </c>
      <c r="BO187" s="242">
        <f ca="1">-BO$181*Promote!$E4</f>
        <v>0</v>
      </c>
      <c r="BP187" s="242">
        <f ca="1">-BP$181*Promote!$E4</f>
        <v>0</v>
      </c>
      <c r="BQ187" s="242">
        <f ca="1">-BQ$181*Promote!$E4</f>
        <v>0</v>
      </c>
      <c r="BR187" s="242">
        <f ca="1">-BR$181*Promote!$E4</f>
        <v>0</v>
      </c>
      <c r="BS187" s="242">
        <f ca="1">-BS$181*Promote!$E4</f>
        <v>0</v>
      </c>
      <c r="BT187" s="242">
        <f ca="1">-BT$181*Promote!$E4</f>
        <v>0</v>
      </c>
      <c r="BU187" s="242">
        <f ca="1">-BU$181*Promote!$E4</f>
        <v>0</v>
      </c>
      <c r="BV187" s="242">
        <f ca="1">-BV$181*Promote!$E4</f>
        <v>0</v>
      </c>
      <c r="BW187" s="242">
        <f ca="1">-BW$181*Promote!$E4</f>
        <v>0</v>
      </c>
      <c r="BX187" s="242">
        <f ca="1">-BX$181*Promote!$E4</f>
        <v>0</v>
      </c>
      <c r="BY187" s="242">
        <f ca="1">-BY$181*Promote!$E4</f>
        <v>0</v>
      </c>
      <c r="BZ187" s="242">
        <f ca="1">-BZ$181*Promote!$E4</f>
        <v>1.1483561346874922</v>
      </c>
      <c r="CA187" s="242">
        <f ca="1">-CA$181*Promote!$E4</f>
        <v>1.1483561514847678</v>
      </c>
      <c r="CB187" s="242">
        <f ca="1">-CB$181*Promote!$E4</f>
        <v>1.1483561633591306</v>
      </c>
      <c r="CC187" s="242">
        <f ca="1">-CC$181*Promote!$E4</f>
        <v>1.1483561696426476</v>
      </c>
      <c r="CD187" s="242">
        <f ca="1">-CD$181*Promote!$E4</f>
        <v>1.1483561697416007</v>
      </c>
      <c r="CE187" s="242">
        <f ca="1">-CE$181*Promote!$E4</f>
        <v>1.1483561632601778</v>
      </c>
      <c r="CF187" s="242">
        <f ca="1">-CF$181*Promote!$E4</f>
        <v>1.148356149382016</v>
      </c>
      <c r="CG187" s="242">
        <f ca="1">-CG$181*Promote!$E4</f>
        <v>1.1483561276865657</v>
      </c>
      <c r="CH187" s="242">
        <f ca="1">-CH$181*Promote!$E4</f>
        <v>1.1483560974069404</v>
      </c>
      <c r="CI187" s="242">
        <f ca="1">-CI$181*Promote!$E4</f>
        <v>1.1483560578009928</v>
      </c>
      <c r="CJ187" s="242">
        <f ca="1">-CJ$181*Promote!$E4</f>
        <v>1.1483560081513133</v>
      </c>
      <c r="CK187" s="242">
        <f ca="1">-CK$181*Promote!$E4</f>
        <v>10450612.055732155</v>
      </c>
      <c r="CL187" s="242">
        <f ca="1">-CL$181*Promote!$E4</f>
        <v>0</v>
      </c>
      <c r="CM187" s="242">
        <f ca="1">-CM$181*Promote!$E4</f>
        <v>0</v>
      </c>
      <c r="CN187" s="242">
        <f ca="1">-CN$181*Promote!$E4</f>
        <v>0</v>
      </c>
      <c r="CO187" s="242">
        <f ca="1">-CO$181*Promote!$E4</f>
        <v>0</v>
      </c>
      <c r="CP187" s="242">
        <f ca="1">-CP$181*Promote!$E4</f>
        <v>0</v>
      </c>
      <c r="CQ187" s="242">
        <f ca="1">-CQ$181*Promote!$E4</f>
        <v>0</v>
      </c>
      <c r="CR187" s="242">
        <f ca="1">-CR$181*Promote!$E4</f>
        <v>0</v>
      </c>
      <c r="CS187" s="242">
        <f ca="1">-CS$181*Promote!$E4</f>
        <v>0</v>
      </c>
      <c r="CT187" s="242">
        <f ca="1">-CT$181*Promote!$E4</f>
        <v>0</v>
      </c>
      <c r="CU187" s="242">
        <f ca="1">-CU$181*Promote!$E4</f>
        <v>0</v>
      </c>
      <c r="CV187" s="242">
        <f ca="1">-CV$181*Promote!$E4</f>
        <v>0</v>
      </c>
      <c r="CW187" s="242">
        <f ca="1">-CW$181*Promote!$E4</f>
        <v>0</v>
      </c>
      <c r="CX187" s="242">
        <f ca="1">-CX$181*Promote!$E4</f>
        <v>0</v>
      </c>
      <c r="CY187" s="242">
        <f ca="1">-CY$181*Promote!$E4</f>
        <v>0</v>
      </c>
      <c r="CZ187" s="242">
        <f ca="1">-CZ$181*Promote!$E4</f>
        <v>0</v>
      </c>
      <c r="DA187" s="242">
        <f ca="1">-DA$181*Promote!$E4</f>
        <v>0</v>
      </c>
      <c r="DB187" s="242">
        <f ca="1">-DB$181*Promote!$E4</f>
        <v>0</v>
      </c>
      <c r="DC187" s="242">
        <f ca="1">-DC$181*Promote!$E4</f>
        <v>0</v>
      </c>
      <c r="DD187" s="242">
        <f ca="1">-DD$181*Promote!$E4</f>
        <v>0</v>
      </c>
      <c r="DE187" s="242">
        <f ca="1">-DE$181*Promote!$E4</f>
        <v>0</v>
      </c>
      <c r="DF187" s="242">
        <f ca="1">-DF$181*Promote!$E4</f>
        <v>0</v>
      </c>
      <c r="DG187" s="242">
        <f ca="1">-DG$181*Promote!$E4</f>
        <v>0</v>
      </c>
      <c r="DH187" s="242">
        <f ca="1">-DH$181*Promote!$E4</f>
        <v>0</v>
      </c>
      <c r="DI187" s="242">
        <f ca="1">-DI$181*Promote!$E4</f>
        <v>0</v>
      </c>
      <c r="DJ187" s="242">
        <f ca="1">-DJ$181*Promote!$E4</f>
        <v>0</v>
      </c>
      <c r="DK187" s="242">
        <f ca="1">-DK$181*Promote!$E4</f>
        <v>0</v>
      </c>
      <c r="DL187" s="242">
        <f ca="1">-DL$181*Promote!$E4</f>
        <v>0</v>
      </c>
      <c r="DM187" s="242">
        <f ca="1">-DM$181*Promote!$E4</f>
        <v>0</v>
      </c>
      <c r="DN187" s="242">
        <f ca="1">-DN$181*Promote!$E4</f>
        <v>0</v>
      </c>
      <c r="DO187" s="242">
        <f ca="1">-DO$181*Promote!$E4</f>
        <v>0</v>
      </c>
      <c r="DP187" s="242">
        <f ca="1">-DP$181*Promote!$E4</f>
        <v>0</v>
      </c>
      <c r="DQ187" s="242">
        <f ca="1">-DQ$181*Promote!$E4</f>
        <v>0</v>
      </c>
      <c r="DR187" s="242">
        <f ca="1">-DR$181*Promote!$E4</f>
        <v>0</v>
      </c>
      <c r="DS187" s="242">
        <f ca="1">-DS$181*Promote!$E4</f>
        <v>0</v>
      </c>
      <c r="DT187" s="242">
        <f ca="1">-DT$181*Promote!$E4</f>
        <v>0</v>
      </c>
      <c r="DU187" s="242">
        <f ca="1">-DU$181*Promote!$E4</f>
        <v>0</v>
      </c>
      <c r="DV187" s="242">
        <f ca="1">-DV$181*Promote!$E4</f>
        <v>0</v>
      </c>
      <c r="DW187" s="242">
        <f ca="1">-DW$181*Promote!$E4</f>
        <v>0</v>
      </c>
      <c r="DX187" s="242">
        <f ca="1">-DX$181*Promote!$E4</f>
        <v>0</v>
      </c>
      <c r="DY187" s="242">
        <f ca="1">-DY$181*Promote!$E4</f>
        <v>0</v>
      </c>
      <c r="DZ187" s="242">
        <f ca="1">-DZ$181*Promote!$E4</f>
        <v>0</v>
      </c>
      <c r="EA187" s="242">
        <f ca="1">-EA$181*Promote!$E4</f>
        <v>0</v>
      </c>
      <c r="EB187" s="242">
        <f ca="1">-EB$181*Promote!$E4</f>
        <v>0</v>
      </c>
      <c r="EC187" s="242">
        <f ca="1">-EC$181*Promote!$E4</f>
        <v>0</v>
      </c>
      <c r="ED187" s="242">
        <f ca="1">-ED$181*Promote!$E4</f>
        <v>0</v>
      </c>
      <c r="EE187" s="242">
        <f ca="1">-EE$181*Promote!$E4</f>
        <v>0</v>
      </c>
      <c r="EF187" s="242">
        <f ca="1">-EF$181*Promote!$E4</f>
        <v>0</v>
      </c>
      <c r="EG187" s="242">
        <f ca="1">-EG$181*Promote!$E4</f>
        <v>0</v>
      </c>
      <c r="EH187" s="242">
        <f ca="1">-EH$181*Promote!$E4</f>
        <v>0</v>
      </c>
      <c r="EI187" s="242">
        <f ca="1">-EI$181*Promote!$E4</f>
        <v>0</v>
      </c>
      <c r="EJ187" s="242">
        <f ca="1">-EJ$181*Promote!$E4</f>
        <v>0</v>
      </c>
      <c r="EK187" s="242">
        <f ca="1">-EK$181*Promote!$E4</f>
        <v>0</v>
      </c>
      <c r="EL187" s="242">
        <f ca="1">-EL$181*Promote!$E4</f>
        <v>0</v>
      </c>
      <c r="EM187" s="242">
        <f ca="1">-EM$181*Promote!$E4</f>
        <v>0</v>
      </c>
      <c r="EN187" s="242">
        <f ca="1">-EN$181*Promote!$E4</f>
        <v>0</v>
      </c>
      <c r="EO187" s="242">
        <f ca="1">-EO$181*Promote!$E4</f>
        <v>0</v>
      </c>
      <c r="EP187" s="242">
        <f ca="1">-EP$181*Promote!$E4</f>
        <v>0</v>
      </c>
      <c r="EQ187" s="242">
        <f ca="1">-EQ$181*Promote!$E4</f>
        <v>0</v>
      </c>
      <c r="ER187" s="242">
        <f ca="1">-ER$181*Promote!$E4</f>
        <v>0</v>
      </c>
      <c r="ES187" s="242">
        <f ca="1">-ES$181*Promote!$E4</f>
        <v>0</v>
      </c>
      <c r="ET187" s="242">
        <f ca="1">-ET$181*Promote!$E4</f>
        <v>0</v>
      </c>
    </row>
    <row r="188" spans="2:150" x14ac:dyDescent="0.2"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spans="2:150" x14ac:dyDescent="0.2">
      <c r="B189" t="s">
        <v>225</v>
      </c>
      <c r="F189" s="242">
        <f ca="1">F168+F179+F181</f>
        <v>0</v>
      </c>
      <c r="G189" s="242">
        <f t="shared" ref="G189:BR189" ca="1" si="1805">G168+G179+G181</f>
        <v>0</v>
      </c>
      <c r="H189" s="242">
        <f t="shared" ca="1" si="1805"/>
        <v>0</v>
      </c>
      <c r="I189" s="242">
        <f t="shared" ca="1" si="1805"/>
        <v>0</v>
      </c>
      <c r="J189" s="242">
        <f t="shared" ca="1" si="1805"/>
        <v>0</v>
      </c>
      <c r="K189" s="242">
        <f t="shared" ca="1" si="1805"/>
        <v>0</v>
      </c>
      <c r="L189" s="242">
        <f t="shared" ca="1" si="1805"/>
        <v>0</v>
      </c>
      <c r="M189" s="242">
        <f t="shared" ca="1" si="1805"/>
        <v>0</v>
      </c>
      <c r="N189" s="242">
        <f t="shared" ca="1" si="1805"/>
        <v>0</v>
      </c>
      <c r="O189" s="242">
        <f t="shared" ca="1" si="1805"/>
        <v>0</v>
      </c>
      <c r="P189" s="242">
        <f t="shared" ca="1" si="1805"/>
        <v>0</v>
      </c>
      <c r="Q189" s="242">
        <f t="shared" ca="1" si="1805"/>
        <v>0</v>
      </c>
      <c r="R189" s="242">
        <f t="shared" ca="1" si="1805"/>
        <v>0</v>
      </c>
      <c r="S189" s="242">
        <f t="shared" ca="1" si="1805"/>
        <v>0</v>
      </c>
      <c r="T189" s="242">
        <f t="shared" ca="1" si="1805"/>
        <v>0</v>
      </c>
      <c r="U189" s="242">
        <f t="shared" ca="1" si="1805"/>
        <v>0</v>
      </c>
      <c r="V189" s="242">
        <f t="shared" ca="1" si="1805"/>
        <v>0</v>
      </c>
      <c r="W189" s="242">
        <f t="shared" ca="1" si="1805"/>
        <v>0</v>
      </c>
      <c r="X189" s="242">
        <f t="shared" ca="1" si="1805"/>
        <v>0</v>
      </c>
      <c r="Y189" s="242">
        <f t="shared" ca="1" si="1805"/>
        <v>0</v>
      </c>
      <c r="Z189" s="242">
        <f t="shared" ca="1" si="1805"/>
        <v>0</v>
      </c>
      <c r="AA189" s="242">
        <f t="shared" ca="1" si="1805"/>
        <v>0</v>
      </c>
      <c r="AB189" s="242">
        <f t="shared" ca="1" si="1805"/>
        <v>0</v>
      </c>
      <c r="AC189" s="242">
        <f t="shared" ca="1" si="1805"/>
        <v>0</v>
      </c>
      <c r="AD189" s="242">
        <f t="shared" ca="1" si="1805"/>
        <v>0</v>
      </c>
      <c r="AE189" s="242">
        <f t="shared" ca="1" si="1805"/>
        <v>0</v>
      </c>
      <c r="AF189" s="242">
        <f t="shared" ca="1" si="1805"/>
        <v>0</v>
      </c>
      <c r="AG189" s="242">
        <f t="shared" ca="1" si="1805"/>
        <v>0</v>
      </c>
      <c r="AH189" s="242">
        <f t="shared" ca="1" si="1805"/>
        <v>0</v>
      </c>
      <c r="AI189" s="242">
        <f t="shared" ca="1" si="1805"/>
        <v>0</v>
      </c>
      <c r="AJ189" s="242">
        <f t="shared" ca="1" si="1805"/>
        <v>0</v>
      </c>
      <c r="AK189" s="242">
        <f t="shared" ca="1" si="1805"/>
        <v>0</v>
      </c>
      <c r="AL189" s="242">
        <f t="shared" ca="1" si="1805"/>
        <v>0</v>
      </c>
      <c r="AM189" s="242">
        <f t="shared" ca="1" si="1805"/>
        <v>0</v>
      </c>
      <c r="AN189" s="242">
        <f t="shared" ca="1" si="1805"/>
        <v>0</v>
      </c>
      <c r="AO189" s="242">
        <f t="shared" ca="1" si="1805"/>
        <v>0</v>
      </c>
      <c r="AP189" s="242">
        <f t="shared" ca="1" si="1805"/>
        <v>0</v>
      </c>
      <c r="AQ189" s="242">
        <f t="shared" ca="1" si="1805"/>
        <v>0</v>
      </c>
      <c r="AR189" s="242">
        <f t="shared" ca="1" si="1805"/>
        <v>0</v>
      </c>
      <c r="AS189" s="242">
        <f t="shared" ca="1" si="1805"/>
        <v>0</v>
      </c>
      <c r="AT189" s="242">
        <f t="shared" ca="1" si="1805"/>
        <v>0</v>
      </c>
      <c r="AU189" s="242">
        <f t="shared" ca="1" si="1805"/>
        <v>0</v>
      </c>
      <c r="AV189" s="242">
        <f t="shared" ca="1" si="1805"/>
        <v>0</v>
      </c>
      <c r="AW189" s="242">
        <f t="shared" ca="1" si="1805"/>
        <v>0</v>
      </c>
      <c r="AX189" s="242">
        <f t="shared" ca="1" si="1805"/>
        <v>0</v>
      </c>
      <c r="AY189" s="242">
        <f t="shared" ca="1" si="1805"/>
        <v>0</v>
      </c>
      <c r="AZ189" s="242">
        <f t="shared" ca="1" si="1805"/>
        <v>0</v>
      </c>
      <c r="BA189" s="242">
        <f t="shared" ca="1" si="1805"/>
        <v>0</v>
      </c>
      <c r="BB189" s="242">
        <f t="shared" ca="1" si="1805"/>
        <v>0</v>
      </c>
      <c r="BC189" s="242">
        <f t="shared" ca="1" si="1805"/>
        <v>0</v>
      </c>
      <c r="BD189" s="242">
        <f t="shared" ca="1" si="1805"/>
        <v>0</v>
      </c>
      <c r="BE189" s="242">
        <f t="shared" ca="1" si="1805"/>
        <v>0</v>
      </c>
      <c r="BF189" s="242">
        <f t="shared" ca="1" si="1805"/>
        <v>0</v>
      </c>
      <c r="BG189" s="242">
        <f t="shared" ca="1" si="1805"/>
        <v>0</v>
      </c>
      <c r="BH189" s="242">
        <f t="shared" ca="1" si="1805"/>
        <v>0</v>
      </c>
      <c r="BI189" s="242">
        <f t="shared" ca="1" si="1805"/>
        <v>0</v>
      </c>
      <c r="BJ189" s="242">
        <f t="shared" ca="1" si="1805"/>
        <v>0</v>
      </c>
      <c r="BK189" s="242">
        <f t="shared" ca="1" si="1805"/>
        <v>0</v>
      </c>
      <c r="BL189" s="242">
        <f t="shared" ca="1" si="1805"/>
        <v>0</v>
      </c>
      <c r="BM189" s="242">
        <f t="shared" ca="1" si="1805"/>
        <v>0</v>
      </c>
      <c r="BN189" s="242">
        <f t="shared" ca="1" si="1805"/>
        <v>0</v>
      </c>
      <c r="BO189" s="242">
        <f t="shared" ca="1" si="1805"/>
        <v>0</v>
      </c>
      <c r="BP189" s="242">
        <f t="shared" ca="1" si="1805"/>
        <v>0</v>
      </c>
      <c r="BQ189" s="242">
        <f t="shared" ca="1" si="1805"/>
        <v>0</v>
      </c>
      <c r="BR189" s="242">
        <f t="shared" ca="1" si="1805"/>
        <v>0</v>
      </c>
      <c r="BS189" s="242">
        <f t="shared" ref="BS189:BZ189" ca="1" si="1806">BS168+BS179+BS181</f>
        <v>0</v>
      </c>
      <c r="BT189" s="242">
        <f t="shared" ca="1" si="1806"/>
        <v>0</v>
      </c>
      <c r="BU189" s="242">
        <f t="shared" ca="1" si="1806"/>
        <v>0</v>
      </c>
      <c r="BV189" s="242">
        <f t="shared" ca="1" si="1806"/>
        <v>0</v>
      </c>
      <c r="BW189" s="242">
        <f t="shared" ca="1" si="1806"/>
        <v>0</v>
      </c>
      <c r="BX189" s="242">
        <f t="shared" ca="1" si="1806"/>
        <v>0</v>
      </c>
      <c r="BY189" s="242">
        <f t="shared" ca="1" si="1806"/>
        <v>0</v>
      </c>
      <c r="BZ189" s="242">
        <f t="shared" ca="1" si="1806"/>
        <v>0</v>
      </c>
      <c r="CA189" s="242">
        <f t="shared" ref="CA189:EL189" ca="1" si="1807">CA168+CA179+CA181</f>
        <v>0</v>
      </c>
      <c r="CB189" s="242">
        <f t="shared" ca="1" si="1807"/>
        <v>0</v>
      </c>
      <c r="CC189" s="242">
        <f t="shared" ca="1" si="1807"/>
        <v>0</v>
      </c>
      <c r="CD189" s="242">
        <f t="shared" ca="1" si="1807"/>
        <v>0</v>
      </c>
      <c r="CE189" s="242">
        <f t="shared" ca="1" si="1807"/>
        <v>0</v>
      </c>
      <c r="CF189" s="242">
        <f t="shared" ca="1" si="1807"/>
        <v>0</v>
      </c>
      <c r="CG189" s="242">
        <f t="shared" ca="1" si="1807"/>
        <v>0</v>
      </c>
      <c r="CH189" s="242">
        <f t="shared" ca="1" si="1807"/>
        <v>0</v>
      </c>
      <c r="CI189" s="242">
        <f t="shared" ca="1" si="1807"/>
        <v>0</v>
      </c>
      <c r="CJ189" s="242">
        <f t="shared" ca="1" si="1807"/>
        <v>0</v>
      </c>
      <c r="CK189" s="242">
        <f t="shared" ca="1" si="1807"/>
        <v>243366.24425344914</v>
      </c>
      <c r="CL189" s="242">
        <f t="shared" ca="1" si="1807"/>
        <v>0</v>
      </c>
      <c r="CM189" s="242">
        <f t="shared" ca="1" si="1807"/>
        <v>0</v>
      </c>
      <c r="CN189" s="242">
        <f t="shared" ca="1" si="1807"/>
        <v>0</v>
      </c>
      <c r="CO189" s="242">
        <f t="shared" ca="1" si="1807"/>
        <v>0</v>
      </c>
      <c r="CP189" s="242">
        <f t="shared" ca="1" si="1807"/>
        <v>0</v>
      </c>
      <c r="CQ189" s="242">
        <f t="shared" ca="1" si="1807"/>
        <v>0</v>
      </c>
      <c r="CR189" s="242">
        <f t="shared" ca="1" si="1807"/>
        <v>0</v>
      </c>
      <c r="CS189" s="242">
        <f t="shared" ca="1" si="1807"/>
        <v>0</v>
      </c>
      <c r="CT189" s="242">
        <f t="shared" ca="1" si="1807"/>
        <v>0</v>
      </c>
      <c r="CU189" s="242">
        <f t="shared" ca="1" si="1807"/>
        <v>0</v>
      </c>
      <c r="CV189" s="242">
        <f t="shared" ca="1" si="1807"/>
        <v>0</v>
      </c>
      <c r="CW189" s="242">
        <f t="shared" ca="1" si="1807"/>
        <v>0</v>
      </c>
      <c r="CX189" s="242">
        <f t="shared" ca="1" si="1807"/>
        <v>0</v>
      </c>
      <c r="CY189" s="242">
        <f t="shared" ca="1" si="1807"/>
        <v>0</v>
      </c>
      <c r="CZ189" s="242">
        <f t="shared" ca="1" si="1807"/>
        <v>0</v>
      </c>
      <c r="DA189" s="242">
        <f t="shared" ca="1" si="1807"/>
        <v>0</v>
      </c>
      <c r="DB189" s="242">
        <f t="shared" ca="1" si="1807"/>
        <v>0</v>
      </c>
      <c r="DC189" s="242">
        <f t="shared" ca="1" si="1807"/>
        <v>0</v>
      </c>
      <c r="DD189" s="242">
        <f t="shared" ca="1" si="1807"/>
        <v>0</v>
      </c>
      <c r="DE189" s="242">
        <f t="shared" ca="1" si="1807"/>
        <v>0</v>
      </c>
      <c r="DF189" s="242">
        <f t="shared" ca="1" si="1807"/>
        <v>0</v>
      </c>
      <c r="DG189" s="242">
        <f t="shared" ca="1" si="1807"/>
        <v>0</v>
      </c>
      <c r="DH189" s="242">
        <f t="shared" ca="1" si="1807"/>
        <v>0</v>
      </c>
      <c r="DI189" s="242">
        <f t="shared" ca="1" si="1807"/>
        <v>0</v>
      </c>
      <c r="DJ189" s="242">
        <f t="shared" ca="1" si="1807"/>
        <v>0</v>
      </c>
      <c r="DK189" s="242">
        <f t="shared" ca="1" si="1807"/>
        <v>0</v>
      </c>
      <c r="DL189" s="242">
        <f t="shared" ca="1" si="1807"/>
        <v>0</v>
      </c>
      <c r="DM189" s="242">
        <f t="shared" ca="1" si="1807"/>
        <v>0</v>
      </c>
      <c r="DN189" s="242">
        <f t="shared" ca="1" si="1807"/>
        <v>0</v>
      </c>
      <c r="DO189" s="242">
        <f t="shared" ca="1" si="1807"/>
        <v>0</v>
      </c>
      <c r="DP189" s="242">
        <f t="shared" ca="1" si="1807"/>
        <v>0</v>
      </c>
      <c r="DQ189" s="242">
        <f t="shared" ca="1" si="1807"/>
        <v>0</v>
      </c>
      <c r="DR189" s="242">
        <f t="shared" ca="1" si="1807"/>
        <v>0</v>
      </c>
      <c r="DS189" s="242">
        <f t="shared" ca="1" si="1807"/>
        <v>0</v>
      </c>
      <c r="DT189" s="242">
        <f t="shared" ca="1" si="1807"/>
        <v>0</v>
      </c>
      <c r="DU189" s="242">
        <f t="shared" ca="1" si="1807"/>
        <v>0</v>
      </c>
      <c r="DV189" s="242">
        <f t="shared" ca="1" si="1807"/>
        <v>0</v>
      </c>
      <c r="DW189" s="242">
        <f t="shared" ca="1" si="1807"/>
        <v>0</v>
      </c>
      <c r="DX189" s="242">
        <f t="shared" ca="1" si="1807"/>
        <v>0</v>
      </c>
      <c r="DY189" s="242">
        <f t="shared" ca="1" si="1807"/>
        <v>0</v>
      </c>
      <c r="DZ189" s="242">
        <f t="shared" ca="1" si="1807"/>
        <v>0</v>
      </c>
      <c r="EA189" s="242">
        <f t="shared" ca="1" si="1807"/>
        <v>0</v>
      </c>
      <c r="EB189" s="242">
        <f t="shared" ca="1" si="1807"/>
        <v>0</v>
      </c>
      <c r="EC189" s="242">
        <f t="shared" ca="1" si="1807"/>
        <v>0</v>
      </c>
      <c r="ED189" s="242">
        <f t="shared" ca="1" si="1807"/>
        <v>0</v>
      </c>
      <c r="EE189" s="242">
        <f t="shared" ca="1" si="1807"/>
        <v>0</v>
      </c>
      <c r="EF189" s="242">
        <f t="shared" ca="1" si="1807"/>
        <v>0</v>
      </c>
      <c r="EG189" s="242">
        <f t="shared" ca="1" si="1807"/>
        <v>0</v>
      </c>
      <c r="EH189" s="242">
        <f t="shared" ca="1" si="1807"/>
        <v>0</v>
      </c>
      <c r="EI189" s="242">
        <f t="shared" ca="1" si="1807"/>
        <v>0</v>
      </c>
      <c r="EJ189" s="242">
        <f t="shared" ca="1" si="1807"/>
        <v>0</v>
      </c>
      <c r="EK189" s="242">
        <f t="shared" ca="1" si="1807"/>
        <v>0</v>
      </c>
      <c r="EL189" s="242">
        <f t="shared" ca="1" si="1807"/>
        <v>0</v>
      </c>
      <c r="EM189" s="242">
        <f t="shared" ref="EM189:ET189" ca="1" si="1808">EM168+EM179+EM181</f>
        <v>0</v>
      </c>
      <c r="EN189" s="242">
        <f t="shared" ca="1" si="1808"/>
        <v>0</v>
      </c>
      <c r="EO189" s="242">
        <f t="shared" ca="1" si="1808"/>
        <v>0</v>
      </c>
      <c r="EP189" s="242">
        <f t="shared" ca="1" si="1808"/>
        <v>0</v>
      </c>
      <c r="EQ189" s="242">
        <f t="shared" ca="1" si="1808"/>
        <v>0</v>
      </c>
      <c r="ER189" s="242">
        <f t="shared" ca="1" si="1808"/>
        <v>0</v>
      </c>
      <c r="ES189" s="242">
        <f t="shared" ca="1" si="1808"/>
        <v>0</v>
      </c>
      <c r="ET189" s="242">
        <f t="shared" ca="1" si="1808"/>
        <v>0</v>
      </c>
    </row>
    <row r="190" spans="2:150" x14ac:dyDescent="0.2"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6"/>
      <c r="EG190" s="36"/>
      <c r="EH190" s="36"/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</row>
    <row r="191" spans="2:150" x14ac:dyDescent="0.2">
      <c r="B191" t="s">
        <v>330</v>
      </c>
      <c r="F191" s="242">
        <f>E194</f>
        <v>0</v>
      </c>
      <c r="G191" s="242">
        <f t="shared" ref="G191:BR191" ca="1" si="1809">F194</f>
        <v>0</v>
      </c>
      <c r="H191" s="242">
        <f t="shared" ca="1" si="1809"/>
        <v>4909.541373780512</v>
      </c>
      <c r="I191" s="242">
        <f t="shared" ca="1" si="1809"/>
        <v>10174.99725430959</v>
      </c>
      <c r="J191" s="242">
        <f t="shared" ca="1" si="1809"/>
        <v>15798.740404965549</v>
      </c>
      <c r="K191" s="242">
        <f t="shared" ca="1" si="1809"/>
        <v>21783.159407549228</v>
      </c>
      <c r="L191" s="242">
        <f t="shared" ca="1" si="1809"/>
        <v>28130.658767740133</v>
      </c>
      <c r="M191" s="242">
        <f t="shared" ca="1" si="1809"/>
        <v>34843.659021255618</v>
      </c>
      <c r="N191" s="242">
        <f t="shared" ca="1" si="1809"/>
        <v>41924.596840717844</v>
      </c>
      <c r="O191" s="242">
        <f t="shared" ca="1" si="1809"/>
        <v>49375.925143233078</v>
      </c>
      <c r="P191" s="242">
        <f t="shared" ca="1" si="1809"/>
        <v>57200.113198688363</v>
      </c>
      <c r="Q191" s="242">
        <f t="shared" ca="1" si="1809"/>
        <v>65399.646738769909</v>
      </c>
      <c r="R191" s="242">
        <f t="shared" ca="1" si="1809"/>
        <v>73977.028066708517</v>
      </c>
      <c r="S191" s="242">
        <f t="shared" ca="1" si="1809"/>
        <v>82934.776167756558</v>
      </c>
      <c r="T191" s="242">
        <f t="shared" ca="1" si="1809"/>
        <v>92275.426820401364</v>
      </c>
      <c r="U191" s="242">
        <f t="shared" ca="1" si="1809"/>
        <v>102001.53270832029</v>
      </c>
      <c r="V191" s="242">
        <f t="shared" ca="1" si="1809"/>
        <v>112115.66353308165</v>
      </c>
      <c r="W191" s="242">
        <f t="shared" ca="1" si="1809"/>
        <v>124990.63112759779</v>
      </c>
      <c r="X191" s="242">
        <f t="shared" ca="1" si="1809"/>
        <v>140644.84107033364</v>
      </c>
      <c r="Y191" s="242">
        <f t="shared" ca="1" si="1809"/>
        <v>159096.8216436106</v>
      </c>
      <c r="Z191" s="242">
        <f t="shared" ca="1" si="1809"/>
        <v>178483.54856398457</v>
      </c>
      <c r="AA191" s="242">
        <f t="shared" ca="1" si="1809"/>
        <v>197999.52033048726</v>
      </c>
      <c r="AB191" s="242">
        <f t="shared" ca="1" si="1809"/>
        <v>217645.59857542548</v>
      </c>
      <c r="AC191" s="242">
        <f t="shared" ca="1" si="1809"/>
        <v>237422.65067532155</v>
      </c>
      <c r="AD191" s="242">
        <f t="shared" ca="1" si="1809"/>
        <v>257331.54978920778</v>
      </c>
      <c r="AE191" s="242">
        <f t="shared" ca="1" si="1809"/>
        <v>277373.17489717674</v>
      </c>
      <c r="AF191" s="242">
        <f t="shared" ca="1" si="1809"/>
        <v>297548.41083918832</v>
      </c>
      <c r="AG191" s="242">
        <f t="shared" ca="1" si="1809"/>
        <v>317858.1483541354</v>
      </c>
      <c r="AH191" s="242">
        <f t="shared" ca="1" si="1809"/>
        <v>338303.28411917016</v>
      </c>
      <c r="AI191" s="242">
        <f t="shared" ca="1" si="1809"/>
        <v>358884.72078929277</v>
      </c>
      <c r="AJ191" s="242">
        <f t="shared" ca="1" si="1809"/>
        <v>379603.36703720293</v>
      </c>
      <c r="AK191" s="242">
        <f t="shared" ca="1" si="1809"/>
        <v>400460.13759341859</v>
      </c>
      <c r="AL191" s="242">
        <f t="shared" ca="1" si="1809"/>
        <v>421455.95328666153</v>
      </c>
      <c r="AM191" s="242">
        <f t="shared" ca="1" si="1809"/>
        <v>442591.7410845111</v>
      </c>
      <c r="AN191" s="242">
        <f t="shared" ca="1" si="1809"/>
        <v>463868.43413433101</v>
      </c>
      <c r="AO191" s="242">
        <f t="shared" ca="1" si="1809"/>
        <v>485286.97180446773</v>
      </c>
      <c r="AP191" s="242">
        <f t="shared" ca="1" si="1809"/>
        <v>506848.29972572246</v>
      </c>
      <c r="AQ191" s="242">
        <f t="shared" ca="1" si="1809"/>
        <v>528553.36983310292</v>
      </c>
      <c r="AR191" s="242">
        <f t="shared" ca="1" si="1809"/>
        <v>550403.1404078498</v>
      </c>
      <c r="AS191" s="242">
        <f t="shared" ca="1" si="1809"/>
        <v>572398.57611974597</v>
      </c>
      <c r="AT191" s="242">
        <f t="shared" ca="1" si="1809"/>
        <v>594540.64806970558</v>
      </c>
      <c r="AU191" s="242">
        <f t="shared" ca="1" si="1809"/>
        <v>616830.3338326494</v>
      </c>
      <c r="AV191" s="242">
        <f t="shared" ca="1" si="1809"/>
        <v>639268.61750066525</v>
      </c>
      <c r="AW191" s="242">
        <f t="shared" ca="1" si="1809"/>
        <v>661856.48972645355</v>
      </c>
      <c r="AX191" s="242">
        <f t="shared" ca="1" si="1809"/>
        <v>684594.94776706817</v>
      </c>
      <c r="AY191" s="242">
        <f t="shared" ca="1" si="1809"/>
        <v>707484.99552794162</v>
      </c>
      <c r="AZ191" s="242">
        <f t="shared" ca="1" si="1809"/>
        <v>730527.64360721142</v>
      </c>
      <c r="BA191" s="242">
        <f t="shared" ca="1" si="1809"/>
        <v>753723.90934033412</v>
      </c>
      <c r="BB191" s="242">
        <f t="shared" ca="1" si="1809"/>
        <v>777074.81684500573</v>
      </c>
      <c r="BC191" s="242">
        <f t="shared" ca="1" si="1809"/>
        <v>800581.39706637186</v>
      </c>
      <c r="BD191" s="242">
        <f t="shared" ca="1" si="1809"/>
        <v>824244.68782254669</v>
      </c>
      <c r="BE191" s="242">
        <f t="shared" ca="1" si="1809"/>
        <v>848065.73385043279</v>
      </c>
      <c r="BF191" s="242">
        <f t="shared" ca="1" si="1809"/>
        <v>872045.58685184421</v>
      </c>
      <c r="BG191" s="242">
        <f t="shared" ca="1" si="1809"/>
        <v>896185.30553994316</v>
      </c>
      <c r="BH191" s="242">
        <f t="shared" ca="1" si="1809"/>
        <v>920485.95568597782</v>
      </c>
      <c r="BI191" s="242">
        <f t="shared" ca="1" si="1809"/>
        <v>944948.61016634072</v>
      </c>
      <c r="BJ191" s="242">
        <f t="shared" ca="1" si="1809"/>
        <v>969574.34900993283</v>
      </c>
      <c r="BK191" s="242">
        <f t="shared" ca="1" si="1809"/>
        <v>994364.25944584794</v>
      </c>
      <c r="BL191" s="242">
        <f t="shared" ca="1" si="1809"/>
        <v>1019319.4359513758</v>
      </c>
      <c r="BM191" s="242">
        <f t="shared" ca="1" si="1809"/>
        <v>1044440.9803003203</v>
      </c>
      <c r="BN191" s="242">
        <f t="shared" ca="1" si="1809"/>
        <v>1069730.0016116474</v>
      </c>
      <c r="BO191" s="242">
        <f t="shared" ca="1" si="1809"/>
        <v>1095187.6163984481</v>
      </c>
      <c r="BP191" s="242">
        <f t="shared" ca="1" si="1809"/>
        <v>1120814.948617233</v>
      </c>
      <c r="BQ191" s="242">
        <f t="shared" ca="1" si="1809"/>
        <v>1146613.1297175619</v>
      </c>
      <c r="BR191" s="242">
        <f t="shared" ca="1" si="1809"/>
        <v>1172583.298691988</v>
      </c>
      <c r="BS191" s="242">
        <f t="shared" ref="BS191:BZ191" ca="1" si="1810">BR194</f>
        <v>1198726.6021263485</v>
      </c>
      <c r="BT191" s="242">
        <f t="shared" ca="1" si="1810"/>
        <v>1225044.1942503918</v>
      </c>
      <c r="BU191" s="242">
        <f t="shared" ca="1" si="1810"/>
        <v>1251537.2369887277</v>
      </c>
      <c r="BV191" s="242">
        <f t="shared" ca="1" si="1810"/>
        <v>1278206.9000121336</v>
      </c>
      <c r="BW191" s="242">
        <f t="shared" ca="1" si="1810"/>
        <v>1305054.3607891877</v>
      </c>
      <c r="BX191" s="242">
        <f t="shared" ca="1" si="1810"/>
        <v>1332080.8046382682</v>
      </c>
      <c r="BY191" s="242">
        <f t="shared" ca="1" si="1810"/>
        <v>1359287.424779868</v>
      </c>
      <c r="BZ191" s="242">
        <f t="shared" ca="1" si="1810"/>
        <v>1386675.4223892882</v>
      </c>
      <c r="CA191" s="242">
        <f t="shared" ref="CA191" ca="1" si="1811">BZ194</f>
        <v>1414246.0066496653</v>
      </c>
      <c r="CB191" s="242">
        <f t="shared" ref="CB191" ca="1" si="1812">CA194</f>
        <v>1442000.3915243424</v>
      </c>
      <c r="CC191" s="242">
        <f t="shared" ref="CC191" ca="1" si="1813">CB194</f>
        <v>1469939.8023507651</v>
      </c>
      <c r="CD191" s="242">
        <f t="shared" ref="CD191" ca="1" si="1814">CC194</f>
        <v>1498065.472635298</v>
      </c>
      <c r="CE191" s="242">
        <f t="shared" ref="CE191" ca="1" si="1815">CD194</f>
        <v>1526378.6441076836</v>
      </c>
      <c r="CF191" s="242">
        <f t="shared" ref="CF191" ca="1" si="1816">CE194</f>
        <v>1554880.5667758589</v>
      </c>
      <c r="CG191" s="242">
        <f t="shared" ref="CG191" ca="1" si="1817">CF194</f>
        <v>1583572.4989811569</v>
      </c>
      <c r="CH191" s="242">
        <f t="shared" ref="CH191" ca="1" si="1818">CG194</f>
        <v>1612455.7074538395</v>
      </c>
      <c r="CI191" s="242">
        <f t="shared" ref="CI191" ca="1" si="1819">CH194</f>
        <v>1641531.4673690507</v>
      </c>
      <c r="CJ191" s="242">
        <f t="shared" ref="CJ191" ca="1" si="1820">CI194</f>
        <v>1670801.0624030947</v>
      </c>
      <c r="CK191" s="242">
        <f t="shared" ref="CK191" ca="1" si="1821">CJ194</f>
        <v>1700265.7847900828</v>
      </c>
      <c r="CL191" s="242">
        <f t="shared" ref="CL191" ca="1" si="1822">CK194</f>
        <v>1486560.691128308</v>
      </c>
      <c r="CM191" s="242">
        <f t="shared" ref="CM191" ca="1" si="1823">CL194</f>
        <v>1486560.6911367376</v>
      </c>
      <c r="CN191" s="242">
        <f t="shared" ref="CN191" ca="1" si="1824">CM194</f>
        <v>1486560.6911458713</v>
      </c>
      <c r="CO191" s="242">
        <f t="shared" ref="CO191" ca="1" si="1825">CN194</f>
        <v>1486560.6911556886</v>
      </c>
      <c r="CP191" s="242">
        <f t="shared" ref="CP191" ca="1" si="1826">CO194</f>
        <v>1486560.6911662254</v>
      </c>
      <c r="CQ191" s="242">
        <f t="shared" ref="CQ191" ca="1" si="1827">CP194</f>
        <v>1486560.6911775183</v>
      </c>
      <c r="CR191" s="242">
        <f t="shared" ref="CR191" ca="1" si="1828">CQ194</f>
        <v>1486560.6911895764</v>
      </c>
      <c r="CS191" s="242">
        <f t="shared" ref="CS191" ca="1" si="1829">CR194</f>
        <v>1486560.6912023434</v>
      </c>
      <c r="CT191" s="242">
        <f t="shared" ref="CT191" ca="1" si="1830">CS194</f>
        <v>1486560.6912158893</v>
      </c>
      <c r="CU191" s="242">
        <f t="shared" ref="CU191" ca="1" si="1831">CT194</f>
        <v>1486560.6912302412</v>
      </c>
      <c r="CV191" s="242">
        <f t="shared" ref="CV191" ca="1" si="1832">CU194</f>
        <v>1486560.6912453114</v>
      </c>
      <c r="CW191" s="242">
        <f t="shared" ref="CW191" ca="1" si="1833">CV194</f>
        <v>1486560.6912612002</v>
      </c>
      <c r="CX191" s="242">
        <f t="shared" ref="CX191" ca="1" si="1834">CW194</f>
        <v>1486560.6912778553</v>
      </c>
      <c r="CY191" s="242">
        <f t="shared" ref="CY191" ca="1" si="1835">CX194</f>
        <v>1486560.6912952284</v>
      </c>
      <c r="CZ191" s="242">
        <f t="shared" ref="CZ191" ca="1" si="1836">CY194</f>
        <v>1486560.6913133599</v>
      </c>
      <c r="DA191" s="242">
        <f t="shared" ref="DA191" ca="1" si="1837">CZ194</f>
        <v>1486560.6913322432</v>
      </c>
      <c r="DB191" s="242">
        <f t="shared" ref="DB191" ca="1" si="1838">DA194</f>
        <v>1486560.69135182</v>
      </c>
      <c r="DC191" s="242">
        <f t="shared" ref="DC191" ca="1" si="1839">DB194</f>
        <v>1486560.6913720984</v>
      </c>
      <c r="DD191" s="242">
        <f t="shared" ref="DD191" ca="1" si="1840">DC194</f>
        <v>1486560.6913930527</v>
      </c>
      <c r="DE191" s="242">
        <f t="shared" ref="DE191" ca="1" si="1841">DD194</f>
        <v>1486560.6914146468</v>
      </c>
      <c r="DF191" s="242">
        <f t="shared" ref="DF191" ca="1" si="1842">DE194</f>
        <v>1486560.6914367848</v>
      </c>
      <c r="DG191" s="242">
        <f t="shared" ref="DG191" ca="1" si="1843">DF194</f>
        <v>1486560.6914594641</v>
      </c>
      <c r="DH191" s="242">
        <f t="shared" ref="DH191" ca="1" si="1844">DG194</f>
        <v>1486560.691482607</v>
      </c>
      <c r="DI191" s="242">
        <f t="shared" ref="DI191" ca="1" si="1845">DH194</f>
        <v>1486560.6915061763</v>
      </c>
      <c r="DJ191" s="242">
        <f t="shared" ref="DJ191" ca="1" si="1846">DI194</f>
        <v>1486560.6915300931</v>
      </c>
      <c r="DK191" s="242">
        <f t="shared" ref="DK191" ca="1" si="1847">DJ194</f>
        <v>1486560.691554185</v>
      </c>
      <c r="DL191" s="242">
        <f t="shared" ref="DL191" ca="1" si="1848">DK194</f>
        <v>1486560.6915785025</v>
      </c>
      <c r="DM191" s="242">
        <f t="shared" ref="DM191" ca="1" si="1849">DL194</f>
        <v>1486560.6916028156</v>
      </c>
      <c r="DN191" s="242">
        <f t="shared" ref="DN191" ca="1" si="1850">DM194</f>
        <v>1486560.6916271136</v>
      </c>
      <c r="DO191" s="242">
        <f t="shared" ref="DO191" ca="1" si="1851">DN194</f>
        <v>1486560.6916511762</v>
      </c>
      <c r="DP191" s="242">
        <f t="shared" ref="DP191" ca="1" si="1852">DO194</f>
        <v>1486560.6916749878</v>
      </c>
      <c r="DQ191" s="242">
        <f t="shared" ref="DQ191" ca="1" si="1853">DP194</f>
        <v>1486560.6916982664</v>
      </c>
      <c r="DR191" s="242">
        <f t="shared" ref="DR191" ca="1" si="1854">DQ194</f>
        <v>1486560.6917209821</v>
      </c>
      <c r="DS191" s="242">
        <f t="shared" ref="DS191" ca="1" si="1855">DR194</f>
        <v>1486560.6917428877</v>
      </c>
      <c r="DT191" s="242">
        <f t="shared" ref="DT191" ca="1" si="1856">DS194</f>
        <v>1486560.6917638236</v>
      </c>
      <c r="DU191" s="242">
        <f t="shared" ref="DU191" ca="1" si="1857">DT194</f>
        <v>1486560.6917836191</v>
      </c>
      <c r="DV191" s="242">
        <f t="shared" ref="DV191" ca="1" si="1858">DU194</f>
        <v>1486560.691802029</v>
      </c>
      <c r="DW191" s="242">
        <f t="shared" ref="DW191" ca="1" si="1859">DV194</f>
        <v>1486560.6918188967</v>
      </c>
      <c r="DX191" s="242">
        <f t="shared" ref="DX191" ca="1" si="1860">DW194</f>
        <v>1486560.6918339022</v>
      </c>
      <c r="DY191" s="242">
        <f t="shared" ref="DY191" ca="1" si="1861">DX194</f>
        <v>1486560.6918468592</v>
      </c>
      <c r="DZ191" s="242">
        <f t="shared" ref="DZ191" ca="1" si="1862">DY194</f>
        <v>1486560.6918575042</v>
      </c>
      <c r="EA191" s="242">
        <f t="shared" ref="EA191" ca="1" si="1863">DZ194</f>
        <v>1486560.691865575</v>
      </c>
      <c r="EB191" s="242">
        <f t="shared" ref="EB191" ca="1" si="1864">EA194</f>
        <v>1486560.6918707429</v>
      </c>
      <c r="EC191" s="242">
        <f t="shared" ref="EC191" ca="1" si="1865">EB194</f>
        <v>1486560.6918727567</v>
      </c>
      <c r="ED191" s="242">
        <f t="shared" ref="ED191" ca="1" si="1866">EC194</f>
        <v>1486560.6918712447</v>
      </c>
      <c r="EE191" s="242">
        <f t="shared" ref="EE191" ca="1" si="1867">ED194</f>
        <v>1486560.6918659471</v>
      </c>
      <c r="EF191" s="242">
        <f t="shared" ref="EF191" ca="1" si="1868">EE194</f>
        <v>1486560.6918564942</v>
      </c>
      <c r="EG191" s="242">
        <f t="shared" ref="EG191" ca="1" si="1869">EF194</f>
        <v>1486560.6918425008</v>
      </c>
      <c r="EH191" s="242">
        <f t="shared" ref="EH191" ca="1" si="1870">EG194</f>
        <v>1486560.6918236709</v>
      </c>
      <c r="EI191" s="242">
        <f t="shared" ref="EI191" ca="1" si="1871">EH194</f>
        <v>1486560.6917996106</v>
      </c>
      <c r="EJ191" s="242">
        <f t="shared" ref="EJ191" ca="1" si="1872">EI194</f>
        <v>1486560.6917699128</v>
      </c>
      <c r="EK191" s="242">
        <f t="shared" ref="EK191" ca="1" si="1873">EJ194</f>
        <v>1486560.6917341712</v>
      </c>
      <c r="EL191" s="242">
        <f t="shared" ref="EL191" ca="1" si="1874">EK194</f>
        <v>1486560.6916920114</v>
      </c>
      <c r="EM191" s="242">
        <f t="shared" ref="EM191" ca="1" si="1875">EL194</f>
        <v>1486560.6916430162</v>
      </c>
      <c r="EN191" s="242">
        <f t="shared" ref="EN191" ca="1" si="1876">EM194</f>
        <v>1486560.6915867303</v>
      </c>
      <c r="EO191" s="242">
        <f t="shared" ref="EO191" ca="1" si="1877">EN194</f>
        <v>1486560.6915227345</v>
      </c>
      <c r="EP191" s="242">
        <f t="shared" ref="EP191" ca="1" si="1878">EO194</f>
        <v>1486560.6914505544</v>
      </c>
      <c r="EQ191" s="242">
        <f t="shared" ref="EQ191" ca="1" si="1879">EP194</f>
        <v>1486560.6913698055</v>
      </c>
      <c r="ER191" s="242">
        <f t="shared" ref="ER191" ca="1" si="1880">EQ194</f>
        <v>1486560.6912799769</v>
      </c>
      <c r="ES191" s="242">
        <f t="shared" ref="ES191" ca="1" si="1881">ER194</f>
        <v>1486560.6911806532</v>
      </c>
      <c r="ET191" s="242">
        <f t="shared" ref="ET191" ca="1" si="1882">ES194</f>
        <v>1486560.6910714076</v>
      </c>
    </row>
    <row r="192" spans="2:150" x14ac:dyDescent="0.2">
      <c r="B192" t="s">
        <v>331</v>
      </c>
      <c r="F192" s="242">
        <f>IF(Promote!$H$3="Yes",F180*Promote!$E$4*Promote!$G$3/(1-Promote!$G$3),0)</f>
        <v>0</v>
      </c>
      <c r="G192" s="242">
        <f ca="1">IF(Promote!$H$3="Yes",G180*Promote!$E$4*Promote!$G$3/(1-Promote!$G$3),0)</f>
        <v>4909.5413737805147</v>
      </c>
      <c r="H192" s="242">
        <f ca="1">IF(Promote!$H$3="Yes",H180*Promote!$E$4*Promote!$G$3/(1-Promote!$G$3),0)</f>
        <v>5265.4558805290872</v>
      </c>
      <c r="I192" s="242">
        <f ca="1">IF(Promote!$H$3="Yes",I180*Promote!$E$4*Promote!$G$3/(1-Promote!$G$3),0)</f>
        <v>5623.7431506559806</v>
      </c>
      <c r="J192" s="242">
        <f ca="1">IF(Promote!$H$3="Yes",J180*Promote!$E$4*Promote!$G$3/(1-Promote!$G$3),0)</f>
        <v>5984.4190025837161</v>
      </c>
      <c r="K192" s="242">
        <f ca="1">IF(Promote!$H$3="Yes",K180*Promote!$E$4*Promote!$G$3/(1-Promote!$G$3),0)</f>
        <v>6347.4993601909637</v>
      </c>
      <c r="L192" s="242">
        <f ca="1">IF(Promote!$H$3="Yes",L180*Promote!$E$4*Promote!$G$3/(1-Promote!$G$3),0)</f>
        <v>6713.0002535155909</v>
      </c>
      <c r="M192" s="242">
        <f ca="1">IF(Promote!$H$3="Yes",M180*Promote!$E$4*Promote!$G$3/(1-Promote!$G$3),0)</f>
        <v>7080.9378194623723</v>
      </c>
      <c r="N192" s="242">
        <f ca="1">IF(Promote!$H$3="Yes",N180*Promote!$E$4*Promote!$G$3/(1-Promote!$G$3),0)</f>
        <v>7451.3283025154606</v>
      </c>
      <c r="O192" s="242">
        <f ca="1">IF(Promote!$H$3="Yes",O180*Promote!$E$4*Promote!$G$3/(1-Promote!$G$3),0)</f>
        <v>7824.1880554555601</v>
      </c>
      <c r="P192" s="242">
        <f ca="1">IF(Promote!$H$3="Yes",P180*Promote!$E$4*Promote!$G$3/(1-Promote!$G$3),0)</f>
        <v>8199.5335400819167</v>
      </c>
      <c r="Q192" s="242">
        <f ca="1">IF(Promote!$H$3="Yes",Q180*Promote!$E$4*Promote!$G$3/(1-Promote!$G$3),0)</f>
        <v>8577.3813279391106</v>
      </c>
      <c r="R192" s="242">
        <f ca="1">IF(Promote!$H$3="Yes",R180*Promote!$E$4*Promote!$G$3/(1-Promote!$G$3),0)</f>
        <v>8957.7481010486717</v>
      </c>
      <c r="S192" s="242">
        <f ca="1">IF(Promote!$H$3="Yes",S180*Promote!$E$4*Promote!$G$3/(1-Promote!$G$3),0)</f>
        <v>9340.6506526456214</v>
      </c>
      <c r="T192" s="242">
        <f ca="1">IF(Promote!$H$3="Yes",T180*Promote!$E$4*Promote!$G$3/(1-Promote!$G$3),0)</f>
        <v>9726.1058879198681</v>
      </c>
      <c r="U192" s="242">
        <f ca="1">IF(Promote!$H$3="Yes",U180*Promote!$E$4*Promote!$G$3/(1-Promote!$G$3),0)</f>
        <v>10114.130824762597</v>
      </c>
      <c r="V192" s="242">
        <f ca="1">IF(Promote!$H$3="Yes",V180*Promote!$E$4*Promote!$G$3/(1-Promote!$G$3),0)</f>
        <v>12874.967594517593</v>
      </c>
      <c r="W192" s="242">
        <f ca="1">IF(Promote!$H$3="Yes",W180*Promote!$E$4*Promote!$G$3/(1-Promote!$G$3),0)</f>
        <v>15654.209942737609</v>
      </c>
      <c r="X192" s="242">
        <f ca="1">IF(Promote!$H$3="Yes",X180*Promote!$E$4*Promote!$G$3/(1-Promote!$G$3),0)</f>
        <v>18451.98057327907</v>
      </c>
      <c r="Y192" s="242">
        <f ca="1">IF(Promote!$H$3="Yes",Y180*Promote!$E$4*Promote!$G$3/(1-Promote!$G$3),0)</f>
        <v>19386.726920379479</v>
      </c>
      <c r="Z192" s="242">
        <f ca="1">IF(Promote!$H$3="Yes",Z180*Promote!$E$4*Promote!$G$3/(1-Promote!$G$3),0)</f>
        <v>19515.971766512073</v>
      </c>
      <c r="AA192" s="242">
        <f ca="1">IF(Promote!$H$3="Yes",AA180*Promote!$E$4*Promote!$G$3/(1-Promote!$G$3),0)</f>
        <v>19646.078244951983</v>
      </c>
      <c r="AB192" s="242">
        <f ca="1">IF(Promote!$H$3="Yes",AB180*Promote!$E$4*Promote!$G$3/(1-Promote!$G$3),0)</f>
        <v>19777.052099914588</v>
      </c>
      <c r="AC192" s="242">
        <f ca="1">IF(Promote!$H$3="Yes",AC180*Promote!$E$4*Promote!$G$3/(1-Promote!$G$3),0)</f>
        <v>19908.899113910036</v>
      </c>
      <c r="AD192" s="242">
        <f ca="1">IF(Promote!$H$3="Yes",AD180*Promote!$E$4*Promote!$G$3/(1-Promote!$G$3),0)</f>
        <v>20041.625107998527</v>
      </c>
      <c r="AE192" s="242">
        <f ca="1">IF(Promote!$H$3="Yes",AE180*Promote!$E$4*Promote!$G$3/(1-Promote!$G$3),0)</f>
        <v>20175.235942047362</v>
      </c>
      <c r="AF192" s="242">
        <f ca="1">IF(Promote!$H$3="Yes",AF180*Promote!$E$4*Promote!$G$3/(1-Promote!$G$3),0)</f>
        <v>20309.7375149896</v>
      </c>
      <c r="AG192" s="242">
        <f ca="1">IF(Promote!$H$3="Yes",AG180*Promote!$E$4*Promote!$G$3/(1-Promote!$G$3),0)</f>
        <v>20445.135765084524</v>
      </c>
      <c r="AH192" s="242">
        <f ca="1">IF(Promote!$H$3="Yes",AH180*Promote!$E$4*Promote!$G$3/(1-Promote!$G$3),0)</f>
        <v>20581.436670179824</v>
      </c>
      <c r="AI192" s="242">
        <f ca="1">IF(Promote!$H$3="Yes",AI180*Promote!$E$4*Promote!$G$3/(1-Promote!$G$3),0)</f>
        <v>20718.646247975506</v>
      </c>
      <c r="AJ192" s="242">
        <f ca="1">IF(Promote!$H$3="Yes",AJ180*Promote!$E$4*Promote!$G$3/(1-Promote!$G$3),0)</f>
        <v>20856.770556289568</v>
      </c>
      <c r="AK192" s="242">
        <f ca="1">IF(Promote!$H$3="Yes",AK180*Promote!$E$4*Promote!$G$3/(1-Promote!$G$3),0)</f>
        <v>20995.815693325461</v>
      </c>
      <c r="AL192" s="242">
        <f ca="1">IF(Promote!$H$3="Yes",AL180*Promote!$E$4*Promote!$G$3/(1-Promote!$G$3),0)</f>
        <v>21135.787797941364</v>
      </c>
      <c r="AM192" s="242">
        <f ca="1">IF(Promote!$H$3="Yes",AM180*Promote!$E$4*Promote!$G$3/(1-Promote!$G$3),0)</f>
        <v>21276.693049921116</v>
      </c>
      <c r="AN192" s="242">
        <f ca="1">IF(Promote!$H$3="Yes",AN180*Promote!$E$4*Promote!$G$3/(1-Promote!$G$3),0)</f>
        <v>21418.537670247177</v>
      </c>
      <c r="AO192" s="242">
        <f ca="1">IF(Promote!$H$3="Yes",AO180*Promote!$E$4*Promote!$G$3/(1-Promote!$G$3),0)</f>
        <v>21561.327921375203</v>
      </c>
      <c r="AP192" s="242">
        <f ca="1">IF(Promote!$H$3="Yes",AP180*Promote!$E$4*Promote!$G$3/(1-Promote!$G$3),0)</f>
        <v>21705.070107510532</v>
      </c>
      <c r="AQ192" s="242">
        <f ca="1">IF(Promote!$H$3="Yes",AQ180*Promote!$E$4*Promote!$G$3/(1-Promote!$G$3),0)</f>
        <v>21849.770574886585</v>
      </c>
      <c r="AR192" s="242">
        <f ca="1">IF(Promote!$H$3="Yes",AR180*Promote!$E$4*Promote!$G$3/(1-Promote!$G$3),0)</f>
        <v>21995.435712044979</v>
      </c>
      <c r="AS192" s="242">
        <f ca="1">IF(Promote!$H$3="Yes",AS180*Promote!$E$4*Promote!$G$3/(1-Promote!$G$3),0)</f>
        <v>22142.071950117635</v>
      </c>
      <c r="AT192" s="242">
        <f ca="1">IF(Promote!$H$3="Yes",AT180*Promote!$E$4*Promote!$G$3/(1-Promote!$G$3),0)</f>
        <v>22289.685763110643</v>
      </c>
      <c r="AU192" s="242">
        <f ca="1">IF(Promote!$H$3="Yes",AU180*Promote!$E$4*Promote!$G$3/(1-Promote!$G$3),0)</f>
        <v>22438.283668190183</v>
      </c>
      <c r="AV192" s="242">
        <f ca="1">IF(Promote!$H$3="Yes",AV180*Promote!$E$4*Promote!$G$3/(1-Promote!$G$3),0)</f>
        <v>22587.872225970215</v>
      </c>
      <c r="AW192" s="242">
        <f ca="1">IF(Promote!$H$3="Yes",AW180*Promote!$E$4*Promote!$G$3/(1-Promote!$G$3),0)</f>
        <v>22738.458040802088</v>
      </c>
      <c r="AX192" s="242">
        <f ca="1">IF(Promote!$H$3="Yes",AX180*Promote!$E$4*Promote!$G$3/(1-Promote!$G$3),0)</f>
        <v>22890.047761066216</v>
      </c>
      <c r="AY192" s="242">
        <f ca="1">IF(Promote!$H$3="Yes",AY180*Promote!$E$4*Promote!$G$3/(1-Promote!$G$3),0)</f>
        <v>23042.648079465518</v>
      </c>
      <c r="AZ192" s="242">
        <f ca="1">IF(Promote!$H$3="Yes",AZ180*Promote!$E$4*Promote!$G$3/(1-Promote!$G$3),0)</f>
        <v>23196.265733320939</v>
      </c>
      <c r="BA192" s="242">
        <f ca="1">IF(Promote!$H$3="Yes",BA180*Promote!$E$4*Promote!$G$3/(1-Promote!$G$3),0)</f>
        <v>23350.907504868894</v>
      </c>
      <c r="BB192" s="242">
        <f ca="1">IF(Promote!$H$3="Yes",BB180*Promote!$E$4*Promote!$G$3/(1-Promote!$G$3),0)</f>
        <v>23506.580221560762</v>
      </c>
      <c r="BC192" s="242">
        <f ca="1">IF(Promote!$H$3="Yes",BC180*Promote!$E$4*Promote!$G$3/(1-Promote!$G$3),0)</f>
        <v>23663.290756364233</v>
      </c>
      <c r="BD192" s="242">
        <f ca="1">IF(Promote!$H$3="Yes",BD180*Promote!$E$4*Promote!$G$3/(1-Promote!$G$3),0)</f>
        <v>23821.046028066783</v>
      </c>
      <c r="BE192" s="242">
        <f ca="1">IF(Promote!$H$3="Yes",BE180*Promote!$E$4*Promote!$G$3/(1-Promote!$G$3),0)</f>
        <v>23979.853001581159</v>
      </c>
      <c r="BF192" s="242">
        <f ca="1">IF(Promote!$H$3="Yes",BF180*Promote!$E$4*Promote!$G$3/(1-Promote!$G$3),0)</f>
        <v>24139.718688252808</v>
      </c>
      <c r="BG192" s="242">
        <f ca="1">IF(Promote!$H$3="Yes",BG180*Promote!$E$4*Promote!$G$3/(1-Promote!$G$3),0)</f>
        <v>24300.650146169621</v>
      </c>
      <c r="BH192" s="242">
        <f ca="1">IF(Promote!$H$3="Yes",BH180*Promote!$E$4*Promote!$G$3/(1-Promote!$G$3),0)</f>
        <v>24462.654480473266</v>
      </c>
      <c r="BI192" s="242">
        <f ca="1">IF(Promote!$H$3="Yes",BI180*Promote!$E$4*Promote!$G$3/(1-Promote!$G$3),0)</f>
        <v>24625.738843673116</v>
      </c>
      <c r="BJ192" s="242">
        <f ca="1">IF(Promote!$H$3="Yes",BJ180*Promote!$E$4*Promote!$G$3/(1-Promote!$G$3),0)</f>
        <v>24789.910435961949</v>
      </c>
      <c r="BK192" s="242">
        <f ca="1">IF(Promote!$H$3="Yes",BK180*Promote!$E$4*Promote!$G$3/(1-Promote!$G$3),0)</f>
        <v>24955.176505533746</v>
      </c>
      <c r="BL192" s="242">
        <f ca="1">IF(Promote!$H$3="Yes",BL180*Promote!$E$4*Promote!$G$3/(1-Promote!$G$3),0)</f>
        <v>25121.544348903913</v>
      </c>
      <c r="BM192" s="242">
        <f ca="1">IF(Promote!$H$3="Yes",BM180*Promote!$E$4*Promote!$G$3/(1-Promote!$G$3),0)</f>
        <v>25289.021311231187</v>
      </c>
      <c r="BN192" s="242">
        <f ca="1">IF(Promote!$H$3="Yes",BN180*Promote!$E$4*Promote!$G$3/(1-Promote!$G$3),0)</f>
        <v>25457.614786642138</v>
      </c>
      <c r="BO192" s="242">
        <f ca="1">IF(Promote!$H$3="Yes",BO180*Promote!$E$4*Promote!$G$3/(1-Promote!$G$3),0)</f>
        <v>25627.332218557469</v>
      </c>
      <c r="BP192" s="242">
        <f ca="1">IF(Promote!$H$3="Yes",BP180*Promote!$E$4*Promote!$G$3/(1-Promote!$G$3),0)</f>
        <v>25798.181100020629</v>
      </c>
      <c r="BQ192" s="242">
        <f ca="1">IF(Promote!$H$3="Yes",BQ180*Promote!$E$4*Promote!$G$3/(1-Promote!$G$3),0)</f>
        <v>25970.168974028878</v>
      </c>
      <c r="BR192" s="242">
        <f ca="1">IF(Promote!$H$3="Yes",BR180*Promote!$E$4*Promote!$G$3/(1-Promote!$G$3),0)</f>
        <v>26143.303433865967</v>
      </c>
      <c r="BS192" s="242">
        <f ca="1">IF(Promote!$H$3="Yes",BS180*Promote!$E$4*Promote!$G$3/(1-Promote!$G$3),0)</f>
        <v>26317.592123437531</v>
      </c>
      <c r="BT192" s="242">
        <f ca="1">IF(Promote!$H$3="Yes",BT180*Promote!$E$4*Promote!$G$3/(1-Promote!$G$3),0)</f>
        <v>26493.04273760875</v>
      </c>
      <c r="BU192" s="242">
        <f ca="1">IF(Promote!$H$3="Yes",BU180*Promote!$E$4*Promote!$G$3/(1-Promote!$G$3),0)</f>
        <v>26669.663022543777</v>
      </c>
      <c r="BV192" s="242">
        <f ca="1">IF(Promote!$H$3="Yes",BV180*Promote!$E$4*Promote!$G$3/(1-Promote!$G$3),0)</f>
        <v>26847.46077604793</v>
      </c>
      <c r="BW192" s="242">
        <f ca="1">IF(Promote!$H$3="Yes",BW180*Promote!$E$4*Promote!$G$3/(1-Promote!$G$3),0)</f>
        <v>27026.443847911789</v>
      </c>
      <c r="BX192" s="242">
        <f ca="1">IF(Promote!$H$3="Yes",BX180*Promote!$E$4*Promote!$G$3/(1-Promote!$G$3),0)</f>
        <v>27206.620140258099</v>
      </c>
      <c r="BY192" s="242">
        <f ca="1">IF(Promote!$H$3="Yes",BY180*Promote!$E$4*Promote!$G$3/(1-Promote!$G$3),0)</f>
        <v>27387.997607890167</v>
      </c>
      <c r="BZ192" s="242">
        <f ca="1">IF(Promote!$H$3="Yes",BZ180*Promote!$E$4*Promote!$G$3/(1-Promote!$G$3),0)</f>
        <v>27570.58425864351</v>
      </c>
      <c r="CA192" s="242">
        <f ca="1">IF(Promote!$H$3="Yes",CA180*Promote!$E$4*Promote!$G$3/(1-Promote!$G$3),0)</f>
        <v>27754.384872721574</v>
      </c>
      <c r="CB192" s="242">
        <f ca="1">IF(Promote!$H$3="Yes",CB180*Promote!$E$4*Promote!$G$3/(1-Promote!$G$3),0)</f>
        <v>27939.410824230941</v>
      </c>
      <c r="CC192" s="242">
        <f ca="1">IF(Promote!$H$3="Yes",CC180*Promote!$E$4*Promote!$G$3/(1-Promote!$G$3),0)</f>
        <v>28125.670282088086</v>
      </c>
      <c r="CD192" s="242">
        <f ca="1">IF(Promote!$H$3="Yes",CD180*Promote!$E$4*Promote!$G$3/(1-Promote!$G$3),0)</f>
        <v>28313.171469668945</v>
      </c>
      <c r="CE192" s="242">
        <f ca="1">IF(Promote!$H$3="Yes",CE180*Promote!$E$4*Promote!$G$3/(1-Promote!$G$3),0)</f>
        <v>28501.922665171987</v>
      </c>
      <c r="CF192" s="242">
        <f ca="1">IF(Promote!$H$3="Yes",CF180*Promote!$E$4*Promote!$G$3/(1-Promote!$G$3),0)</f>
        <v>28691.932201983578</v>
      </c>
      <c r="CG192" s="242">
        <f ca="1">IF(Promote!$H$3="Yes",CG180*Promote!$E$4*Promote!$G$3/(1-Promote!$G$3),0)</f>
        <v>28883.20846904624</v>
      </c>
      <c r="CH192" s="242">
        <f ca="1">IF(Promote!$H$3="Yes",CH180*Promote!$E$4*Promote!$G$3/(1-Promote!$G$3),0)</f>
        <v>29075.759911228444</v>
      </c>
      <c r="CI192" s="242">
        <f ca="1">IF(Promote!$H$3="Yes",CI180*Promote!$E$4*Promote!$G$3/(1-Promote!$G$3),0)</f>
        <v>29269.595029698077</v>
      </c>
      <c r="CJ192" s="242">
        <f ca="1">IF(Promote!$H$3="Yes",CJ180*Promote!$E$4*Promote!$G$3/(1-Promote!$G$3),0)</f>
        <v>29464.72238229735</v>
      </c>
      <c r="CK192" s="242">
        <f ca="1">IF(Promote!$H$3="Yes",CK180*Promote!$E$4*Promote!$G$3/(1-Promote!$G$3),0)</f>
        <v>29661.150583913408</v>
      </c>
      <c r="CL192" s="242">
        <f ca="1">IF(Promote!$H$3="Yes",CL180*Promote!$E$4*Promote!$G$3/(1-Promote!$G$3),0)</f>
        <v>0</v>
      </c>
      <c r="CM192" s="242">
        <f ca="1">IF(Promote!$H$3="Yes",CM180*Promote!$E$4*Promote!$G$3/(1-Promote!$G$3),0)</f>
        <v>0</v>
      </c>
      <c r="CN192" s="242">
        <f ca="1">IF(Promote!$H$3="Yes",CN180*Promote!$E$4*Promote!$G$3/(1-Promote!$G$3),0)</f>
        <v>0</v>
      </c>
      <c r="CO192" s="242">
        <f ca="1">IF(Promote!$H$3="Yes",CO180*Promote!$E$4*Promote!$G$3/(1-Promote!$G$3),0)</f>
        <v>0</v>
      </c>
      <c r="CP192" s="242">
        <f ca="1">IF(Promote!$H$3="Yes",CP180*Promote!$E$4*Promote!$G$3/(1-Promote!$G$3),0)</f>
        <v>0</v>
      </c>
      <c r="CQ192" s="242">
        <f ca="1">IF(Promote!$H$3="Yes",CQ180*Promote!$E$4*Promote!$G$3/(1-Promote!$G$3),0)</f>
        <v>0</v>
      </c>
      <c r="CR192" s="242">
        <f ca="1">IF(Promote!$H$3="Yes",CR180*Promote!$E$4*Promote!$G$3/(1-Promote!$G$3),0)</f>
        <v>0</v>
      </c>
      <c r="CS192" s="242">
        <f ca="1">IF(Promote!$H$3="Yes",CS180*Promote!$E$4*Promote!$G$3/(1-Promote!$G$3),0)</f>
        <v>0</v>
      </c>
      <c r="CT192" s="242">
        <f ca="1">IF(Promote!$H$3="Yes",CT180*Promote!$E$4*Promote!$G$3/(1-Promote!$G$3),0)</f>
        <v>0</v>
      </c>
      <c r="CU192" s="242">
        <f ca="1">IF(Promote!$H$3="Yes",CU180*Promote!$E$4*Promote!$G$3/(1-Promote!$G$3),0)</f>
        <v>0</v>
      </c>
      <c r="CV192" s="242">
        <f ca="1">IF(Promote!$H$3="Yes",CV180*Promote!$E$4*Promote!$G$3/(1-Promote!$G$3),0)</f>
        <v>0</v>
      </c>
      <c r="CW192" s="242">
        <f ca="1">IF(Promote!$H$3="Yes",CW180*Promote!$E$4*Promote!$G$3/(1-Promote!$G$3),0)</f>
        <v>0</v>
      </c>
      <c r="CX192" s="242">
        <f ca="1">IF(Promote!$H$3="Yes",CX180*Promote!$E$4*Promote!$G$3/(1-Promote!$G$3),0)</f>
        <v>0</v>
      </c>
      <c r="CY192" s="242">
        <f ca="1">IF(Promote!$H$3="Yes",CY180*Promote!$E$4*Promote!$G$3/(1-Promote!$G$3),0)</f>
        <v>0</v>
      </c>
      <c r="CZ192" s="242">
        <f ca="1">IF(Promote!$H$3="Yes",CZ180*Promote!$E$4*Promote!$G$3/(1-Promote!$G$3),0)</f>
        <v>0</v>
      </c>
      <c r="DA192" s="242">
        <f ca="1">IF(Promote!$H$3="Yes",DA180*Promote!$E$4*Promote!$G$3/(1-Promote!$G$3),0)</f>
        <v>0</v>
      </c>
      <c r="DB192" s="242">
        <f ca="1">IF(Promote!$H$3="Yes",DB180*Promote!$E$4*Promote!$G$3/(1-Promote!$G$3),0)</f>
        <v>0</v>
      </c>
      <c r="DC192" s="242">
        <f ca="1">IF(Promote!$H$3="Yes",DC180*Promote!$E$4*Promote!$G$3/(1-Promote!$G$3),0)</f>
        <v>0</v>
      </c>
      <c r="DD192" s="242">
        <f ca="1">IF(Promote!$H$3="Yes",DD180*Promote!$E$4*Promote!$G$3/(1-Promote!$G$3),0)</f>
        <v>0</v>
      </c>
      <c r="DE192" s="242">
        <f ca="1">IF(Promote!$H$3="Yes",DE180*Promote!$E$4*Promote!$G$3/(1-Promote!$G$3),0)</f>
        <v>0</v>
      </c>
      <c r="DF192" s="242">
        <f ca="1">IF(Promote!$H$3="Yes",DF180*Promote!$E$4*Promote!$G$3/(1-Promote!$G$3),0)</f>
        <v>0</v>
      </c>
      <c r="DG192" s="242">
        <f ca="1">IF(Promote!$H$3="Yes",DG180*Promote!$E$4*Promote!$G$3/(1-Promote!$G$3),0)</f>
        <v>0</v>
      </c>
      <c r="DH192" s="242">
        <f ca="1">IF(Promote!$H$3="Yes",DH180*Promote!$E$4*Promote!$G$3/(1-Promote!$G$3),0)</f>
        <v>0</v>
      </c>
      <c r="DI192" s="242">
        <f ca="1">IF(Promote!$H$3="Yes",DI180*Promote!$E$4*Promote!$G$3/(1-Promote!$G$3),0)</f>
        <v>0</v>
      </c>
      <c r="DJ192" s="242">
        <f ca="1">IF(Promote!$H$3="Yes",DJ180*Promote!$E$4*Promote!$G$3/(1-Promote!$G$3),0)</f>
        <v>0</v>
      </c>
      <c r="DK192" s="242">
        <f ca="1">IF(Promote!$H$3="Yes",DK180*Promote!$E$4*Promote!$G$3/(1-Promote!$G$3),0)</f>
        <v>0</v>
      </c>
      <c r="DL192" s="242">
        <f ca="1">IF(Promote!$H$3="Yes",DL180*Promote!$E$4*Promote!$G$3/(1-Promote!$G$3),0)</f>
        <v>0</v>
      </c>
      <c r="DM192" s="242">
        <f ca="1">IF(Promote!$H$3="Yes",DM180*Promote!$E$4*Promote!$G$3/(1-Promote!$G$3),0)</f>
        <v>0</v>
      </c>
      <c r="DN192" s="242">
        <f ca="1">IF(Promote!$H$3="Yes",DN180*Promote!$E$4*Promote!$G$3/(1-Promote!$G$3),0)</f>
        <v>0</v>
      </c>
      <c r="DO192" s="242">
        <f ca="1">IF(Promote!$H$3="Yes",DO180*Promote!$E$4*Promote!$G$3/(1-Promote!$G$3),0)</f>
        <v>0</v>
      </c>
      <c r="DP192" s="242">
        <f ca="1">IF(Promote!$H$3="Yes",DP180*Promote!$E$4*Promote!$G$3/(1-Promote!$G$3),0)</f>
        <v>0</v>
      </c>
      <c r="DQ192" s="242">
        <f ca="1">IF(Promote!$H$3="Yes",DQ180*Promote!$E$4*Promote!$G$3/(1-Promote!$G$3),0)</f>
        <v>0</v>
      </c>
      <c r="DR192" s="242">
        <f ca="1">IF(Promote!$H$3="Yes",DR180*Promote!$E$4*Promote!$G$3/(1-Promote!$G$3),0)</f>
        <v>0</v>
      </c>
      <c r="DS192" s="242">
        <f ca="1">IF(Promote!$H$3="Yes",DS180*Promote!$E$4*Promote!$G$3/(1-Promote!$G$3),0)</f>
        <v>0</v>
      </c>
      <c r="DT192" s="242">
        <f ca="1">IF(Promote!$H$3="Yes",DT180*Promote!$E$4*Promote!$G$3/(1-Promote!$G$3),0)</f>
        <v>0</v>
      </c>
      <c r="DU192" s="242">
        <f ca="1">IF(Promote!$H$3="Yes",DU180*Promote!$E$4*Promote!$G$3/(1-Promote!$G$3),0)</f>
        <v>0</v>
      </c>
      <c r="DV192" s="242">
        <f ca="1">IF(Promote!$H$3="Yes",DV180*Promote!$E$4*Promote!$G$3/(1-Promote!$G$3),0)</f>
        <v>0</v>
      </c>
      <c r="DW192" s="242">
        <f ca="1">IF(Promote!$H$3="Yes",DW180*Promote!$E$4*Promote!$G$3/(1-Promote!$G$3),0)</f>
        <v>0</v>
      </c>
      <c r="DX192" s="242">
        <f ca="1">IF(Promote!$H$3="Yes",DX180*Promote!$E$4*Promote!$G$3/(1-Promote!$G$3),0)</f>
        <v>0</v>
      </c>
      <c r="DY192" s="242">
        <f ca="1">IF(Promote!$H$3="Yes",DY180*Promote!$E$4*Promote!$G$3/(1-Promote!$G$3),0)</f>
        <v>0</v>
      </c>
      <c r="DZ192" s="242">
        <f ca="1">IF(Promote!$H$3="Yes",DZ180*Promote!$E$4*Promote!$G$3/(1-Promote!$G$3),0)</f>
        <v>0</v>
      </c>
      <c r="EA192" s="242">
        <f ca="1">IF(Promote!$H$3="Yes",EA180*Promote!$E$4*Promote!$G$3/(1-Promote!$G$3),0)</f>
        <v>0</v>
      </c>
      <c r="EB192" s="242">
        <f ca="1">IF(Promote!$H$3="Yes",EB180*Promote!$E$4*Promote!$G$3/(1-Promote!$G$3),0)</f>
        <v>0</v>
      </c>
      <c r="EC192" s="242">
        <f ca="1">IF(Promote!$H$3="Yes",EC180*Promote!$E$4*Promote!$G$3/(1-Promote!$G$3),0)</f>
        <v>0</v>
      </c>
      <c r="ED192" s="242">
        <f ca="1">IF(Promote!$H$3="Yes",ED180*Promote!$E$4*Promote!$G$3/(1-Promote!$G$3),0)</f>
        <v>0</v>
      </c>
      <c r="EE192" s="242">
        <f ca="1">IF(Promote!$H$3="Yes",EE180*Promote!$E$4*Promote!$G$3/(1-Promote!$G$3),0)</f>
        <v>0</v>
      </c>
      <c r="EF192" s="242">
        <f ca="1">IF(Promote!$H$3="Yes",EF180*Promote!$E$4*Promote!$G$3/(1-Promote!$G$3),0)</f>
        <v>0</v>
      </c>
      <c r="EG192" s="242">
        <f ca="1">IF(Promote!$H$3="Yes",EG180*Promote!$E$4*Promote!$G$3/(1-Promote!$G$3),0)</f>
        <v>0</v>
      </c>
      <c r="EH192" s="242">
        <f ca="1">IF(Promote!$H$3="Yes",EH180*Promote!$E$4*Promote!$G$3/(1-Promote!$G$3),0)</f>
        <v>0</v>
      </c>
      <c r="EI192" s="242">
        <f ca="1">IF(Promote!$H$3="Yes",EI180*Promote!$E$4*Promote!$G$3/(1-Promote!$G$3),0)</f>
        <v>0</v>
      </c>
      <c r="EJ192" s="242">
        <f ca="1">IF(Promote!$H$3="Yes",EJ180*Promote!$E$4*Promote!$G$3/(1-Promote!$G$3),0)</f>
        <v>0</v>
      </c>
      <c r="EK192" s="242">
        <f ca="1">IF(Promote!$H$3="Yes",EK180*Promote!$E$4*Promote!$G$3/(1-Promote!$G$3),0)</f>
        <v>0</v>
      </c>
      <c r="EL192" s="242">
        <f ca="1">IF(Promote!$H$3="Yes",EL180*Promote!$E$4*Promote!$G$3/(1-Promote!$G$3),0)</f>
        <v>0</v>
      </c>
      <c r="EM192" s="242">
        <f ca="1">IF(Promote!$H$3="Yes",EM180*Promote!$E$4*Promote!$G$3/(1-Promote!$G$3),0)</f>
        <v>0</v>
      </c>
      <c r="EN192" s="242">
        <f ca="1">IF(Promote!$H$3="Yes",EN180*Promote!$E$4*Promote!$G$3/(1-Promote!$G$3),0)</f>
        <v>0</v>
      </c>
      <c r="EO192" s="242">
        <f ca="1">IF(Promote!$H$3="Yes",EO180*Promote!$E$4*Promote!$G$3/(1-Promote!$G$3),0)</f>
        <v>0</v>
      </c>
      <c r="EP192" s="242">
        <f ca="1">IF(Promote!$H$3="Yes",EP180*Promote!$E$4*Promote!$G$3/(1-Promote!$G$3),0)</f>
        <v>0</v>
      </c>
      <c r="EQ192" s="242">
        <f ca="1">IF(Promote!$H$3="Yes",EQ180*Promote!$E$4*Promote!$G$3/(1-Promote!$G$3),0)</f>
        <v>0</v>
      </c>
      <c r="ER192" s="242">
        <f ca="1">IF(Promote!$H$3="Yes",ER180*Promote!$E$4*Promote!$G$3/(1-Promote!$G$3),0)</f>
        <v>0</v>
      </c>
      <c r="ES192" s="242">
        <f ca="1">IF(Promote!$H$3="Yes",ES180*Promote!$E$4*Promote!$G$3/(1-Promote!$G$3),0)</f>
        <v>0</v>
      </c>
      <c r="ET192" s="242">
        <f ca="1">IF(Promote!$H$3="Yes",ET180*Promote!$E$4*Promote!$G$3/(1-Promote!$G$3),0)</f>
        <v>0</v>
      </c>
    </row>
    <row r="193" spans="2:150" x14ac:dyDescent="0.2">
      <c r="B193" t="s">
        <v>332</v>
      </c>
      <c r="F193" s="242">
        <f ca="1">-MIN(F189,SUM(F191:F192))</f>
        <v>0</v>
      </c>
      <c r="G193" s="242">
        <f t="shared" ref="G193:BR193" ca="1" si="1883">-MIN(G189,SUM(G191:G192))</f>
        <v>0</v>
      </c>
      <c r="H193" s="242">
        <f t="shared" ca="1" si="1883"/>
        <v>0</v>
      </c>
      <c r="I193" s="242">
        <f t="shared" ca="1" si="1883"/>
        <v>0</v>
      </c>
      <c r="J193" s="242">
        <f t="shared" ca="1" si="1883"/>
        <v>0</v>
      </c>
      <c r="K193" s="242">
        <f t="shared" ca="1" si="1883"/>
        <v>0</v>
      </c>
      <c r="L193" s="242">
        <f t="shared" ca="1" si="1883"/>
        <v>0</v>
      </c>
      <c r="M193" s="242">
        <f t="shared" ca="1" si="1883"/>
        <v>0</v>
      </c>
      <c r="N193" s="242">
        <f t="shared" ca="1" si="1883"/>
        <v>0</v>
      </c>
      <c r="O193" s="242">
        <f t="shared" ca="1" si="1883"/>
        <v>0</v>
      </c>
      <c r="P193" s="242">
        <f t="shared" ca="1" si="1883"/>
        <v>0</v>
      </c>
      <c r="Q193" s="242">
        <f t="shared" ca="1" si="1883"/>
        <v>0</v>
      </c>
      <c r="R193" s="242">
        <f t="shared" ca="1" si="1883"/>
        <v>0</v>
      </c>
      <c r="S193" s="242">
        <f t="shared" ca="1" si="1883"/>
        <v>0</v>
      </c>
      <c r="T193" s="242">
        <f t="shared" ca="1" si="1883"/>
        <v>0</v>
      </c>
      <c r="U193" s="242">
        <f t="shared" ca="1" si="1883"/>
        <v>0</v>
      </c>
      <c r="V193" s="242">
        <f t="shared" ca="1" si="1883"/>
        <v>0</v>
      </c>
      <c r="W193" s="242">
        <f t="shared" ca="1" si="1883"/>
        <v>0</v>
      </c>
      <c r="X193" s="242">
        <f t="shared" ca="1" si="1883"/>
        <v>0</v>
      </c>
      <c r="Y193" s="242">
        <f t="shared" ca="1" si="1883"/>
        <v>0</v>
      </c>
      <c r="Z193" s="242">
        <f t="shared" ca="1" si="1883"/>
        <v>0</v>
      </c>
      <c r="AA193" s="242">
        <f t="shared" ca="1" si="1883"/>
        <v>0</v>
      </c>
      <c r="AB193" s="242">
        <f t="shared" ca="1" si="1883"/>
        <v>0</v>
      </c>
      <c r="AC193" s="242">
        <f t="shared" ca="1" si="1883"/>
        <v>0</v>
      </c>
      <c r="AD193" s="242">
        <f t="shared" ca="1" si="1883"/>
        <v>0</v>
      </c>
      <c r="AE193" s="242">
        <f t="shared" ca="1" si="1883"/>
        <v>0</v>
      </c>
      <c r="AF193" s="242">
        <f t="shared" ca="1" si="1883"/>
        <v>0</v>
      </c>
      <c r="AG193" s="242">
        <f t="shared" ca="1" si="1883"/>
        <v>0</v>
      </c>
      <c r="AH193" s="242">
        <f t="shared" ca="1" si="1883"/>
        <v>0</v>
      </c>
      <c r="AI193" s="242">
        <f t="shared" ca="1" si="1883"/>
        <v>0</v>
      </c>
      <c r="AJ193" s="242">
        <f t="shared" ca="1" si="1883"/>
        <v>0</v>
      </c>
      <c r="AK193" s="242">
        <f t="shared" ca="1" si="1883"/>
        <v>0</v>
      </c>
      <c r="AL193" s="242">
        <f t="shared" ca="1" si="1883"/>
        <v>0</v>
      </c>
      <c r="AM193" s="242">
        <f t="shared" ca="1" si="1883"/>
        <v>0</v>
      </c>
      <c r="AN193" s="242">
        <f t="shared" ca="1" si="1883"/>
        <v>0</v>
      </c>
      <c r="AO193" s="242">
        <f t="shared" ca="1" si="1883"/>
        <v>0</v>
      </c>
      <c r="AP193" s="242">
        <f t="shared" ca="1" si="1883"/>
        <v>0</v>
      </c>
      <c r="AQ193" s="242">
        <f t="shared" ca="1" si="1883"/>
        <v>0</v>
      </c>
      <c r="AR193" s="242">
        <f t="shared" ca="1" si="1883"/>
        <v>0</v>
      </c>
      <c r="AS193" s="242">
        <f t="shared" ca="1" si="1883"/>
        <v>0</v>
      </c>
      <c r="AT193" s="242">
        <f t="shared" ca="1" si="1883"/>
        <v>0</v>
      </c>
      <c r="AU193" s="242">
        <f t="shared" ca="1" si="1883"/>
        <v>0</v>
      </c>
      <c r="AV193" s="242">
        <f t="shared" ca="1" si="1883"/>
        <v>0</v>
      </c>
      <c r="AW193" s="242">
        <f t="shared" ca="1" si="1883"/>
        <v>0</v>
      </c>
      <c r="AX193" s="242">
        <f t="shared" ca="1" si="1883"/>
        <v>0</v>
      </c>
      <c r="AY193" s="242">
        <f t="shared" ca="1" si="1883"/>
        <v>0</v>
      </c>
      <c r="AZ193" s="242">
        <f t="shared" ca="1" si="1883"/>
        <v>0</v>
      </c>
      <c r="BA193" s="242">
        <f t="shared" ca="1" si="1883"/>
        <v>0</v>
      </c>
      <c r="BB193" s="242">
        <f t="shared" ca="1" si="1883"/>
        <v>0</v>
      </c>
      <c r="BC193" s="242">
        <f t="shared" ca="1" si="1883"/>
        <v>0</v>
      </c>
      <c r="BD193" s="242">
        <f t="shared" ca="1" si="1883"/>
        <v>0</v>
      </c>
      <c r="BE193" s="242">
        <f t="shared" ca="1" si="1883"/>
        <v>0</v>
      </c>
      <c r="BF193" s="242">
        <f t="shared" ca="1" si="1883"/>
        <v>0</v>
      </c>
      <c r="BG193" s="242">
        <f t="shared" ca="1" si="1883"/>
        <v>0</v>
      </c>
      <c r="BH193" s="242">
        <f t="shared" ca="1" si="1883"/>
        <v>0</v>
      </c>
      <c r="BI193" s="242">
        <f t="shared" ca="1" si="1883"/>
        <v>0</v>
      </c>
      <c r="BJ193" s="242">
        <f t="shared" ca="1" si="1883"/>
        <v>0</v>
      </c>
      <c r="BK193" s="242">
        <f t="shared" ca="1" si="1883"/>
        <v>0</v>
      </c>
      <c r="BL193" s="242">
        <f t="shared" ca="1" si="1883"/>
        <v>0</v>
      </c>
      <c r="BM193" s="242">
        <f t="shared" ca="1" si="1883"/>
        <v>0</v>
      </c>
      <c r="BN193" s="242">
        <f t="shared" ca="1" si="1883"/>
        <v>0</v>
      </c>
      <c r="BO193" s="242">
        <f t="shared" ca="1" si="1883"/>
        <v>0</v>
      </c>
      <c r="BP193" s="242">
        <f t="shared" ca="1" si="1883"/>
        <v>0</v>
      </c>
      <c r="BQ193" s="242">
        <f t="shared" ca="1" si="1883"/>
        <v>0</v>
      </c>
      <c r="BR193" s="242">
        <f t="shared" ca="1" si="1883"/>
        <v>0</v>
      </c>
      <c r="BS193" s="242">
        <f t="shared" ref="BS193:BZ193" ca="1" si="1884">-MIN(BS189,SUM(BS191:BS192))</f>
        <v>0</v>
      </c>
      <c r="BT193" s="242">
        <f t="shared" ca="1" si="1884"/>
        <v>0</v>
      </c>
      <c r="BU193" s="242">
        <f t="shared" ca="1" si="1884"/>
        <v>0</v>
      </c>
      <c r="BV193" s="242">
        <f t="shared" ca="1" si="1884"/>
        <v>0</v>
      </c>
      <c r="BW193" s="242">
        <f t="shared" ca="1" si="1884"/>
        <v>0</v>
      </c>
      <c r="BX193" s="242">
        <f t="shared" ca="1" si="1884"/>
        <v>0</v>
      </c>
      <c r="BY193" s="242">
        <f t="shared" ca="1" si="1884"/>
        <v>0</v>
      </c>
      <c r="BZ193" s="242">
        <f t="shared" ca="1" si="1884"/>
        <v>0</v>
      </c>
      <c r="CA193" s="242">
        <f t="shared" ref="CA193:EL193" ca="1" si="1885">-MIN(CA189,SUM(CA191:CA192))</f>
        <v>0</v>
      </c>
      <c r="CB193" s="242">
        <f t="shared" ca="1" si="1885"/>
        <v>0</v>
      </c>
      <c r="CC193" s="242">
        <f t="shared" ca="1" si="1885"/>
        <v>0</v>
      </c>
      <c r="CD193" s="242">
        <f t="shared" ca="1" si="1885"/>
        <v>0</v>
      </c>
      <c r="CE193" s="242">
        <f t="shared" ca="1" si="1885"/>
        <v>0</v>
      </c>
      <c r="CF193" s="242">
        <f t="shared" ca="1" si="1885"/>
        <v>0</v>
      </c>
      <c r="CG193" s="242">
        <f t="shared" ca="1" si="1885"/>
        <v>0</v>
      </c>
      <c r="CH193" s="242">
        <f t="shared" ca="1" si="1885"/>
        <v>0</v>
      </c>
      <c r="CI193" s="242">
        <f t="shared" ca="1" si="1885"/>
        <v>0</v>
      </c>
      <c r="CJ193" s="242">
        <f t="shared" ca="1" si="1885"/>
        <v>0</v>
      </c>
      <c r="CK193" s="242">
        <f t="shared" ca="1" si="1885"/>
        <v>-243366.24425344914</v>
      </c>
      <c r="CL193" s="242">
        <f t="shared" ca="1" si="1885"/>
        <v>0</v>
      </c>
      <c r="CM193" s="242">
        <f t="shared" ca="1" si="1885"/>
        <v>0</v>
      </c>
      <c r="CN193" s="242">
        <f t="shared" ca="1" si="1885"/>
        <v>0</v>
      </c>
      <c r="CO193" s="242">
        <f t="shared" ca="1" si="1885"/>
        <v>0</v>
      </c>
      <c r="CP193" s="242">
        <f t="shared" ca="1" si="1885"/>
        <v>0</v>
      </c>
      <c r="CQ193" s="242">
        <f t="shared" ca="1" si="1885"/>
        <v>0</v>
      </c>
      <c r="CR193" s="242">
        <f t="shared" ca="1" si="1885"/>
        <v>0</v>
      </c>
      <c r="CS193" s="242">
        <f t="shared" ca="1" si="1885"/>
        <v>0</v>
      </c>
      <c r="CT193" s="242">
        <f t="shared" ca="1" si="1885"/>
        <v>0</v>
      </c>
      <c r="CU193" s="242">
        <f t="shared" ca="1" si="1885"/>
        <v>0</v>
      </c>
      <c r="CV193" s="242">
        <f t="shared" ca="1" si="1885"/>
        <v>0</v>
      </c>
      <c r="CW193" s="242">
        <f t="shared" ca="1" si="1885"/>
        <v>0</v>
      </c>
      <c r="CX193" s="242">
        <f t="shared" ca="1" si="1885"/>
        <v>0</v>
      </c>
      <c r="CY193" s="242">
        <f t="shared" ca="1" si="1885"/>
        <v>0</v>
      </c>
      <c r="CZ193" s="242">
        <f t="shared" ca="1" si="1885"/>
        <v>0</v>
      </c>
      <c r="DA193" s="242">
        <f t="shared" ca="1" si="1885"/>
        <v>0</v>
      </c>
      <c r="DB193" s="242">
        <f t="shared" ca="1" si="1885"/>
        <v>0</v>
      </c>
      <c r="DC193" s="242">
        <f t="shared" ca="1" si="1885"/>
        <v>0</v>
      </c>
      <c r="DD193" s="242">
        <f t="shared" ca="1" si="1885"/>
        <v>0</v>
      </c>
      <c r="DE193" s="242">
        <f t="shared" ca="1" si="1885"/>
        <v>0</v>
      </c>
      <c r="DF193" s="242">
        <f t="shared" ca="1" si="1885"/>
        <v>0</v>
      </c>
      <c r="DG193" s="242">
        <f t="shared" ca="1" si="1885"/>
        <v>0</v>
      </c>
      <c r="DH193" s="242">
        <f t="shared" ca="1" si="1885"/>
        <v>0</v>
      </c>
      <c r="DI193" s="242">
        <f t="shared" ca="1" si="1885"/>
        <v>0</v>
      </c>
      <c r="DJ193" s="242">
        <f t="shared" ca="1" si="1885"/>
        <v>0</v>
      </c>
      <c r="DK193" s="242">
        <f t="shared" ca="1" si="1885"/>
        <v>0</v>
      </c>
      <c r="DL193" s="242">
        <f t="shared" ca="1" si="1885"/>
        <v>0</v>
      </c>
      <c r="DM193" s="242">
        <f t="shared" ca="1" si="1885"/>
        <v>0</v>
      </c>
      <c r="DN193" s="242">
        <f t="shared" ca="1" si="1885"/>
        <v>0</v>
      </c>
      <c r="DO193" s="242">
        <f t="shared" ca="1" si="1885"/>
        <v>0</v>
      </c>
      <c r="DP193" s="242">
        <f t="shared" ca="1" si="1885"/>
        <v>0</v>
      </c>
      <c r="DQ193" s="242">
        <f t="shared" ca="1" si="1885"/>
        <v>0</v>
      </c>
      <c r="DR193" s="242">
        <f t="shared" ca="1" si="1885"/>
        <v>0</v>
      </c>
      <c r="DS193" s="242">
        <f t="shared" ca="1" si="1885"/>
        <v>0</v>
      </c>
      <c r="DT193" s="242">
        <f t="shared" ca="1" si="1885"/>
        <v>0</v>
      </c>
      <c r="DU193" s="242">
        <f t="shared" ca="1" si="1885"/>
        <v>0</v>
      </c>
      <c r="DV193" s="242">
        <f t="shared" ca="1" si="1885"/>
        <v>0</v>
      </c>
      <c r="DW193" s="242">
        <f t="shared" ca="1" si="1885"/>
        <v>0</v>
      </c>
      <c r="DX193" s="242">
        <f t="shared" ca="1" si="1885"/>
        <v>0</v>
      </c>
      <c r="DY193" s="242">
        <f t="shared" ca="1" si="1885"/>
        <v>0</v>
      </c>
      <c r="DZ193" s="242">
        <f t="shared" ca="1" si="1885"/>
        <v>0</v>
      </c>
      <c r="EA193" s="242">
        <f t="shared" ca="1" si="1885"/>
        <v>0</v>
      </c>
      <c r="EB193" s="242">
        <f t="shared" ca="1" si="1885"/>
        <v>0</v>
      </c>
      <c r="EC193" s="242">
        <f t="shared" ca="1" si="1885"/>
        <v>0</v>
      </c>
      <c r="ED193" s="242">
        <f t="shared" ca="1" si="1885"/>
        <v>0</v>
      </c>
      <c r="EE193" s="242">
        <f t="shared" ca="1" si="1885"/>
        <v>0</v>
      </c>
      <c r="EF193" s="242">
        <f t="shared" ca="1" si="1885"/>
        <v>0</v>
      </c>
      <c r="EG193" s="242">
        <f t="shared" ca="1" si="1885"/>
        <v>0</v>
      </c>
      <c r="EH193" s="242">
        <f t="shared" ca="1" si="1885"/>
        <v>0</v>
      </c>
      <c r="EI193" s="242">
        <f t="shared" ca="1" si="1885"/>
        <v>0</v>
      </c>
      <c r="EJ193" s="242">
        <f t="shared" ca="1" si="1885"/>
        <v>0</v>
      </c>
      <c r="EK193" s="242">
        <f t="shared" ca="1" si="1885"/>
        <v>0</v>
      </c>
      <c r="EL193" s="242">
        <f t="shared" ca="1" si="1885"/>
        <v>0</v>
      </c>
      <c r="EM193" s="242">
        <f t="shared" ref="EM193:ET193" ca="1" si="1886">-MIN(EM189,SUM(EM191:EM192))</f>
        <v>0</v>
      </c>
      <c r="EN193" s="242">
        <f t="shared" ca="1" si="1886"/>
        <v>0</v>
      </c>
      <c r="EO193" s="242">
        <f t="shared" ca="1" si="1886"/>
        <v>0</v>
      </c>
      <c r="EP193" s="242">
        <f t="shared" ca="1" si="1886"/>
        <v>0</v>
      </c>
      <c r="EQ193" s="242">
        <f t="shared" ca="1" si="1886"/>
        <v>0</v>
      </c>
      <c r="ER193" s="242">
        <f t="shared" ca="1" si="1886"/>
        <v>0</v>
      </c>
      <c r="ES193" s="242">
        <f t="shared" ca="1" si="1886"/>
        <v>0</v>
      </c>
      <c r="ET193" s="242">
        <f t="shared" ca="1" si="1886"/>
        <v>0</v>
      </c>
    </row>
    <row r="194" spans="2:150" x14ac:dyDescent="0.2">
      <c r="B194" t="s">
        <v>333</v>
      </c>
      <c r="F194" s="242">
        <f ca="1">SUM(F191:F193)</f>
        <v>0</v>
      </c>
      <c r="G194" s="242">
        <f t="shared" ref="G194:BR194" ca="1" si="1887">SUM(G191:G193)</f>
        <v>4909.5413737805147</v>
      </c>
      <c r="H194" s="242">
        <f t="shared" ca="1" si="1887"/>
        <v>10174.997254309599</v>
      </c>
      <c r="I194" s="242">
        <f t="shared" ca="1" si="1887"/>
        <v>15798.740404965571</v>
      </c>
      <c r="J194" s="242">
        <f t="shared" ca="1" si="1887"/>
        <v>21783.159407549265</v>
      </c>
      <c r="K194" s="242">
        <f t="shared" ca="1" si="1887"/>
        <v>28130.658767740191</v>
      </c>
      <c r="L194" s="242">
        <f t="shared" ca="1" si="1887"/>
        <v>34843.65902125572</v>
      </c>
      <c r="M194" s="242">
        <f t="shared" ca="1" si="1887"/>
        <v>41924.59684071799</v>
      </c>
      <c r="N194" s="242">
        <f t="shared" ca="1" si="1887"/>
        <v>49375.925143233304</v>
      </c>
      <c r="O194" s="242">
        <f t="shared" ca="1" si="1887"/>
        <v>57200.113198688639</v>
      </c>
      <c r="P194" s="242">
        <f t="shared" ca="1" si="1887"/>
        <v>65399.64673877028</v>
      </c>
      <c r="Q194" s="242">
        <f t="shared" ca="1" si="1887"/>
        <v>73977.028066709026</v>
      </c>
      <c r="R194" s="242">
        <f t="shared" ca="1" si="1887"/>
        <v>82934.776167757183</v>
      </c>
      <c r="S194" s="242">
        <f t="shared" ca="1" si="1887"/>
        <v>92275.426820402179</v>
      </c>
      <c r="T194" s="242">
        <f t="shared" ca="1" si="1887"/>
        <v>102001.53270832123</v>
      </c>
      <c r="U194" s="242">
        <f t="shared" ca="1" si="1887"/>
        <v>112115.66353308289</v>
      </c>
      <c r="V194" s="242">
        <f t="shared" ca="1" si="1887"/>
        <v>124990.63112759925</v>
      </c>
      <c r="W194" s="242">
        <f t="shared" ca="1" si="1887"/>
        <v>140644.84107033542</v>
      </c>
      <c r="X194" s="242">
        <f t="shared" ca="1" si="1887"/>
        <v>159096.8216436127</v>
      </c>
      <c r="Y194" s="242">
        <f t="shared" ca="1" si="1887"/>
        <v>178483.54856399007</v>
      </c>
      <c r="Z194" s="242">
        <f t="shared" ca="1" si="1887"/>
        <v>197999.52033049666</v>
      </c>
      <c r="AA194" s="242">
        <f t="shared" ca="1" si="1887"/>
        <v>217645.59857543925</v>
      </c>
      <c r="AB194" s="242">
        <f t="shared" ca="1" si="1887"/>
        <v>237422.65067534006</v>
      </c>
      <c r="AC194" s="242">
        <f t="shared" ca="1" si="1887"/>
        <v>257331.54978923159</v>
      </c>
      <c r="AD194" s="242">
        <f t="shared" ca="1" si="1887"/>
        <v>277373.17489720631</v>
      </c>
      <c r="AE194" s="242">
        <f t="shared" ca="1" si="1887"/>
        <v>297548.41083922412</v>
      </c>
      <c r="AF194" s="242">
        <f t="shared" ca="1" si="1887"/>
        <v>317858.14835417795</v>
      </c>
      <c r="AG194" s="242">
        <f t="shared" ca="1" si="1887"/>
        <v>338303.28411921993</v>
      </c>
      <c r="AH194" s="242">
        <f t="shared" ca="1" si="1887"/>
        <v>358884.72078934999</v>
      </c>
      <c r="AI194" s="242">
        <f t="shared" ca="1" si="1887"/>
        <v>379603.3670372683</v>
      </c>
      <c r="AJ194" s="242">
        <f t="shared" ca="1" si="1887"/>
        <v>400460.13759349252</v>
      </c>
      <c r="AK194" s="242">
        <f t="shared" ca="1" si="1887"/>
        <v>421455.95328674407</v>
      </c>
      <c r="AL194" s="242">
        <f t="shared" ca="1" si="1887"/>
        <v>442591.74108460289</v>
      </c>
      <c r="AM194" s="242">
        <f t="shared" ca="1" si="1887"/>
        <v>463868.43413443223</v>
      </c>
      <c r="AN194" s="242">
        <f t="shared" ca="1" si="1887"/>
        <v>485286.97180457821</v>
      </c>
      <c r="AO194" s="242">
        <f t="shared" ca="1" si="1887"/>
        <v>506848.29972584295</v>
      </c>
      <c r="AP194" s="242">
        <f t="shared" ca="1" si="1887"/>
        <v>528553.36983323295</v>
      </c>
      <c r="AQ194" s="242">
        <f t="shared" ca="1" si="1887"/>
        <v>550403.1404079895</v>
      </c>
      <c r="AR194" s="242">
        <f t="shared" ca="1" si="1887"/>
        <v>572398.57611989474</v>
      </c>
      <c r="AS194" s="242">
        <f t="shared" ca="1" si="1887"/>
        <v>594540.64806986356</v>
      </c>
      <c r="AT194" s="242">
        <f t="shared" ca="1" si="1887"/>
        <v>616830.33383281622</v>
      </c>
      <c r="AU194" s="242">
        <f t="shared" ca="1" si="1887"/>
        <v>639268.61750083952</v>
      </c>
      <c r="AV194" s="242">
        <f t="shared" ca="1" si="1887"/>
        <v>661856.48972663551</v>
      </c>
      <c r="AW194" s="242">
        <f t="shared" ca="1" si="1887"/>
        <v>684594.94776725559</v>
      </c>
      <c r="AX194" s="242">
        <f t="shared" ca="1" si="1887"/>
        <v>707484.9955281344</v>
      </c>
      <c r="AY194" s="242">
        <f t="shared" ca="1" si="1887"/>
        <v>730527.64360740711</v>
      </c>
      <c r="AZ194" s="242">
        <f t="shared" ca="1" si="1887"/>
        <v>753723.90934053238</v>
      </c>
      <c r="BA194" s="242">
        <f t="shared" ca="1" si="1887"/>
        <v>777074.81684520305</v>
      </c>
      <c r="BB194" s="242">
        <f t="shared" ca="1" si="1887"/>
        <v>800581.39706656651</v>
      </c>
      <c r="BC194" s="242">
        <f t="shared" ca="1" si="1887"/>
        <v>824244.6878227361</v>
      </c>
      <c r="BD194" s="242">
        <f t="shared" ca="1" si="1887"/>
        <v>848065.73385061347</v>
      </c>
      <c r="BE194" s="242">
        <f t="shared" ca="1" si="1887"/>
        <v>872045.58685201395</v>
      </c>
      <c r="BF194" s="242">
        <f t="shared" ca="1" si="1887"/>
        <v>896185.30554009706</v>
      </c>
      <c r="BG194" s="242">
        <f t="shared" ca="1" si="1887"/>
        <v>920485.95568611275</v>
      </c>
      <c r="BH194" s="242">
        <f t="shared" ca="1" si="1887"/>
        <v>944948.61016645108</v>
      </c>
      <c r="BI194" s="242">
        <f t="shared" ca="1" si="1887"/>
        <v>969574.34901001386</v>
      </c>
      <c r="BJ194" s="242">
        <f t="shared" ca="1" si="1887"/>
        <v>994364.25944589474</v>
      </c>
      <c r="BK194" s="242">
        <f t="shared" ca="1" si="1887"/>
        <v>1019319.4359513817</v>
      </c>
      <c r="BL194" s="242">
        <f t="shared" ca="1" si="1887"/>
        <v>1044440.9803002797</v>
      </c>
      <c r="BM194" s="242">
        <f t="shared" ca="1" si="1887"/>
        <v>1069730.0016115515</v>
      </c>
      <c r="BN194" s="242">
        <f t="shared" ca="1" si="1887"/>
        <v>1095187.6163982896</v>
      </c>
      <c r="BO194" s="242">
        <f t="shared" ca="1" si="1887"/>
        <v>1120814.9486170055</v>
      </c>
      <c r="BP194" s="242">
        <f t="shared" ca="1" si="1887"/>
        <v>1146613.1297172536</v>
      </c>
      <c r="BQ194" s="242">
        <f t="shared" ca="1" si="1887"/>
        <v>1172583.2986915908</v>
      </c>
      <c r="BR194" s="242">
        <f t="shared" ca="1" si="1887"/>
        <v>1198726.602125854</v>
      </c>
      <c r="BS194" s="242">
        <f t="shared" ref="BS194:BZ194" ca="1" si="1888">SUM(BS191:BS193)</f>
        <v>1225044.194249786</v>
      </c>
      <c r="BT194" s="242">
        <f t="shared" ca="1" si="1888"/>
        <v>1251537.2369880006</v>
      </c>
      <c r="BU194" s="242">
        <f t="shared" ca="1" si="1888"/>
        <v>1278206.9000112715</v>
      </c>
      <c r="BV194" s="242">
        <f t="shared" ca="1" si="1888"/>
        <v>1305054.3607881817</v>
      </c>
      <c r="BW194" s="242">
        <f t="shared" ca="1" si="1888"/>
        <v>1332080.8046370996</v>
      </c>
      <c r="BX194" s="242">
        <f t="shared" ca="1" si="1888"/>
        <v>1359287.4247785262</v>
      </c>
      <c r="BY194" s="242">
        <f t="shared" ca="1" si="1888"/>
        <v>1386675.4223877583</v>
      </c>
      <c r="BZ194" s="242">
        <f t="shared" ca="1" si="1888"/>
        <v>1414246.0066479316</v>
      </c>
      <c r="CA194" s="242">
        <f t="shared" ref="CA194:EL194" ca="1" si="1889">SUM(CA191:CA193)</f>
        <v>1442000.3915223868</v>
      </c>
      <c r="CB194" s="242">
        <f t="shared" ca="1" si="1889"/>
        <v>1469939.8023485732</v>
      </c>
      <c r="CC194" s="242">
        <f t="shared" ca="1" si="1889"/>
        <v>1498065.4726328531</v>
      </c>
      <c r="CD194" s="242">
        <f t="shared" ca="1" si="1889"/>
        <v>1526378.6441049669</v>
      </c>
      <c r="CE194" s="242">
        <f t="shared" ca="1" si="1889"/>
        <v>1554880.5667728556</v>
      </c>
      <c r="CF194" s="242">
        <f t="shared" ca="1" si="1889"/>
        <v>1583572.4989778425</v>
      </c>
      <c r="CG194" s="242">
        <f t="shared" ca="1" si="1889"/>
        <v>1612455.7074502031</v>
      </c>
      <c r="CH194" s="242">
        <f t="shared" ca="1" si="1889"/>
        <v>1641531.4673650679</v>
      </c>
      <c r="CI194" s="242">
        <f t="shared" ca="1" si="1889"/>
        <v>1670801.0623987487</v>
      </c>
      <c r="CJ194" s="242">
        <f t="shared" ca="1" si="1889"/>
        <v>1700265.784785392</v>
      </c>
      <c r="CK194" s="242">
        <f t="shared" ca="1" si="1889"/>
        <v>1486560.691120547</v>
      </c>
      <c r="CL194" s="242">
        <f t="shared" ca="1" si="1889"/>
        <v>1486560.691128308</v>
      </c>
      <c r="CM194" s="242">
        <f t="shared" ca="1" si="1889"/>
        <v>1486560.6911367376</v>
      </c>
      <c r="CN194" s="242">
        <f t="shared" ca="1" si="1889"/>
        <v>1486560.6911458713</v>
      </c>
      <c r="CO194" s="242">
        <f t="shared" ca="1" si="1889"/>
        <v>1486560.6911556886</v>
      </c>
      <c r="CP194" s="242">
        <f t="shared" ca="1" si="1889"/>
        <v>1486560.6911662254</v>
      </c>
      <c r="CQ194" s="242">
        <f t="shared" ca="1" si="1889"/>
        <v>1486560.6911775183</v>
      </c>
      <c r="CR194" s="242">
        <f t="shared" ca="1" si="1889"/>
        <v>1486560.6911895764</v>
      </c>
      <c r="CS194" s="242">
        <f t="shared" ca="1" si="1889"/>
        <v>1486560.6912023434</v>
      </c>
      <c r="CT194" s="242">
        <f t="shared" ca="1" si="1889"/>
        <v>1486560.6912158893</v>
      </c>
      <c r="CU194" s="242">
        <f t="shared" ca="1" si="1889"/>
        <v>1486560.6912302412</v>
      </c>
      <c r="CV194" s="242">
        <f t="shared" ca="1" si="1889"/>
        <v>1486560.6912453114</v>
      </c>
      <c r="CW194" s="242">
        <f t="shared" ca="1" si="1889"/>
        <v>1486560.6912612002</v>
      </c>
      <c r="CX194" s="242">
        <f t="shared" ca="1" si="1889"/>
        <v>1486560.6912778553</v>
      </c>
      <c r="CY194" s="242">
        <f t="shared" ca="1" si="1889"/>
        <v>1486560.6912952284</v>
      </c>
      <c r="CZ194" s="242">
        <f t="shared" ca="1" si="1889"/>
        <v>1486560.6913133599</v>
      </c>
      <c r="DA194" s="242">
        <f t="shared" ca="1" si="1889"/>
        <v>1486560.6913322432</v>
      </c>
      <c r="DB194" s="242">
        <f t="shared" ca="1" si="1889"/>
        <v>1486560.69135182</v>
      </c>
      <c r="DC194" s="242">
        <f t="shared" ca="1" si="1889"/>
        <v>1486560.6913720984</v>
      </c>
      <c r="DD194" s="242">
        <f t="shared" ca="1" si="1889"/>
        <v>1486560.6913930527</v>
      </c>
      <c r="DE194" s="242">
        <f t="shared" ca="1" si="1889"/>
        <v>1486560.6914146468</v>
      </c>
      <c r="DF194" s="242">
        <f t="shared" ca="1" si="1889"/>
        <v>1486560.6914367848</v>
      </c>
      <c r="DG194" s="242">
        <f t="shared" ca="1" si="1889"/>
        <v>1486560.6914594641</v>
      </c>
      <c r="DH194" s="242">
        <f t="shared" ca="1" si="1889"/>
        <v>1486560.691482607</v>
      </c>
      <c r="DI194" s="242">
        <f t="shared" ca="1" si="1889"/>
        <v>1486560.6915061763</v>
      </c>
      <c r="DJ194" s="242">
        <f t="shared" ca="1" si="1889"/>
        <v>1486560.6915300931</v>
      </c>
      <c r="DK194" s="242">
        <f t="shared" ca="1" si="1889"/>
        <v>1486560.691554185</v>
      </c>
      <c r="DL194" s="242">
        <f t="shared" ca="1" si="1889"/>
        <v>1486560.6915785025</v>
      </c>
      <c r="DM194" s="242">
        <f t="shared" ca="1" si="1889"/>
        <v>1486560.6916028156</v>
      </c>
      <c r="DN194" s="242">
        <f t="shared" ca="1" si="1889"/>
        <v>1486560.6916271136</v>
      </c>
      <c r="DO194" s="242">
        <f t="shared" ca="1" si="1889"/>
        <v>1486560.6916511762</v>
      </c>
      <c r="DP194" s="242">
        <f t="shared" ca="1" si="1889"/>
        <v>1486560.6916749878</v>
      </c>
      <c r="DQ194" s="242">
        <f t="shared" ca="1" si="1889"/>
        <v>1486560.6916982664</v>
      </c>
      <c r="DR194" s="242">
        <f t="shared" ca="1" si="1889"/>
        <v>1486560.6917209821</v>
      </c>
      <c r="DS194" s="242">
        <f t="shared" ca="1" si="1889"/>
        <v>1486560.6917428877</v>
      </c>
      <c r="DT194" s="242">
        <f t="shared" ca="1" si="1889"/>
        <v>1486560.6917638236</v>
      </c>
      <c r="DU194" s="242">
        <f t="shared" ca="1" si="1889"/>
        <v>1486560.6917836191</v>
      </c>
      <c r="DV194" s="242">
        <f t="shared" ca="1" si="1889"/>
        <v>1486560.691802029</v>
      </c>
      <c r="DW194" s="242">
        <f t="shared" ca="1" si="1889"/>
        <v>1486560.6918188967</v>
      </c>
      <c r="DX194" s="242">
        <f t="shared" ca="1" si="1889"/>
        <v>1486560.6918339022</v>
      </c>
      <c r="DY194" s="242">
        <f t="shared" ca="1" si="1889"/>
        <v>1486560.6918468592</v>
      </c>
      <c r="DZ194" s="242">
        <f t="shared" ca="1" si="1889"/>
        <v>1486560.6918575042</v>
      </c>
      <c r="EA194" s="242">
        <f t="shared" ca="1" si="1889"/>
        <v>1486560.691865575</v>
      </c>
      <c r="EB194" s="242">
        <f t="shared" ca="1" si="1889"/>
        <v>1486560.6918707429</v>
      </c>
      <c r="EC194" s="242">
        <f t="shared" ca="1" si="1889"/>
        <v>1486560.6918727567</v>
      </c>
      <c r="ED194" s="242">
        <f t="shared" ca="1" si="1889"/>
        <v>1486560.6918712447</v>
      </c>
      <c r="EE194" s="242">
        <f t="shared" ca="1" si="1889"/>
        <v>1486560.6918659471</v>
      </c>
      <c r="EF194" s="242">
        <f t="shared" ca="1" si="1889"/>
        <v>1486560.6918564942</v>
      </c>
      <c r="EG194" s="242">
        <f t="shared" ca="1" si="1889"/>
        <v>1486560.6918425008</v>
      </c>
      <c r="EH194" s="242">
        <f t="shared" ca="1" si="1889"/>
        <v>1486560.6918236709</v>
      </c>
      <c r="EI194" s="242">
        <f t="shared" ca="1" si="1889"/>
        <v>1486560.6917996106</v>
      </c>
      <c r="EJ194" s="242">
        <f t="shared" ca="1" si="1889"/>
        <v>1486560.6917699128</v>
      </c>
      <c r="EK194" s="242">
        <f t="shared" ca="1" si="1889"/>
        <v>1486560.6917341712</v>
      </c>
      <c r="EL194" s="242">
        <f t="shared" ca="1" si="1889"/>
        <v>1486560.6916920114</v>
      </c>
      <c r="EM194" s="242">
        <f t="shared" ref="EM194:ET194" ca="1" si="1890">SUM(EM191:EM193)</f>
        <v>1486560.6916430162</v>
      </c>
      <c r="EN194" s="242">
        <f t="shared" ca="1" si="1890"/>
        <v>1486560.6915867303</v>
      </c>
      <c r="EO194" s="242">
        <f t="shared" ca="1" si="1890"/>
        <v>1486560.6915227345</v>
      </c>
      <c r="EP194" s="242">
        <f t="shared" ca="1" si="1890"/>
        <v>1486560.6914505544</v>
      </c>
      <c r="EQ194" s="242">
        <f t="shared" ca="1" si="1890"/>
        <v>1486560.6913698055</v>
      </c>
      <c r="ER194" s="242">
        <f t="shared" ca="1" si="1890"/>
        <v>1486560.6912799769</v>
      </c>
      <c r="ES194" s="242">
        <f t="shared" ca="1" si="1890"/>
        <v>1486560.6911806532</v>
      </c>
      <c r="ET194" s="242">
        <f t="shared" ca="1" si="1890"/>
        <v>1486560.6910714076</v>
      </c>
    </row>
    <row r="195" spans="2:150" x14ac:dyDescent="0.2"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</row>
    <row r="196" spans="2:150" x14ac:dyDescent="0.2">
      <c r="B196" t="s">
        <v>334</v>
      </c>
      <c r="F196" s="242">
        <f ca="1">F189+F193</f>
        <v>0</v>
      </c>
      <c r="G196" s="242">
        <f t="shared" ref="G196:BR196" ca="1" si="1891">G189+G193</f>
        <v>0</v>
      </c>
      <c r="H196" s="242">
        <f t="shared" ca="1" si="1891"/>
        <v>0</v>
      </c>
      <c r="I196" s="242">
        <f t="shared" ca="1" si="1891"/>
        <v>0</v>
      </c>
      <c r="J196" s="242">
        <f t="shared" ca="1" si="1891"/>
        <v>0</v>
      </c>
      <c r="K196" s="242">
        <f t="shared" ca="1" si="1891"/>
        <v>0</v>
      </c>
      <c r="L196" s="242">
        <f t="shared" ca="1" si="1891"/>
        <v>0</v>
      </c>
      <c r="M196" s="242">
        <f t="shared" ca="1" si="1891"/>
        <v>0</v>
      </c>
      <c r="N196" s="242">
        <f t="shared" ca="1" si="1891"/>
        <v>0</v>
      </c>
      <c r="O196" s="242">
        <f t="shared" ca="1" si="1891"/>
        <v>0</v>
      </c>
      <c r="P196" s="242">
        <f t="shared" ca="1" si="1891"/>
        <v>0</v>
      </c>
      <c r="Q196" s="242">
        <f t="shared" ca="1" si="1891"/>
        <v>0</v>
      </c>
      <c r="R196" s="242">
        <f t="shared" ca="1" si="1891"/>
        <v>0</v>
      </c>
      <c r="S196" s="242">
        <f t="shared" ca="1" si="1891"/>
        <v>0</v>
      </c>
      <c r="T196" s="242">
        <f t="shared" ca="1" si="1891"/>
        <v>0</v>
      </c>
      <c r="U196" s="242">
        <f t="shared" ca="1" si="1891"/>
        <v>0</v>
      </c>
      <c r="V196" s="242">
        <f t="shared" ca="1" si="1891"/>
        <v>0</v>
      </c>
      <c r="W196" s="242">
        <f t="shared" ca="1" si="1891"/>
        <v>0</v>
      </c>
      <c r="X196" s="242">
        <f t="shared" ca="1" si="1891"/>
        <v>0</v>
      </c>
      <c r="Y196" s="242">
        <f t="shared" ca="1" si="1891"/>
        <v>0</v>
      </c>
      <c r="Z196" s="242">
        <f t="shared" ca="1" si="1891"/>
        <v>0</v>
      </c>
      <c r="AA196" s="242">
        <f t="shared" ca="1" si="1891"/>
        <v>0</v>
      </c>
      <c r="AB196" s="242">
        <f t="shared" ca="1" si="1891"/>
        <v>0</v>
      </c>
      <c r="AC196" s="242">
        <f t="shared" ca="1" si="1891"/>
        <v>0</v>
      </c>
      <c r="AD196" s="242">
        <f t="shared" ca="1" si="1891"/>
        <v>0</v>
      </c>
      <c r="AE196" s="242">
        <f t="shared" ca="1" si="1891"/>
        <v>0</v>
      </c>
      <c r="AF196" s="242">
        <f t="shared" ca="1" si="1891"/>
        <v>0</v>
      </c>
      <c r="AG196" s="242">
        <f t="shared" ca="1" si="1891"/>
        <v>0</v>
      </c>
      <c r="AH196" s="242">
        <f t="shared" ca="1" si="1891"/>
        <v>0</v>
      </c>
      <c r="AI196" s="242">
        <f t="shared" ca="1" si="1891"/>
        <v>0</v>
      </c>
      <c r="AJ196" s="242">
        <f t="shared" ca="1" si="1891"/>
        <v>0</v>
      </c>
      <c r="AK196" s="242">
        <f t="shared" ca="1" si="1891"/>
        <v>0</v>
      </c>
      <c r="AL196" s="242">
        <f t="shared" ca="1" si="1891"/>
        <v>0</v>
      </c>
      <c r="AM196" s="242">
        <f t="shared" ca="1" si="1891"/>
        <v>0</v>
      </c>
      <c r="AN196" s="242">
        <f t="shared" ca="1" si="1891"/>
        <v>0</v>
      </c>
      <c r="AO196" s="242">
        <f t="shared" ca="1" si="1891"/>
        <v>0</v>
      </c>
      <c r="AP196" s="242">
        <f t="shared" ca="1" si="1891"/>
        <v>0</v>
      </c>
      <c r="AQ196" s="242">
        <f t="shared" ca="1" si="1891"/>
        <v>0</v>
      </c>
      <c r="AR196" s="242">
        <f t="shared" ca="1" si="1891"/>
        <v>0</v>
      </c>
      <c r="AS196" s="242">
        <f t="shared" ca="1" si="1891"/>
        <v>0</v>
      </c>
      <c r="AT196" s="242">
        <f t="shared" ca="1" si="1891"/>
        <v>0</v>
      </c>
      <c r="AU196" s="242">
        <f t="shared" ca="1" si="1891"/>
        <v>0</v>
      </c>
      <c r="AV196" s="242">
        <f t="shared" ca="1" si="1891"/>
        <v>0</v>
      </c>
      <c r="AW196" s="242">
        <f t="shared" ca="1" si="1891"/>
        <v>0</v>
      </c>
      <c r="AX196" s="242">
        <f t="shared" ca="1" si="1891"/>
        <v>0</v>
      </c>
      <c r="AY196" s="242">
        <f t="shared" ca="1" si="1891"/>
        <v>0</v>
      </c>
      <c r="AZ196" s="242">
        <f t="shared" ca="1" si="1891"/>
        <v>0</v>
      </c>
      <c r="BA196" s="242">
        <f t="shared" ca="1" si="1891"/>
        <v>0</v>
      </c>
      <c r="BB196" s="242">
        <f t="shared" ca="1" si="1891"/>
        <v>0</v>
      </c>
      <c r="BC196" s="242">
        <f t="shared" ca="1" si="1891"/>
        <v>0</v>
      </c>
      <c r="BD196" s="242">
        <f t="shared" ca="1" si="1891"/>
        <v>0</v>
      </c>
      <c r="BE196" s="242">
        <f t="shared" ca="1" si="1891"/>
        <v>0</v>
      </c>
      <c r="BF196" s="242">
        <f t="shared" ca="1" si="1891"/>
        <v>0</v>
      </c>
      <c r="BG196" s="242">
        <f t="shared" ca="1" si="1891"/>
        <v>0</v>
      </c>
      <c r="BH196" s="242">
        <f t="shared" ca="1" si="1891"/>
        <v>0</v>
      </c>
      <c r="BI196" s="242">
        <f t="shared" ca="1" si="1891"/>
        <v>0</v>
      </c>
      <c r="BJ196" s="242">
        <f t="shared" ca="1" si="1891"/>
        <v>0</v>
      </c>
      <c r="BK196" s="242">
        <f t="shared" ca="1" si="1891"/>
        <v>0</v>
      </c>
      <c r="BL196" s="242">
        <f t="shared" ca="1" si="1891"/>
        <v>0</v>
      </c>
      <c r="BM196" s="242">
        <f t="shared" ca="1" si="1891"/>
        <v>0</v>
      </c>
      <c r="BN196" s="242">
        <f t="shared" ca="1" si="1891"/>
        <v>0</v>
      </c>
      <c r="BO196" s="242">
        <f t="shared" ca="1" si="1891"/>
        <v>0</v>
      </c>
      <c r="BP196" s="242">
        <f t="shared" ca="1" si="1891"/>
        <v>0</v>
      </c>
      <c r="BQ196" s="242">
        <f t="shared" ca="1" si="1891"/>
        <v>0</v>
      </c>
      <c r="BR196" s="242">
        <f t="shared" ca="1" si="1891"/>
        <v>0</v>
      </c>
      <c r="BS196" s="242">
        <f t="shared" ref="BS196:BZ196" ca="1" si="1892">BS189+BS193</f>
        <v>0</v>
      </c>
      <c r="BT196" s="242">
        <f t="shared" ca="1" si="1892"/>
        <v>0</v>
      </c>
      <c r="BU196" s="242">
        <f t="shared" ca="1" si="1892"/>
        <v>0</v>
      </c>
      <c r="BV196" s="242">
        <f t="shared" ca="1" si="1892"/>
        <v>0</v>
      </c>
      <c r="BW196" s="242">
        <f t="shared" ca="1" si="1892"/>
        <v>0</v>
      </c>
      <c r="BX196" s="242">
        <f t="shared" ca="1" si="1892"/>
        <v>0</v>
      </c>
      <c r="BY196" s="242">
        <f t="shared" ca="1" si="1892"/>
        <v>0</v>
      </c>
      <c r="BZ196" s="242">
        <f t="shared" ca="1" si="1892"/>
        <v>0</v>
      </c>
      <c r="CA196" s="242">
        <f t="shared" ref="CA196:EL196" ca="1" si="1893">CA189+CA193</f>
        <v>0</v>
      </c>
      <c r="CB196" s="242">
        <f t="shared" ca="1" si="1893"/>
        <v>0</v>
      </c>
      <c r="CC196" s="242">
        <f t="shared" ca="1" si="1893"/>
        <v>0</v>
      </c>
      <c r="CD196" s="242">
        <f t="shared" ca="1" si="1893"/>
        <v>0</v>
      </c>
      <c r="CE196" s="242">
        <f t="shared" ca="1" si="1893"/>
        <v>0</v>
      </c>
      <c r="CF196" s="242">
        <f t="shared" ca="1" si="1893"/>
        <v>0</v>
      </c>
      <c r="CG196" s="242">
        <f t="shared" ca="1" si="1893"/>
        <v>0</v>
      </c>
      <c r="CH196" s="242">
        <f t="shared" ca="1" si="1893"/>
        <v>0</v>
      </c>
      <c r="CI196" s="242">
        <f t="shared" ca="1" si="1893"/>
        <v>0</v>
      </c>
      <c r="CJ196" s="242">
        <f t="shared" ca="1" si="1893"/>
        <v>0</v>
      </c>
      <c r="CK196" s="242">
        <f t="shared" ca="1" si="1893"/>
        <v>0</v>
      </c>
      <c r="CL196" s="242">
        <f t="shared" ca="1" si="1893"/>
        <v>0</v>
      </c>
      <c r="CM196" s="242">
        <f t="shared" ca="1" si="1893"/>
        <v>0</v>
      </c>
      <c r="CN196" s="242">
        <f t="shared" ca="1" si="1893"/>
        <v>0</v>
      </c>
      <c r="CO196" s="242">
        <f t="shared" ca="1" si="1893"/>
        <v>0</v>
      </c>
      <c r="CP196" s="242">
        <f t="shared" ca="1" si="1893"/>
        <v>0</v>
      </c>
      <c r="CQ196" s="242">
        <f t="shared" ca="1" si="1893"/>
        <v>0</v>
      </c>
      <c r="CR196" s="242">
        <f t="shared" ca="1" si="1893"/>
        <v>0</v>
      </c>
      <c r="CS196" s="242">
        <f t="shared" ca="1" si="1893"/>
        <v>0</v>
      </c>
      <c r="CT196" s="242">
        <f t="shared" ca="1" si="1893"/>
        <v>0</v>
      </c>
      <c r="CU196" s="242">
        <f t="shared" ca="1" si="1893"/>
        <v>0</v>
      </c>
      <c r="CV196" s="242">
        <f t="shared" ca="1" si="1893"/>
        <v>0</v>
      </c>
      <c r="CW196" s="242">
        <f t="shared" ca="1" si="1893"/>
        <v>0</v>
      </c>
      <c r="CX196" s="242">
        <f t="shared" ca="1" si="1893"/>
        <v>0</v>
      </c>
      <c r="CY196" s="242">
        <f t="shared" ca="1" si="1893"/>
        <v>0</v>
      </c>
      <c r="CZ196" s="242">
        <f t="shared" ca="1" si="1893"/>
        <v>0</v>
      </c>
      <c r="DA196" s="242">
        <f t="shared" ca="1" si="1893"/>
        <v>0</v>
      </c>
      <c r="DB196" s="242">
        <f t="shared" ca="1" si="1893"/>
        <v>0</v>
      </c>
      <c r="DC196" s="242">
        <f t="shared" ca="1" si="1893"/>
        <v>0</v>
      </c>
      <c r="DD196" s="242">
        <f t="shared" ca="1" si="1893"/>
        <v>0</v>
      </c>
      <c r="DE196" s="242">
        <f t="shared" ca="1" si="1893"/>
        <v>0</v>
      </c>
      <c r="DF196" s="242">
        <f t="shared" ca="1" si="1893"/>
        <v>0</v>
      </c>
      <c r="DG196" s="242">
        <f t="shared" ca="1" si="1893"/>
        <v>0</v>
      </c>
      <c r="DH196" s="242">
        <f t="shared" ca="1" si="1893"/>
        <v>0</v>
      </c>
      <c r="DI196" s="242">
        <f t="shared" ca="1" si="1893"/>
        <v>0</v>
      </c>
      <c r="DJ196" s="242">
        <f t="shared" ca="1" si="1893"/>
        <v>0</v>
      </c>
      <c r="DK196" s="242">
        <f t="shared" ca="1" si="1893"/>
        <v>0</v>
      </c>
      <c r="DL196" s="242">
        <f t="shared" ca="1" si="1893"/>
        <v>0</v>
      </c>
      <c r="DM196" s="242">
        <f t="shared" ca="1" si="1893"/>
        <v>0</v>
      </c>
      <c r="DN196" s="242">
        <f t="shared" ca="1" si="1893"/>
        <v>0</v>
      </c>
      <c r="DO196" s="242">
        <f t="shared" ca="1" si="1893"/>
        <v>0</v>
      </c>
      <c r="DP196" s="242">
        <f t="shared" ca="1" si="1893"/>
        <v>0</v>
      </c>
      <c r="DQ196" s="242">
        <f t="shared" ca="1" si="1893"/>
        <v>0</v>
      </c>
      <c r="DR196" s="242">
        <f t="shared" ca="1" si="1893"/>
        <v>0</v>
      </c>
      <c r="DS196" s="242">
        <f t="shared" ca="1" si="1893"/>
        <v>0</v>
      </c>
      <c r="DT196" s="242">
        <f t="shared" ca="1" si="1893"/>
        <v>0</v>
      </c>
      <c r="DU196" s="242">
        <f t="shared" ca="1" si="1893"/>
        <v>0</v>
      </c>
      <c r="DV196" s="242">
        <f t="shared" ca="1" si="1893"/>
        <v>0</v>
      </c>
      <c r="DW196" s="242">
        <f t="shared" ca="1" si="1893"/>
        <v>0</v>
      </c>
      <c r="DX196" s="242">
        <f t="shared" ca="1" si="1893"/>
        <v>0</v>
      </c>
      <c r="DY196" s="242">
        <f t="shared" ca="1" si="1893"/>
        <v>0</v>
      </c>
      <c r="DZ196" s="242">
        <f t="shared" ca="1" si="1893"/>
        <v>0</v>
      </c>
      <c r="EA196" s="242">
        <f t="shared" ca="1" si="1893"/>
        <v>0</v>
      </c>
      <c r="EB196" s="242">
        <f t="shared" ca="1" si="1893"/>
        <v>0</v>
      </c>
      <c r="EC196" s="242">
        <f t="shared" ca="1" si="1893"/>
        <v>0</v>
      </c>
      <c r="ED196" s="242">
        <f t="shared" ca="1" si="1893"/>
        <v>0</v>
      </c>
      <c r="EE196" s="242">
        <f t="shared" ca="1" si="1893"/>
        <v>0</v>
      </c>
      <c r="EF196" s="242">
        <f t="shared" ca="1" si="1893"/>
        <v>0</v>
      </c>
      <c r="EG196" s="242">
        <f t="shared" ca="1" si="1893"/>
        <v>0</v>
      </c>
      <c r="EH196" s="242">
        <f t="shared" ca="1" si="1893"/>
        <v>0</v>
      </c>
      <c r="EI196" s="242">
        <f t="shared" ca="1" si="1893"/>
        <v>0</v>
      </c>
      <c r="EJ196" s="242">
        <f t="shared" ca="1" si="1893"/>
        <v>0</v>
      </c>
      <c r="EK196" s="242">
        <f t="shared" ca="1" si="1893"/>
        <v>0</v>
      </c>
      <c r="EL196" s="242">
        <f t="shared" ca="1" si="1893"/>
        <v>0</v>
      </c>
      <c r="EM196" s="242">
        <f t="shared" ref="EM196:ET196" ca="1" si="1894">EM189+EM193</f>
        <v>0</v>
      </c>
      <c r="EN196" s="242">
        <f t="shared" ca="1" si="1894"/>
        <v>0</v>
      </c>
      <c r="EO196" s="242">
        <f t="shared" ca="1" si="1894"/>
        <v>0</v>
      </c>
      <c r="EP196" s="242">
        <f t="shared" ca="1" si="1894"/>
        <v>0</v>
      </c>
      <c r="EQ196" s="242">
        <f t="shared" ca="1" si="1894"/>
        <v>0</v>
      </c>
      <c r="ER196" s="242">
        <f t="shared" ca="1" si="1894"/>
        <v>0</v>
      </c>
      <c r="ES196" s="242">
        <f t="shared" ca="1" si="1894"/>
        <v>0</v>
      </c>
      <c r="ET196" s="242">
        <f t="shared" ca="1" si="1894"/>
        <v>0</v>
      </c>
    </row>
    <row r="197" spans="2:150" x14ac:dyDescent="0.2"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</row>
    <row r="198" spans="2:150" x14ac:dyDescent="0.2">
      <c r="B198" t="s">
        <v>337</v>
      </c>
      <c r="F198" s="242">
        <f ca="1">F$196*Promote!$E$3</f>
        <v>0</v>
      </c>
      <c r="G198" s="242">
        <f ca="1">G$196*Promote!$E$3</f>
        <v>0</v>
      </c>
      <c r="H198" s="242">
        <f ca="1">H$196*Promote!$E$3</f>
        <v>0</v>
      </c>
      <c r="I198" s="242">
        <f ca="1">I$196*Promote!$E$3</f>
        <v>0</v>
      </c>
      <c r="J198" s="242">
        <f ca="1">J$196*Promote!$E$3</f>
        <v>0</v>
      </c>
      <c r="K198" s="242">
        <f ca="1">K$196*Promote!$E$3</f>
        <v>0</v>
      </c>
      <c r="L198" s="242">
        <f ca="1">L$196*Promote!$E$3</f>
        <v>0</v>
      </c>
      <c r="M198" s="242">
        <f ca="1">M$196*Promote!$E$3</f>
        <v>0</v>
      </c>
      <c r="N198" s="242">
        <f ca="1">N$196*Promote!$E$3</f>
        <v>0</v>
      </c>
      <c r="O198" s="242">
        <f ca="1">O$196*Promote!$E$3</f>
        <v>0</v>
      </c>
      <c r="P198" s="242">
        <f ca="1">P$196*Promote!$E$3</f>
        <v>0</v>
      </c>
      <c r="Q198" s="242">
        <f ca="1">Q$196*Promote!$E$3</f>
        <v>0</v>
      </c>
      <c r="R198" s="242">
        <f ca="1">R$196*Promote!$E$3</f>
        <v>0</v>
      </c>
      <c r="S198" s="242">
        <f ca="1">S$196*Promote!$E$3</f>
        <v>0</v>
      </c>
      <c r="T198" s="242">
        <f ca="1">T$196*Promote!$E$3</f>
        <v>0</v>
      </c>
      <c r="U198" s="242">
        <f ca="1">U$196*Promote!$E$3</f>
        <v>0</v>
      </c>
      <c r="V198" s="242">
        <f ca="1">V$196*Promote!$E$3</f>
        <v>0</v>
      </c>
      <c r="W198" s="242">
        <f ca="1">W$196*Promote!$E$3</f>
        <v>0</v>
      </c>
      <c r="X198" s="242">
        <f ca="1">X$196*Promote!$E$3</f>
        <v>0</v>
      </c>
      <c r="Y198" s="242">
        <f ca="1">Y$196*Promote!$E$3</f>
        <v>0</v>
      </c>
      <c r="Z198" s="242">
        <f ca="1">Z$196*Promote!$E$3</f>
        <v>0</v>
      </c>
      <c r="AA198" s="242">
        <f ca="1">AA$196*Promote!$E$3</f>
        <v>0</v>
      </c>
      <c r="AB198" s="242">
        <f ca="1">AB$196*Promote!$E$3</f>
        <v>0</v>
      </c>
      <c r="AC198" s="242">
        <f ca="1">AC$196*Promote!$E$3</f>
        <v>0</v>
      </c>
      <c r="AD198" s="242">
        <f ca="1">AD$196*Promote!$E$3</f>
        <v>0</v>
      </c>
      <c r="AE198" s="242">
        <f ca="1">AE$196*Promote!$E$3</f>
        <v>0</v>
      </c>
      <c r="AF198" s="242">
        <f ca="1">AF$196*Promote!$E$3</f>
        <v>0</v>
      </c>
      <c r="AG198" s="242">
        <f ca="1">AG$196*Promote!$E$3</f>
        <v>0</v>
      </c>
      <c r="AH198" s="242">
        <f ca="1">AH$196*Promote!$E$3</f>
        <v>0</v>
      </c>
      <c r="AI198" s="242">
        <f ca="1">AI$196*Promote!$E$3</f>
        <v>0</v>
      </c>
      <c r="AJ198" s="242">
        <f ca="1">AJ$196*Promote!$E$3</f>
        <v>0</v>
      </c>
      <c r="AK198" s="242">
        <f ca="1">AK$196*Promote!$E$3</f>
        <v>0</v>
      </c>
      <c r="AL198" s="242">
        <f ca="1">AL$196*Promote!$E$3</f>
        <v>0</v>
      </c>
      <c r="AM198" s="242">
        <f ca="1">AM$196*Promote!$E$3</f>
        <v>0</v>
      </c>
      <c r="AN198" s="242">
        <f ca="1">AN$196*Promote!$E$3</f>
        <v>0</v>
      </c>
      <c r="AO198" s="242">
        <f ca="1">AO$196*Promote!$E$3</f>
        <v>0</v>
      </c>
      <c r="AP198" s="242">
        <f ca="1">AP$196*Promote!$E$3</f>
        <v>0</v>
      </c>
      <c r="AQ198" s="242">
        <f ca="1">AQ$196*Promote!$E$3</f>
        <v>0</v>
      </c>
      <c r="AR198" s="242">
        <f ca="1">AR$196*Promote!$E$3</f>
        <v>0</v>
      </c>
      <c r="AS198" s="242">
        <f ca="1">AS$196*Promote!$E$3</f>
        <v>0</v>
      </c>
      <c r="AT198" s="242">
        <f ca="1">AT$196*Promote!$E$3</f>
        <v>0</v>
      </c>
      <c r="AU198" s="242">
        <f ca="1">AU$196*Promote!$E$3</f>
        <v>0</v>
      </c>
      <c r="AV198" s="242">
        <f ca="1">AV$196*Promote!$E$3</f>
        <v>0</v>
      </c>
      <c r="AW198" s="242">
        <f ca="1">AW$196*Promote!$E$3</f>
        <v>0</v>
      </c>
      <c r="AX198" s="242">
        <f ca="1">AX$196*Promote!$E$3</f>
        <v>0</v>
      </c>
      <c r="AY198" s="242">
        <f ca="1">AY$196*Promote!$E$3</f>
        <v>0</v>
      </c>
      <c r="AZ198" s="242">
        <f ca="1">AZ$196*Promote!$E$3</f>
        <v>0</v>
      </c>
      <c r="BA198" s="242">
        <f ca="1">BA$196*Promote!$E$3</f>
        <v>0</v>
      </c>
      <c r="BB198" s="242">
        <f ca="1">BB$196*Promote!$E$3</f>
        <v>0</v>
      </c>
      <c r="BC198" s="242">
        <f ca="1">BC$196*Promote!$E$3</f>
        <v>0</v>
      </c>
      <c r="BD198" s="242">
        <f ca="1">BD$196*Promote!$E$3</f>
        <v>0</v>
      </c>
      <c r="BE198" s="242">
        <f ca="1">BE$196*Promote!$E$3</f>
        <v>0</v>
      </c>
      <c r="BF198" s="242">
        <f ca="1">BF$196*Promote!$E$3</f>
        <v>0</v>
      </c>
      <c r="BG198" s="242">
        <f ca="1">BG$196*Promote!$E$3</f>
        <v>0</v>
      </c>
      <c r="BH198" s="242">
        <f ca="1">BH$196*Promote!$E$3</f>
        <v>0</v>
      </c>
      <c r="BI198" s="242">
        <f ca="1">BI$196*Promote!$E$3</f>
        <v>0</v>
      </c>
      <c r="BJ198" s="242">
        <f ca="1">BJ$196*Promote!$E$3</f>
        <v>0</v>
      </c>
      <c r="BK198" s="242">
        <f ca="1">BK$196*Promote!$E$3</f>
        <v>0</v>
      </c>
      <c r="BL198" s="242">
        <f ca="1">BL$196*Promote!$E$3</f>
        <v>0</v>
      </c>
      <c r="BM198" s="242">
        <f ca="1">BM$196*Promote!$E$3</f>
        <v>0</v>
      </c>
      <c r="BN198" s="242">
        <f ca="1">BN$196*Promote!$E$3</f>
        <v>0</v>
      </c>
      <c r="BO198" s="242">
        <f ca="1">BO$196*Promote!$E$3</f>
        <v>0</v>
      </c>
      <c r="BP198" s="242">
        <f ca="1">BP$196*Promote!$E$3</f>
        <v>0</v>
      </c>
      <c r="BQ198" s="242">
        <f ca="1">BQ$196*Promote!$E$3</f>
        <v>0</v>
      </c>
      <c r="BR198" s="242">
        <f ca="1">BR$196*Promote!$E$3</f>
        <v>0</v>
      </c>
      <c r="BS198" s="242">
        <f ca="1">BS$196*Promote!$E$3</f>
        <v>0</v>
      </c>
      <c r="BT198" s="242">
        <f ca="1">BT$196*Promote!$E$3</f>
        <v>0</v>
      </c>
      <c r="BU198" s="242">
        <f ca="1">BU$196*Promote!$E$3</f>
        <v>0</v>
      </c>
      <c r="BV198" s="242">
        <f ca="1">BV$196*Promote!$E$3</f>
        <v>0</v>
      </c>
      <c r="BW198" s="242">
        <f ca="1">BW$196*Promote!$E$3</f>
        <v>0</v>
      </c>
      <c r="BX198" s="242">
        <f ca="1">BX$196*Promote!$E$3</f>
        <v>0</v>
      </c>
      <c r="BY198" s="242">
        <f ca="1">BY$196*Promote!$E$3</f>
        <v>0</v>
      </c>
      <c r="BZ198" s="242">
        <f ca="1">BZ$196*Promote!$E$3</f>
        <v>0</v>
      </c>
      <c r="CA198" s="242">
        <f ca="1">CA$196*Promote!$E$3</f>
        <v>0</v>
      </c>
      <c r="CB198" s="242">
        <f ca="1">CB$196*Promote!$E$3</f>
        <v>0</v>
      </c>
      <c r="CC198" s="242">
        <f ca="1">CC$196*Promote!$E$3</f>
        <v>0</v>
      </c>
      <c r="CD198" s="242">
        <f ca="1">CD$196*Promote!$E$3</f>
        <v>0</v>
      </c>
      <c r="CE198" s="242">
        <f ca="1">CE$196*Promote!$E$3</f>
        <v>0</v>
      </c>
      <c r="CF198" s="242">
        <f ca="1">CF$196*Promote!$E$3</f>
        <v>0</v>
      </c>
      <c r="CG198" s="242">
        <f ca="1">CG$196*Promote!$E$3</f>
        <v>0</v>
      </c>
      <c r="CH198" s="242">
        <f ca="1">CH$196*Promote!$E$3</f>
        <v>0</v>
      </c>
      <c r="CI198" s="242">
        <f ca="1">CI$196*Promote!$E$3</f>
        <v>0</v>
      </c>
      <c r="CJ198" s="242">
        <f ca="1">CJ$196*Promote!$E$3</f>
        <v>0</v>
      </c>
      <c r="CK198" s="242">
        <f ca="1">CK$196*Promote!$E$3</f>
        <v>0</v>
      </c>
      <c r="CL198" s="242">
        <f ca="1">CL$196*Promote!$E$3</f>
        <v>0</v>
      </c>
      <c r="CM198" s="242">
        <f ca="1">CM$196*Promote!$E$3</f>
        <v>0</v>
      </c>
      <c r="CN198" s="242">
        <f ca="1">CN$196*Promote!$E$3</f>
        <v>0</v>
      </c>
      <c r="CO198" s="242">
        <f ca="1">CO$196*Promote!$E$3</f>
        <v>0</v>
      </c>
      <c r="CP198" s="242">
        <f ca="1">CP$196*Promote!$E$3</f>
        <v>0</v>
      </c>
      <c r="CQ198" s="242">
        <f ca="1">CQ$196*Promote!$E$3</f>
        <v>0</v>
      </c>
      <c r="CR198" s="242">
        <f ca="1">CR$196*Promote!$E$3</f>
        <v>0</v>
      </c>
      <c r="CS198" s="242">
        <f ca="1">CS$196*Promote!$E$3</f>
        <v>0</v>
      </c>
      <c r="CT198" s="242">
        <f ca="1">CT$196*Promote!$E$3</f>
        <v>0</v>
      </c>
      <c r="CU198" s="242">
        <f ca="1">CU$196*Promote!$E$3</f>
        <v>0</v>
      </c>
      <c r="CV198" s="242">
        <f ca="1">CV$196*Promote!$E$3</f>
        <v>0</v>
      </c>
      <c r="CW198" s="242">
        <f ca="1">CW$196*Promote!$E$3</f>
        <v>0</v>
      </c>
      <c r="CX198" s="242">
        <f ca="1">CX$196*Promote!$E$3</f>
        <v>0</v>
      </c>
      <c r="CY198" s="242">
        <f ca="1">CY$196*Promote!$E$3</f>
        <v>0</v>
      </c>
      <c r="CZ198" s="242">
        <f ca="1">CZ$196*Promote!$E$3</f>
        <v>0</v>
      </c>
      <c r="DA198" s="242">
        <f ca="1">DA$196*Promote!$E$3</f>
        <v>0</v>
      </c>
      <c r="DB198" s="242">
        <f ca="1">DB$196*Promote!$E$3</f>
        <v>0</v>
      </c>
      <c r="DC198" s="242">
        <f ca="1">DC$196*Promote!$E$3</f>
        <v>0</v>
      </c>
      <c r="DD198" s="242">
        <f ca="1">DD$196*Promote!$E$3</f>
        <v>0</v>
      </c>
      <c r="DE198" s="242">
        <f ca="1">DE$196*Promote!$E$3</f>
        <v>0</v>
      </c>
      <c r="DF198" s="242">
        <f ca="1">DF$196*Promote!$E$3</f>
        <v>0</v>
      </c>
      <c r="DG198" s="242">
        <f ca="1">DG$196*Promote!$E$3</f>
        <v>0</v>
      </c>
      <c r="DH198" s="242">
        <f ca="1">DH$196*Promote!$E$3</f>
        <v>0</v>
      </c>
      <c r="DI198" s="242">
        <f ca="1">DI$196*Promote!$E$3</f>
        <v>0</v>
      </c>
      <c r="DJ198" s="242">
        <f ca="1">DJ$196*Promote!$E$3</f>
        <v>0</v>
      </c>
      <c r="DK198" s="242">
        <f ca="1">DK$196*Promote!$E$3</f>
        <v>0</v>
      </c>
      <c r="DL198" s="242">
        <f ca="1">DL$196*Promote!$E$3</f>
        <v>0</v>
      </c>
      <c r="DM198" s="242">
        <f ca="1">DM$196*Promote!$E$3</f>
        <v>0</v>
      </c>
      <c r="DN198" s="242">
        <f ca="1">DN$196*Promote!$E$3</f>
        <v>0</v>
      </c>
      <c r="DO198" s="242">
        <f ca="1">DO$196*Promote!$E$3</f>
        <v>0</v>
      </c>
      <c r="DP198" s="242">
        <f ca="1">DP$196*Promote!$E$3</f>
        <v>0</v>
      </c>
      <c r="DQ198" s="242">
        <f ca="1">DQ$196*Promote!$E$3</f>
        <v>0</v>
      </c>
      <c r="DR198" s="242">
        <f ca="1">DR$196*Promote!$E$3</f>
        <v>0</v>
      </c>
      <c r="DS198" s="242">
        <f ca="1">DS$196*Promote!$E$3</f>
        <v>0</v>
      </c>
      <c r="DT198" s="242">
        <f ca="1">DT$196*Promote!$E$3</f>
        <v>0</v>
      </c>
      <c r="DU198" s="242">
        <f ca="1">DU$196*Promote!$E$3</f>
        <v>0</v>
      </c>
      <c r="DV198" s="242">
        <f ca="1">DV$196*Promote!$E$3</f>
        <v>0</v>
      </c>
      <c r="DW198" s="242">
        <f ca="1">DW$196*Promote!$E$3</f>
        <v>0</v>
      </c>
      <c r="DX198" s="242">
        <f ca="1">DX$196*Promote!$E$3</f>
        <v>0</v>
      </c>
      <c r="DY198" s="242">
        <f ca="1">DY$196*Promote!$E$3</f>
        <v>0</v>
      </c>
      <c r="DZ198" s="242">
        <f ca="1">DZ$196*Promote!$E$3</f>
        <v>0</v>
      </c>
      <c r="EA198" s="242">
        <f ca="1">EA$196*Promote!$E$3</f>
        <v>0</v>
      </c>
      <c r="EB198" s="242">
        <f ca="1">EB$196*Promote!$E$3</f>
        <v>0</v>
      </c>
      <c r="EC198" s="242">
        <f ca="1">EC$196*Promote!$E$3</f>
        <v>0</v>
      </c>
      <c r="ED198" s="242">
        <f ca="1">ED$196*Promote!$E$3</f>
        <v>0</v>
      </c>
      <c r="EE198" s="242">
        <f ca="1">EE$196*Promote!$E$3</f>
        <v>0</v>
      </c>
      <c r="EF198" s="242">
        <f ca="1">EF$196*Promote!$E$3</f>
        <v>0</v>
      </c>
      <c r="EG198" s="242">
        <f ca="1">EG$196*Promote!$E$3</f>
        <v>0</v>
      </c>
      <c r="EH198" s="242">
        <f ca="1">EH$196*Promote!$E$3</f>
        <v>0</v>
      </c>
      <c r="EI198" s="242">
        <f ca="1">EI$196*Promote!$E$3</f>
        <v>0</v>
      </c>
      <c r="EJ198" s="242">
        <f ca="1">EJ$196*Promote!$E$3</f>
        <v>0</v>
      </c>
      <c r="EK198" s="242">
        <f ca="1">EK$196*Promote!$E$3</f>
        <v>0</v>
      </c>
      <c r="EL198" s="242">
        <f ca="1">EL$196*Promote!$E$3</f>
        <v>0</v>
      </c>
      <c r="EM198" s="242">
        <f ca="1">EM$196*Promote!$E$3</f>
        <v>0</v>
      </c>
      <c r="EN198" s="242">
        <f ca="1">EN$196*Promote!$E$3</f>
        <v>0</v>
      </c>
      <c r="EO198" s="242">
        <f ca="1">EO$196*Promote!$E$3</f>
        <v>0</v>
      </c>
      <c r="EP198" s="242">
        <f ca="1">EP$196*Promote!$E$3</f>
        <v>0</v>
      </c>
      <c r="EQ198" s="242">
        <f ca="1">EQ$196*Promote!$E$3</f>
        <v>0</v>
      </c>
      <c r="ER198" s="242">
        <f ca="1">ER$196*Promote!$E$3</f>
        <v>0</v>
      </c>
      <c r="ES198" s="242">
        <f ca="1">ES$196*Promote!$E$3</f>
        <v>0</v>
      </c>
      <c r="ET198" s="242">
        <f ca="1">ET$196*Promote!$E$3</f>
        <v>0</v>
      </c>
    </row>
    <row r="199" spans="2:150" x14ac:dyDescent="0.2">
      <c r="B199" t="s">
        <v>338</v>
      </c>
      <c r="F199" s="242">
        <f ca="1">F$196*Promote!$E$4*Promote!$G3</f>
        <v>0</v>
      </c>
      <c r="G199" s="242">
        <f ca="1">G$196*Promote!$E$4*Promote!$G3</f>
        <v>0</v>
      </c>
      <c r="H199" s="242">
        <f ca="1">H$196*Promote!$E$4*Promote!$G3</f>
        <v>0</v>
      </c>
      <c r="I199" s="242">
        <f ca="1">I$196*Promote!$E$4*Promote!$G3</f>
        <v>0</v>
      </c>
      <c r="J199" s="242">
        <f ca="1">J$196*Promote!$E$4*Promote!$G3</f>
        <v>0</v>
      </c>
      <c r="K199" s="242">
        <f ca="1">K$196*Promote!$E$4*Promote!$G3</f>
        <v>0</v>
      </c>
      <c r="L199" s="242">
        <f ca="1">L$196*Promote!$E$4*Promote!$G3</f>
        <v>0</v>
      </c>
      <c r="M199" s="242">
        <f ca="1">M$196*Promote!$E$4*Promote!$G3</f>
        <v>0</v>
      </c>
      <c r="N199" s="242">
        <f ca="1">N$196*Promote!$E$4*Promote!$G3</f>
        <v>0</v>
      </c>
      <c r="O199" s="242">
        <f ca="1">O$196*Promote!$E$4*Promote!$G3</f>
        <v>0</v>
      </c>
      <c r="P199" s="242">
        <f ca="1">P$196*Promote!$E$4*Promote!$G3</f>
        <v>0</v>
      </c>
      <c r="Q199" s="242">
        <f ca="1">Q$196*Promote!$E$4*Promote!$G3</f>
        <v>0</v>
      </c>
      <c r="R199" s="242">
        <f ca="1">R$196*Promote!$E$4*Promote!$G3</f>
        <v>0</v>
      </c>
      <c r="S199" s="242">
        <f ca="1">S$196*Promote!$E$4*Promote!$G3</f>
        <v>0</v>
      </c>
      <c r="T199" s="242">
        <f ca="1">T$196*Promote!$E$4*Promote!$G3</f>
        <v>0</v>
      </c>
      <c r="U199" s="242">
        <f ca="1">U$196*Promote!$E$4*Promote!$G3</f>
        <v>0</v>
      </c>
      <c r="V199" s="242">
        <f ca="1">V$196*Promote!$E$4*Promote!$G3</f>
        <v>0</v>
      </c>
      <c r="W199" s="242">
        <f ca="1">W$196*Promote!$E$4*Promote!$G3</f>
        <v>0</v>
      </c>
      <c r="X199" s="242">
        <f ca="1">X$196*Promote!$E$4*Promote!$G3</f>
        <v>0</v>
      </c>
      <c r="Y199" s="242">
        <f ca="1">Y$196*Promote!$E$4*Promote!$G3</f>
        <v>0</v>
      </c>
      <c r="Z199" s="242">
        <f ca="1">Z$196*Promote!$E$4*Promote!$G3</f>
        <v>0</v>
      </c>
      <c r="AA199" s="242">
        <f ca="1">AA$196*Promote!$E$4*Promote!$G3</f>
        <v>0</v>
      </c>
      <c r="AB199" s="242">
        <f ca="1">AB$196*Promote!$E$4*Promote!$G3</f>
        <v>0</v>
      </c>
      <c r="AC199" s="242">
        <f ca="1">AC$196*Promote!$E$4*Promote!$G3</f>
        <v>0</v>
      </c>
      <c r="AD199" s="242">
        <f ca="1">AD$196*Promote!$E$4*Promote!$G3</f>
        <v>0</v>
      </c>
      <c r="AE199" s="242">
        <f ca="1">AE$196*Promote!$E$4*Promote!$G3</f>
        <v>0</v>
      </c>
      <c r="AF199" s="242">
        <f ca="1">AF$196*Promote!$E$4*Promote!$G3</f>
        <v>0</v>
      </c>
      <c r="AG199" s="242">
        <f ca="1">AG$196*Promote!$E$4*Promote!$G3</f>
        <v>0</v>
      </c>
      <c r="AH199" s="242">
        <f ca="1">AH$196*Promote!$E$4*Promote!$G3</f>
        <v>0</v>
      </c>
      <c r="AI199" s="242">
        <f ca="1">AI$196*Promote!$E$4*Promote!$G3</f>
        <v>0</v>
      </c>
      <c r="AJ199" s="242">
        <f ca="1">AJ$196*Promote!$E$4*Promote!$G3</f>
        <v>0</v>
      </c>
      <c r="AK199" s="242">
        <f ca="1">AK$196*Promote!$E$4*Promote!$G3</f>
        <v>0</v>
      </c>
      <c r="AL199" s="242">
        <f ca="1">AL$196*Promote!$E$4*Promote!$G3</f>
        <v>0</v>
      </c>
      <c r="AM199" s="242">
        <f ca="1">AM$196*Promote!$E$4*Promote!$G3</f>
        <v>0</v>
      </c>
      <c r="AN199" s="242">
        <f ca="1">AN$196*Promote!$E$4*Promote!$G3</f>
        <v>0</v>
      </c>
      <c r="AO199" s="242">
        <f ca="1">AO$196*Promote!$E$4*Promote!$G3</f>
        <v>0</v>
      </c>
      <c r="AP199" s="242">
        <f ca="1">AP$196*Promote!$E$4*Promote!$G3</f>
        <v>0</v>
      </c>
      <c r="AQ199" s="242">
        <f ca="1">AQ$196*Promote!$E$4*Promote!$G3</f>
        <v>0</v>
      </c>
      <c r="AR199" s="242">
        <f ca="1">AR$196*Promote!$E$4*Promote!$G3</f>
        <v>0</v>
      </c>
      <c r="AS199" s="242">
        <f ca="1">AS$196*Promote!$E$4*Promote!$G3</f>
        <v>0</v>
      </c>
      <c r="AT199" s="242">
        <f ca="1">AT$196*Promote!$E$4*Promote!$G3</f>
        <v>0</v>
      </c>
      <c r="AU199" s="242">
        <f ca="1">AU$196*Promote!$E$4*Promote!$G3</f>
        <v>0</v>
      </c>
      <c r="AV199" s="242">
        <f ca="1">AV$196*Promote!$E$4*Promote!$G3</f>
        <v>0</v>
      </c>
      <c r="AW199" s="242">
        <f ca="1">AW$196*Promote!$E$4*Promote!$G3</f>
        <v>0</v>
      </c>
      <c r="AX199" s="242">
        <f ca="1">AX$196*Promote!$E$4*Promote!$G3</f>
        <v>0</v>
      </c>
      <c r="AY199" s="242">
        <f ca="1">AY$196*Promote!$E$4*Promote!$G3</f>
        <v>0</v>
      </c>
      <c r="AZ199" s="242">
        <f ca="1">AZ$196*Promote!$E$4*Promote!$G3</f>
        <v>0</v>
      </c>
      <c r="BA199" s="242">
        <f ca="1">BA$196*Promote!$E$4*Promote!$G3</f>
        <v>0</v>
      </c>
      <c r="BB199" s="242">
        <f ca="1">BB$196*Promote!$E$4*Promote!$G3</f>
        <v>0</v>
      </c>
      <c r="BC199" s="242">
        <f ca="1">BC$196*Promote!$E$4*Promote!$G3</f>
        <v>0</v>
      </c>
      <c r="BD199" s="242">
        <f ca="1">BD$196*Promote!$E$4*Promote!$G3</f>
        <v>0</v>
      </c>
      <c r="BE199" s="242">
        <f ca="1">BE$196*Promote!$E$4*Promote!$G3</f>
        <v>0</v>
      </c>
      <c r="BF199" s="242">
        <f ca="1">BF$196*Promote!$E$4*Promote!$G3</f>
        <v>0</v>
      </c>
      <c r="BG199" s="242">
        <f ca="1">BG$196*Promote!$E$4*Promote!$G3</f>
        <v>0</v>
      </c>
      <c r="BH199" s="242">
        <f ca="1">BH$196*Promote!$E$4*Promote!$G3</f>
        <v>0</v>
      </c>
      <c r="BI199" s="242">
        <f ca="1">BI$196*Promote!$E$4*Promote!$G3</f>
        <v>0</v>
      </c>
      <c r="BJ199" s="242">
        <f ca="1">BJ$196*Promote!$E$4*Promote!$G3</f>
        <v>0</v>
      </c>
      <c r="BK199" s="242">
        <f ca="1">BK$196*Promote!$E$4*Promote!$G3</f>
        <v>0</v>
      </c>
      <c r="BL199" s="242">
        <f ca="1">BL$196*Promote!$E$4*Promote!$G3</f>
        <v>0</v>
      </c>
      <c r="BM199" s="242">
        <f ca="1">BM$196*Promote!$E$4*Promote!$G3</f>
        <v>0</v>
      </c>
      <c r="BN199" s="242">
        <f ca="1">BN$196*Promote!$E$4*Promote!$G3</f>
        <v>0</v>
      </c>
      <c r="BO199" s="242">
        <f ca="1">BO$196*Promote!$E$4*Promote!$G3</f>
        <v>0</v>
      </c>
      <c r="BP199" s="242">
        <f ca="1">BP$196*Promote!$E$4*Promote!$G3</f>
        <v>0</v>
      </c>
      <c r="BQ199" s="242">
        <f ca="1">BQ$196*Promote!$E$4*Promote!$G3</f>
        <v>0</v>
      </c>
      <c r="BR199" s="242">
        <f ca="1">BR$196*Promote!$E$4*Promote!$G3</f>
        <v>0</v>
      </c>
      <c r="BS199" s="242">
        <f ca="1">BS$196*Promote!$E$4*Promote!$G3</f>
        <v>0</v>
      </c>
      <c r="BT199" s="242">
        <f ca="1">BT$196*Promote!$E$4*Promote!$G3</f>
        <v>0</v>
      </c>
      <c r="BU199" s="242">
        <f ca="1">BU$196*Promote!$E$4*Promote!$G3</f>
        <v>0</v>
      </c>
      <c r="BV199" s="242">
        <f ca="1">BV$196*Promote!$E$4*Promote!$G3</f>
        <v>0</v>
      </c>
      <c r="BW199" s="242">
        <f ca="1">BW$196*Promote!$E$4*Promote!$G3</f>
        <v>0</v>
      </c>
      <c r="BX199" s="242">
        <f ca="1">BX$196*Promote!$E$4*Promote!$G3</f>
        <v>0</v>
      </c>
      <c r="BY199" s="242">
        <f ca="1">BY$196*Promote!$E$4*Promote!$G3</f>
        <v>0</v>
      </c>
      <c r="BZ199" s="242">
        <f ca="1">BZ$196*Promote!$E$4*Promote!$G3</f>
        <v>0</v>
      </c>
      <c r="CA199" s="242">
        <f ca="1">CA$196*Promote!$E$4*Promote!$G3</f>
        <v>0</v>
      </c>
      <c r="CB199" s="242">
        <f ca="1">CB$196*Promote!$E$4*Promote!$G3</f>
        <v>0</v>
      </c>
      <c r="CC199" s="242">
        <f ca="1">CC$196*Promote!$E$4*Promote!$G3</f>
        <v>0</v>
      </c>
      <c r="CD199" s="242">
        <f ca="1">CD$196*Promote!$E$4*Promote!$G3</f>
        <v>0</v>
      </c>
      <c r="CE199" s="242">
        <f ca="1">CE$196*Promote!$E$4*Promote!$G3</f>
        <v>0</v>
      </c>
      <c r="CF199" s="242">
        <f ca="1">CF$196*Promote!$E$4*Promote!$G3</f>
        <v>0</v>
      </c>
      <c r="CG199" s="242">
        <f ca="1">CG$196*Promote!$E$4*Promote!$G3</f>
        <v>0</v>
      </c>
      <c r="CH199" s="242">
        <f ca="1">CH$196*Promote!$E$4*Promote!$G3</f>
        <v>0</v>
      </c>
      <c r="CI199" s="242">
        <f ca="1">CI$196*Promote!$E$4*Promote!$G3</f>
        <v>0</v>
      </c>
      <c r="CJ199" s="242">
        <f ca="1">CJ$196*Promote!$E$4*Promote!$G3</f>
        <v>0</v>
      </c>
      <c r="CK199" s="242">
        <f ca="1">CK$196*Promote!$E$4*Promote!$G3</f>
        <v>0</v>
      </c>
      <c r="CL199" s="242">
        <f ca="1">CL$196*Promote!$E$4*Promote!$G3</f>
        <v>0</v>
      </c>
      <c r="CM199" s="242">
        <f ca="1">CM$196*Promote!$E$4*Promote!$G3</f>
        <v>0</v>
      </c>
      <c r="CN199" s="242">
        <f ca="1">CN$196*Promote!$E$4*Promote!$G3</f>
        <v>0</v>
      </c>
      <c r="CO199" s="242">
        <f ca="1">CO$196*Promote!$E$4*Promote!$G3</f>
        <v>0</v>
      </c>
      <c r="CP199" s="242">
        <f ca="1">CP$196*Promote!$E$4*Promote!$G3</f>
        <v>0</v>
      </c>
      <c r="CQ199" s="242">
        <f ca="1">CQ$196*Promote!$E$4*Promote!$G3</f>
        <v>0</v>
      </c>
      <c r="CR199" s="242">
        <f ca="1">CR$196*Promote!$E$4*Promote!$G3</f>
        <v>0</v>
      </c>
      <c r="CS199" s="242">
        <f ca="1">CS$196*Promote!$E$4*Promote!$G3</f>
        <v>0</v>
      </c>
      <c r="CT199" s="242">
        <f ca="1">CT$196*Promote!$E$4*Promote!$G3</f>
        <v>0</v>
      </c>
      <c r="CU199" s="242">
        <f ca="1">CU$196*Promote!$E$4*Promote!$G3</f>
        <v>0</v>
      </c>
      <c r="CV199" s="242">
        <f ca="1">CV$196*Promote!$E$4*Promote!$G3</f>
        <v>0</v>
      </c>
      <c r="CW199" s="242">
        <f ca="1">CW$196*Promote!$E$4*Promote!$G3</f>
        <v>0</v>
      </c>
      <c r="CX199" s="242">
        <f ca="1">CX$196*Promote!$E$4*Promote!$G3</f>
        <v>0</v>
      </c>
      <c r="CY199" s="242">
        <f ca="1">CY$196*Promote!$E$4*Promote!$G3</f>
        <v>0</v>
      </c>
      <c r="CZ199" s="242">
        <f ca="1">CZ$196*Promote!$E$4*Promote!$G3</f>
        <v>0</v>
      </c>
      <c r="DA199" s="242">
        <f ca="1">DA$196*Promote!$E$4*Promote!$G3</f>
        <v>0</v>
      </c>
      <c r="DB199" s="242">
        <f ca="1">DB$196*Promote!$E$4*Promote!$G3</f>
        <v>0</v>
      </c>
      <c r="DC199" s="242">
        <f ca="1">DC$196*Promote!$E$4*Promote!$G3</f>
        <v>0</v>
      </c>
      <c r="DD199" s="242">
        <f ca="1">DD$196*Promote!$E$4*Promote!$G3</f>
        <v>0</v>
      </c>
      <c r="DE199" s="242">
        <f ca="1">DE$196*Promote!$E$4*Promote!$G3</f>
        <v>0</v>
      </c>
      <c r="DF199" s="242">
        <f ca="1">DF$196*Promote!$E$4*Promote!$G3</f>
        <v>0</v>
      </c>
      <c r="DG199" s="242">
        <f ca="1">DG$196*Promote!$E$4*Promote!$G3</f>
        <v>0</v>
      </c>
      <c r="DH199" s="242">
        <f ca="1">DH$196*Promote!$E$4*Promote!$G3</f>
        <v>0</v>
      </c>
      <c r="DI199" s="242">
        <f ca="1">DI$196*Promote!$E$4*Promote!$G3</f>
        <v>0</v>
      </c>
      <c r="DJ199" s="242">
        <f ca="1">DJ$196*Promote!$E$4*Promote!$G3</f>
        <v>0</v>
      </c>
      <c r="DK199" s="242">
        <f ca="1">DK$196*Promote!$E$4*Promote!$G3</f>
        <v>0</v>
      </c>
      <c r="DL199" s="242">
        <f ca="1">DL$196*Promote!$E$4*Promote!$G3</f>
        <v>0</v>
      </c>
      <c r="DM199" s="242">
        <f ca="1">DM$196*Promote!$E$4*Promote!$G3</f>
        <v>0</v>
      </c>
      <c r="DN199" s="242">
        <f ca="1">DN$196*Promote!$E$4*Promote!$G3</f>
        <v>0</v>
      </c>
      <c r="DO199" s="242">
        <f ca="1">DO$196*Promote!$E$4*Promote!$G3</f>
        <v>0</v>
      </c>
      <c r="DP199" s="242">
        <f ca="1">DP$196*Promote!$E$4*Promote!$G3</f>
        <v>0</v>
      </c>
      <c r="DQ199" s="242">
        <f ca="1">DQ$196*Promote!$E$4*Promote!$G3</f>
        <v>0</v>
      </c>
      <c r="DR199" s="242">
        <f ca="1">DR$196*Promote!$E$4*Promote!$G3</f>
        <v>0</v>
      </c>
      <c r="DS199" s="242">
        <f ca="1">DS$196*Promote!$E$4*Promote!$G3</f>
        <v>0</v>
      </c>
      <c r="DT199" s="242">
        <f ca="1">DT$196*Promote!$E$4*Promote!$G3</f>
        <v>0</v>
      </c>
      <c r="DU199" s="242">
        <f ca="1">DU$196*Promote!$E$4*Promote!$G3</f>
        <v>0</v>
      </c>
      <c r="DV199" s="242">
        <f ca="1">DV$196*Promote!$E$4*Promote!$G3</f>
        <v>0</v>
      </c>
      <c r="DW199" s="242">
        <f ca="1">DW$196*Promote!$E$4*Promote!$G3</f>
        <v>0</v>
      </c>
      <c r="DX199" s="242">
        <f ca="1">DX$196*Promote!$E$4*Promote!$G3</f>
        <v>0</v>
      </c>
      <c r="DY199" s="242">
        <f ca="1">DY$196*Promote!$E$4*Promote!$G3</f>
        <v>0</v>
      </c>
      <c r="DZ199" s="242">
        <f ca="1">DZ$196*Promote!$E$4*Promote!$G3</f>
        <v>0</v>
      </c>
      <c r="EA199" s="242">
        <f ca="1">EA$196*Promote!$E$4*Promote!$G3</f>
        <v>0</v>
      </c>
      <c r="EB199" s="242">
        <f ca="1">EB$196*Promote!$E$4*Promote!$G3</f>
        <v>0</v>
      </c>
      <c r="EC199" s="242">
        <f ca="1">EC$196*Promote!$E$4*Promote!$G3</f>
        <v>0</v>
      </c>
      <c r="ED199" s="242">
        <f ca="1">ED$196*Promote!$E$4*Promote!$G3</f>
        <v>0</v>
      </c>
      <c r="EE199" s="242">
        <f ca="1">EE$196*Promote!$E$4*Promote!$G3</f>
        <v>0</v>
      </c>
      <c r="EF199" s="242">
        <f ca="1">EF$196*Promote!$E$4*Promote!$G3</f>
        <v>0</v>
      </c>
      <c r="EG199" s="242">
        <f ca="1">EG$196*Promote!$E$4*Promote!$G3</f>
        <v>0</v>
      </c>
      <c r="EH199" s="242">
        <f ca="1">EH$196*Promote!$E$4*Promote!$G3</f>
        <v>0</v>
      </c>
      <c r="EI199" s="242">
        <f ca="1">EI$196*Promote!$E$4*Promote!$G3</f>
        <v>0</v>
      </c>
      <c r="EJ199" s="242">
        <f ca="1">EJ$196*Promote!$E$4*Promote!$G3</f>
        <v>0</v>
      </c>
      <c r="EK199" s="242">
        <f ca="1">EK$196*Promote!$E$4*Promote!$G3</f>
        <v>0</v>
      </c>
      <c r="EL199" s="242">
        <f ca="1">EL$196*Promote!$E$4*Promote!$G3</f>
        <v>0</v>
      </c>
      <c r="EM199" s="242">
        <f ca="1">EM$196*Promote!$E$4*Promote!$G3</f>
        <v>0</v>
      </c>
      <c r="EN199" s="242">
        <f ca="1">EN$196*Promote!$E$4*Promote!$G3</f>
        <v>0</v>
      </c>
      <c r="EO199" s="242">
        <f ca="1">EO$196*Promote!$E$4*Promote!$G3</f>
        <v>0</v>
      </c>
      <c r="EP199" s="242">
        <f ca="1">EP$196*Promote!$E$4*Promote!$G3</f>
        <v>0</v>
      </c>
      <c r="EQ199" s="242">
        <f ca="1">EQ$196*Promote!$E$4*Promote!$G3</f>
        <v>0</v>
      </c>
      <c r="ER199" s="242">
        <f ca="1">ER$196*Promote!$E$4*Promote!$G3</f>
        <v>0</v>
      </c>
      <c r="ES199" s="242">
        <f ca="1">ES$196*Promote!$E$4*Promote!$G3</f>
        <v>0</v>
      </c>
      <c r="ET199" s="242">
        <f ca="1">ET$196*Promote!$E$4*Promote!$G3</f>
        <v>0</v>
      </c>
    </row>
    <row r="200" spans="2:150" x14ac:dyDescent="0.2">
      <c r="B200" t="s">
        <v>229</v>
      </c>
      <c r="F200" s="242">
        <f ca="1">F$196*Promote!$E$4*Promote!$G4</f>
        <v>0</v>
      </c>
      <c r="G200" s="242">
        <f ca="1">G$196*Promote!$E$4*Promote!$G4</f>
        <v>0</v>
      </c>
      <c r="H200" s="242">
        <f ca="1">H$196*Promote!$E$4*Promote!$G4</f>
        <v>0</v>
      </c>
      <c r="I200" s="242">
        <f ca="1">I$196*Promote!$E$4*Promote!$G4</f>
        <v>0</v>
      </c>
      <c r="J200" s="242">
        <f ca="1">J$196*Promote!$E$4*Promote!$G4</f>
        <v>0</v>
      </c>
      <c r="K200" s="242">
        <f ca="1">K$196*Promote!$E$4*Promote!$G4</f>
        <v>0</v>
      </c>
      <c r="L200" s="242">
        <f ca="1">L$196*Promote!$E$4*Promote!$G4</f>
        <v>0</v>
      </c>
      <c r="M200" s="242">
        <f ca="1">M$196*Promote!$E$4*Promote!$G4</f>
        <v>0</v>
      </c>
      <c r="N200" s="242">
        <f ca="1">N$196*Promote!$E$4*Promote!$G4</f>
        <v>0</v>
      </c>
      <c r="O200" s="242">
        <f ca="1">O$196*Promote!$E$4*Promote!$G4</f>
        <v>0</v>
      </c>
      <c r="P200" s="242">
        <f ca="1">P$196*Promote!$E$4*Promote!$G4</f>
        <v>0</v>
      </c>
      <c r="Q200" s="242">
        <f ca="1">Q$196*Promote!$E$4*Promote!$G4</f>
        <v>0</v>
      </c>
      <c r="R200" s="242">
        <f ca="1">R$196*Promote!$E$4*Promote!$G4</f>
        <v>0</v>
      </c>
      <c r="S200" s="242">
        <f ca="1">S$196*Promote!$E$4*Promote!$G4</f>
        <v>0</v>
      </c>
      <c r="T200" s="242">
        <f ca="1">T$196*Promote!$E$4*Promote!$G4</f>
        <v>0</v>
      </c>
      <c r="U200" s="242">
        <f ca="1">U$196*Promote!$E$4*Promote!$G4</f>
        <v>0</v>
      </c>
      <c r="V200" s="242">
        <f ca="1">V$196*Promote!$E$4*Promote!$G4</f>
        <v>0</v>
      </c>
      <c r="W200" s="242">
        <f ca="1">W$196*Promote!$E$4*Promote!$G4</f>
        <v>0</v>
      </c>
      <c r="X200" s="242">
        <f ca="1">X$196*Promote!$E$4*Promote!$G4</f>
        <v>0</v>
      </c>
      <c r="Y200" s="242">
        <f ca="1">Y$196*Promote!$E$4*Promote!$G4</f>
        <v>0</v>
      </c>
      <c r="Z200" s="242">
        <f ca="1">Z$196*Promote!$E$4*Promote!$G4</f>
        <v>0</v>
      </c>
      <c r="AA200" s="242">
        <f ca="1">AA$196*Promote!$E$4*Promote!$G4</f>
        <v>0</v>
      </c>
      <c r="AB200" s="242">
        <f ca="1">AB$196*Promote!$E$4*Promote!$G4</f>
        <v>0</v>
      </c>
      <c r="AC200" s="242">
        <f ca="1">AC$196*Promote!$E$4*Promote!$G4</f>
        <v>0</v>
      </c>
      <c r="AD200" s="242">
        <f ca="1">AD$196*Promote!$E$4*Promote!$G4</f>
        <v>0</v>
      </c>
      <c r="AE200" s="242">
        <f ca="1">AE$196*Promote!$E$4*Promote!$G4</f>
        <v>0</v>
      </c>
      <c r="AF200" s="242">
        <f ca="1">AF$196*Promote!$E$4*Promote!$G4</f>
        <v>0</v>
      </c>
      <c r="AG200" s="242">
        <f ca="1">AG$196*Promote!$E$4*Promote!$G4</f>
        <v>0</v>
      </c>
      <c r="AH200" s="242">
        <f ca="1">AH$196*Promote!$E$4*Promote!$G4</f>
        <v>0</v>
      </c>
      <c r="AI200" s="242">
        <f ca="1">AI$196*Promote!$E$4*Promote!$G4</f>
        <v>0</v>
      </c>
      <c r="AJ200" s="242">
        <f ca="1">AJ$196*Promote!$E$4*Promote!$G4</f>
        <v>0</v>
      </c>
      <c r="AK200" s="242">
        <f ca="1">AK$196*Promote!$E$4*Promote!$G4</f>
        <v>0</v>
      </c>
      <c r="AL200" s="242">
        <f ca="1">AL$196*Promote!$E$4*Promote!$G4</f>
        <v>0</v>
      </c>
      <c r="AM200" s="242">
        <f ca="1">AM$196*Promote!$E$4*Promote!$G4</f>
        <v>0</v>
      </c>
      <c r="AN200" s="242">
        <f ca="1">AN$196*Promote!$E$4*Promote!$G4</f>
        <v>0</v>
      </c>
      <c r="AO200" s="242">
        <f ca="1">AO$196*Promote!$E$4*Promote!$G4</f>
        <v>0</v>
      </c>
      <c r="AP200" s="242">
        <f ca="1">AP$196*Promote!$E$4*Promote!$G4</f>
        <v>0</v>
      </c>
      <c r="AQ200" s="242">
        <f ca="1">AQ$196*Promote!$E$4*Promote!$G4</f>
        <v>0</v>
      </c>
      <c r="AR200" s="242">
        <f ca="1">AR$196*Promote!$E$4*Promote!$G4</f>
        <v>0</v>
      </c>
      <c r="AS200" s="242">
        <f ca="1">AS$196*Promote!$E$4*Promote!$G4</f>
        <v>0</v>
      </c>
      <c r="AT200" s="242">
        <f ca="1">AT$196*Promote!$E$4*Promote!$G4</f>
        <v>0</v>
      </c>
      <c r="AU200" s="242">
        <f ca="1">AU$196*Promote!$E$4*Promote!$G4</f>
        <v>0</v>
      </c>
      <c r="AV200" s="242">
        <f ca="1">AV$196*Promote!$E$4*Promote!$G4</f>
        <v>0</v>
      </c>
      <c r="AW200" s="242">
        <f ca="1">AW$196*Promote!$E$4*Promote!$G4</f>
        <v>0</v>
      </c>
      <c r="AX200" s="242">
        <f ca="1">AX$196*Promote!$E$4*Promote!$G4</f>
        <v>0</v>
      </c>
      <c r="AY200" s="242">
        <f ca="1">AY$196*Promote!$E$4*Promote!$G4</f>
        <v>0</v>
      </c>
      <c r="AZ200" s="242">
        <f ca="1">AZ$196*Promote!$E$4*Promote!$G4</f>
        <v>0</v>
      </c>
      <c r="BA200" s="242">
        <f ca="1">BA$196*Promote!$E$4*Promote!$G4</f>
        <v>0</v>
      </c>
      <c r="BB200" s="242">
        <f ca="1">BB$196*Promote!$E$4*Promote!$G4</f>
        <v>0</v>
      </c>
      <c r="BC200" s="242">
        <f ca="1">BC$196*Promote!$E$4*Promote!$G4</f>
        <v>0</v>
      </c>
      <c r="BD200" s="242">
        <f ca="1">BD$196*Promote!$E$4*Promote!$G4</f>
        <v>0</v>
      </c>
      <c r="BE200" s="242">
        <f ca="1">BE$196*Promote!$E$4*Promote!$G4</f>
        <v>0</v>
      </c>
      <c r="BF200" s="242">
        <f ca="1">BF$196*Promote!$E$4*Promote!$G4</f>
        <v>0</v>
      </c>
      <c r="BG200" s="242">
        <f ca="1">BG$196*Promote!$E$4*Promote!$G4</f>
        <v>0</v>
      </c>
      <c r="BH200" s="242">
        <f ca="1">BH$196*Promote!$E$4*Promote!$G4</f>
        <v>0</v>
      </c>
      <c r="BI200" s="242">
        <f ca="1">BI$196*Promote!$E$4*Promote!$G4</f>
        <v>0</v>
      </c>
      <c r="BJ200" s="242">
        <f ca="1">BJ$196*Promote!$E$4*Promote!$G4</f>
        <v>0</v>
      </c>
      <c r="BK200" s="242">
        <f ca="1">BK$196*Promote!$E$4*Promote!$G4</f>
        <v>0</v>
      </c>
      <c r="BL200" s="242">
        <f ca="1">BL$196*Promote!$E$4*Promote!$G4</f>
        <v>0</v>
      </c>
      <c r="BM200" s="242">
        <f ca="1">BM$196*Promote!$E$4*Promote!$G4</f>
        <v>0</v>
      </c>
      <c r="BN200" s="242">
        <f ca="1">BN$196*Promote!$E$4*Promote!$G4</f>
        <v>0</v>
      </c>
      <c r="BO200" s="242">
        <f ca="1">BO$196*Promote!$E$4*Promote!$G4</f>
        <v>0</v>
      </c>
      <c r="BP200" s="242">
        <f ca="1">BP$196*Promote!$E$4*Promote!$G4</f>
        <v>0</v>
      </c>
      <c r="BQ200" s="242">
        <f ca="1">BQ$196*Promote!$E$4*Promote!$G4</f>
        <v>0</v>
      </c>
      <c r="BR200" s="242">
        <f ca="1">BR$196*Promote!$E$4*Promote!$G4</f>
        <v>0</v>
      </c>
      <c r="BS200" s="242">
        <f ca="1">BS$196*Promote!$E$4*Promote!$G4</f>
        <v>0</v>
      </c>
      <c r="BT200" s="242">
        <f ca="1">BT$196*Promote!$E$4*Promote!$G4</f>
        <v>0</v>
      </c>
      <c r="BU200" s="242">
        <f ca="1">BU$196*Promote!$E$4*Promote!$G4</f>
        <v>0</v>
      </c>
      <c r="BV200" s="242">
        <f ca="1">BV$196*Promote!$E$4*Promote!$G4</f>
        <v>0</v>
      </c>
      <c r="BW200" s="242">
        <f ca="1">BW$196*Promote!$E$4*Promote!$G4</f>
        <v>0</v>
      </c>
      <c r="BX200" s="242">
        <f ca="1">BX$196*Promote!$E$4*Promote!$G4</f>
        <v>0</v>
      </c>
      <c r="BY200" s="242">
        <f ca="1">BY$196*Promote!$E$4*Promote!$G4</f>
        <v>0</v>
      </c>
      <c r="BZ200" s="242">
        <f ca="1">BZ$196*Promote!$E$4*Promote!$G4</f>
        <v>0</v>
      </c>
      <c r="CA200" s="242">
        <f ca="1">CA$196*Promote!$E$4*Promote!$G4</f>
        <v>0</v>
      </c>
      <c r="CB200" s="242">
        <f ca="1">CB$196*Promote!$E$4*Promote!$G4</f>
        <v>0</v>
      </c>
      <c r="CC200" s="242">
        <f ca="1">CC$196*Promote!$E$4*Promote!$G4</f>
        <v>0</v>
      </c>
      <c r="CD200" s="242">
        <f ca="1">CD$196*Promote!$E$4*Promote!$G4</f>
        <v>0</v>
      </c>
      <c r="CE200" s="242">
        <f ca="1">CE$196*Promote!$E$4*Promote!$G4</f>
        <v>0</v>
      </c>
      <c r="CF200" s="242">
        <f ca="1">CF$196*Promote!$E$4*Promote!$G4</f>
        <v>0</v>
      </c>
      <c r="CG200" s="242">
        <f ca="1">CG$196*Promote!$E$4*Promote!$G4</f>
        <v>0</v>
      </c>
      <c r="CH200" s="242">
        <f ca="1">CH$196*Promote!$E$4*Promote!$G4</f>
        <v>0</v>
      </c>
      <c r="CI200" s="242">
        <f ca="1">CI$196*Promote!$E$4*Promote!$G4</f>
        <v>0</v>
      </c>
      <c r="CJ200" s="242">
        <f ca="1">CJ$196*Promote!$E$4*Promote!$G4</f>
        <v>0</v>
      </c>
      <c r="CK200" s="242">
        <f ca="1">CK$196*Promote!$E$4*Promote!$G4</f>
        <v>0</v>
      </c>
      <c r="CL200" s="242">
        <f ca="1">CL$196*Promote!$E$4*Promote!$G4</f>
        <v>0</v>
      </c>
      <c r="CM200" s="242">
        <f ca="1">CM$196*Promote!$E$4*Promote!$G4</f>
        <v>0</v>
      </c>
      <c r="CN200" s="242">
        <f ca="1">CN$196*Promote!$E$4*Promote!$G4</f>
        <v>0</v>
      </c>
      <c r="CO200" s="242">
        <f ca="1">CO$196*Promote!$E$4*Promote!$G4</f>
        <v>0</v>
      </c>
      <c r="CP200" s="242">
        <f ca="1">CP$196*Promote!$E$4*Promote!$G4</f>
        <v>0</v>
      </c>
      <c r="CQ200" s="242">
        <f ca="1">CQ$196*Promote!$E$4*Promote!$G4</f>
        <v>0</v>
      </c>
      <c r="CR200" s="242">
        <f ca="1">CR$196*Promote!$E$4*Promote!$G4</f>
        <v>0</v>
      </c>
      <c r="CS200" s="242">
        <f ca="1">CS$196*Promote!$E$4*Promote!$G4</f>
        <v>0</v>
      </c>
      <c r="CT200" s="242">
        <f ca="1">CT$196*Promote!$E$4*Promote!$G4</f>
        <v>0</v>
      </c>
      <c r="CU200" s="242">
        <f ca="1">CU$196*Promote!$E$4*Promote!$G4</f>
        <v>0</v>
      </c>
      <c r="CV200" s="242">
        <f ca="1">CV$196*Promote!$E$4*Promote!$G4</f>
        <v>0</v>
      </c>
      <c r="CW200" s="242">
        <f ca="1">CW$196*Promote!$E$4*Promote!$G4</f>
        <v>0</v>
      </c>
      <c r="CX200" s="242">
        <f ca="1">CX$196*Promote!$E$4*Promote!$G4</f>
        <v>0</v>
      </c>
      <c r="CY200" s="242">
        <f ca="1">CY$196*Promote!$E$4*Promote!$G4</f>
        <v>0</v>
      </c>
      <c r="CZ200" s="242">
        <f ca="1">CZ$196*Promote!$E$4*Promote!$G4</f>
        <v>0</v>
      </c>
      <c r="DA200" s="242">
        <f ca="1">DA$196*Promote!$E$4*Promote!$G4</f>
        <v>0</v>
      </c>
      <c r="DB200" s="242">
        <f ca="1">DB$196*Promote!$E$4*Promote!$G4</f>
        <v>0</v>
      </c>
      <c r="DC200" s="242">
        <f ca="1">DC$196*Promote!$E$4*Promote!$G4</f>
        <v>0</v>
      </c>
      <c r="DD200" s="242">
        <f ca="1">DD$196*Promote!$E$4*Promote!$G4</f>
        <v>0</v>
      </c>
      <c r="DE200" s="242">
        <f ca="1">DE$196*Promote!$E$4*Promote!$G4</f>
        <v>0</v>
      </c>
      <c r="DF200" s="242">
        <f ca="1">DF$196*Promote!$E$4*Promote!$G4</f>
        <v>0</v>
      </c>
      <c r="DG200" s="242">
        <f ca="1">DG$196*Promote!$E$4*Promote!$G4</f>
        <v>0</v>
      </c>
      <c r="DH200" s="242">
        <f ca="1">DH$196*Promote!$E$4*Promote!$G4</f>
        <v>0</v>
      </c>
      <c r="DI200" s="242">
        <f ca="1">DI$196*Promote!$E$4*Promote!$G4</f>
        <v>0</v>
      </c>
      <c r="DJ200" s="242">
        <f ca="1">DJ$196*Promote!$E$4*Promote!$G4</f>
        <v>0</v>
      </c>
      <c r="DK200" s="242">
        <f ca="1">DK$196*Promote!$E$4*Promote!$G4</f>
        <v>0</v>
      </c>
      <c r="DL200" s="242">
        <f ca="1">DL$196*Promote!$E$4*Promote!$G4</f>
        <v>0</v>
      </c>
      <c r="DM200" s="242">
        <f ca="1">DM$196*Promote!$E$4*Promote!$G4</f>
        <v>0</v>
      </c>
      <c r="DN200" s="242">
        <f ca="1">DN$196*Promote!$E$4*Promote!$G4</f>
        <v>0</v>
      </c>
      <c r="DO200" s="242">
        <f ca="1">DO$196*Promote!$E$4*Promote!$G4</f>
        <v>0</v>
      </c>
      <c r="DP200" s="242">
        <f ca="1">DP$196*Promote!$E$4*Promote!$G4</f>
        <v>0</v>
      </c>
      <c r="DQ200" s="242">
        <f ca="1">DQ$196*Promote!$E$4*Promote!$G4</f>
        <v>0</v>
      </c>
      <c r="DR200" s="242">
        <f ca="1">DR$196*Promote!$E$4*Promote!$G4</f>
        <v>0</v>
      </c>
      <c r="DS200" s="242">
        <f ca="1">DS$196*Promote!$E$4*Promote!$G4</f>
        <v>0</v>
      </c>
      <c r="DT200" s="242">
        <f ca="1">DT$196*Promote!$E$4*Promote!$G4</f>
        <v>0</v>
      </c>
      <c r="DU200" s="242">
        <f ca="1">DU$196*Promote!$E$4*Promote!$G4</f>
        <v>0</v>
      </c>
      <c r="DV200" s="242">
        <f ca="1">DV$196*Promote!$E$4*Promote!$G4</f>
        <v>0</v>
      </c>
      <c r="DW200" s="242">
        <f ca="1">DW$196*Promote!$E$4*Promote!$G4</f>
        <v>0</v>
      </c>
      <c r="DX200" s="242">
        <f ca="1">DX$196*Promote!$E$4*Promote!$G4</f>
        <v>0</v>
      </c>
      <c r="DY200" s="242">
        <f ca="1">DY$196*Promote!$E$4*Promote!$G4</f>
        <v>0</v>
      </c>
      <c r="DZ200" s="242">
        <f ca="1">DZ$196*Promote!$E$4*Promote!$G4</f>
        <v>0</v>
      </c>
      <c r="EA200" s="242">
        <f ca="1">EA$196*Promote!$E$4*Promote!$G4</f>
        <v>0</v>
      </c>
      <c r="EB200" s="242">
        <f ca="1">EB$196*Promote!$E$4*Promote!$G4</f>
        <v>0</v>
      </c>
      <c r="EC200" s="242">
        <f ca="1">EC$196*Promote!$E$4*Promote!$G4</f>
        <v>0</v>
      </c>
      <c r="ED200" s="242">
        <f ca="1">ED$196*Promote!$E$4*Promote!$G4</f>
        <v>0</v>
      </c>
      <c r="EE200" s="242">
        <f ca="1">EE$196*Promote!$E$4*Promote!$G4</f>
        <v>0</v>
      </c>
      <c r="EF200" s="242">
        <f ca="1">EF$196*Promote!$E$4*Promote!$G4</f>
        <v>0</v>
      </c>
      <c r="EG200" s="242">
        <f ca="1">EG$196*Promote!$E$4*Promote!$G4</f>
        <v>0</v>
      </c>
      <c r="EH200" s="242">
        <f ca="1">EH$196*Promote!$E$4*Promote!$G4</f>
        <v>0</v>
      </c>
      <c r="EI200" s="242">
        <f ca="1">EI$196*Promote!$E$4*Promote!$G4</f>
        <v>0</v>
      </c>
      <c r="EJ200" s="242">
        <f ca="1">EJ$196*Promote!$E$4*Promote!$G4</f>
        <v>0</v>
      </c>
      <c r="EK200" s="242">
        <f ca="1">EK$196*Promote!$E$4*Promote!$G4</f>
        <v>0</v>
      </c>
      <c r="EL200" s="242">
        <f ca="1">EL$196*Promote!$E$4*Promote!$G4</f>
        <v>0</v>
      </c>
      <c r="EM200" s="242">
        <f ca="1">EM$196*Promote!$E$4*Promote!$G4</f>
        <v>0</v>
      </c>
      <c r="EN200" s="242">
        <f ca="1">EN$196*Promote!$E$4*Promote!$G4</f>
        <v>0</v>
      </c>
      <c r="EO200" s="242">
        <f ca="1">EO$196*Promote!$E$4*Promote!$G4</f>
        <v>0</v>
      </c>
      <c r="EP200" s="242">
        <f ca="1">EP$196*Promote!$E$4*Promote!$G4</f>
        <v>0</v>
      </c>
      <c r="EQ200" s="242">
        <f ca="1">EQ$196*Promote!$E$4*Promote!$G4</f>
        <v>0</v>
      </c>
      <c r="ER200" s="242">
        <f ca="1">ER$196*Promote!$E$4*Promote!$G4</f>
        <v>0</v>
      </c>
      <c r="ES200" s="242">
        <f ca="1">ES$196*Promote!$E$4*Promote!$G4</f>
        <v>0</v>
      </c>
      <c r="ET200" s="242">
        <f ca="1">ET$196*Promote!$E$4*Promote!$G4</f>
        <v>0</v>
      </c>
    </row>
    <row r="201" spans="2:150" x14ac:dyDescent="0.2"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  <c r="DO201" s="36"/>
      <c r="DP201" s="36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6"/>
      <c r="EG201" s="36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</row>
    <row r="202" spans="2:150" x14ac:dyDescent="0.2">
      <c r="B202" t="s">
        <v>233</v>
      </c>
      <c r="D202" s="242">
        <f ca="1">SUM(F202:ET202)</f>
        <v>2087594.1303121557</v>
      </c>
      <c r="F202" s="242">
        <f ca="1">F185-F193+F198+F199</f>
        <v>0</v>
      </c>
      <c r="G202" s="242">
        <f t="shared" ref="G202:BR202" ca="1" si="1895">G185-G193+G198+G199</f>
        <v>0</v>
      </c>
      <c r="H202" s="242">
        <f t="shared" ca="1" si="1895"/>
        <v>0</v>
      </c>
      <c r="I202" s="242">
        <f t="shared" ca="1" si="1895"/>
        <v>0</v>
      </c>
      <c r="J202" s="242">
        <f t="shared" ca="1" si="1895"/>
        <v>0</v>
      </c>
      <c r="K202" s="242">
        <f t="shared" ca="1" si="1895"/>
        <v>0</v>
      </c>
      <c r="L202" s="242">
        <f t="shared" ca="1" si="1895"/>
        <v>0</v>
      </c>
      <c r="M202" s="242">
        <f t="shared" ca="1" si="1895"/>
        <v>0</v>
      </c>
      <c r="N202" s="242">
        <f t="shared" ca="1" si="1895"/>
        <v>0</v>
      </c>
      <c r="O202" s="242">
        <f t="shared" ca="1" si="1895"/>
        <v>0</v>
      </c>
      <c r="P202" s="242">
        <f t="shared" ca="1" si="1895"/>
        <v>0</v>
      </c>
      <c r="Q202" s="242">
        <f t="shared" ca="1" si="1895"/>
        <v>0</v>
      </c>
      <c r="R202" s="242">
        <f t="shared" ca="1" si="1895"/>
        <v>0</v>
      </c>
      <c r="S202" s="242">
        <f t="shared" ca="1" si="1895"/>
        <v>0</v>
      </c>
      <c r="T202" s="242">
        <f t="shared" ca="1" si="1895"/>
        <v>0</v>
      </c>
      <c r="U202" s="242">
        <f t="shared" ca="1" si="1895"/>
        <v>0</v>
      </c>
      <c r="V202" s="242">
        <f t="shared" ca="1" si="1895"/>
        <v>0</v>
      </c>
      <c r="W202" s="242">
        <f t="shared" ca="1" si="1895"/>
        <v>0</v>
      </c>
      <c r="X202" s="242">
        <f t="shared" ca="1" si="1895"/>
        <v>0</v>
      </c>
      <c r="Y202" s="242">
        <f t="shared" ca="1" si="1895"/>
        <v>0</v>
      </c>
      <c r="Z202" s="242">
        <f t="shared" ca="1" si="1895"/>
        <v>0</v>
      </c>
      <c r="AA202" s="242">
        <f t="shared" ca="1" si="1895"/>
        <v>0</v>
      </c>
      <c r="AB202" s="242">
        <f t="shared" ca="1" si="1895"/>
        <v>0</v>
      </c>
      <c r="AC202" s="242">
        <f t="shared" ca="1" si="1895"/>
        <v>0</v>
      </c>
      <c r="AD202" s="242">
        <f t="shared" ca="1" si="1895"/>
        <v>0</v>
      </c>
      <c r="AE202" s="242">
        <f t="shared" ca="1" si="1895"/>
        <v>0</v>
      </c>
      <c r="AF202" s="242">
        <f t="shared" ca="1" si="1895"/>
        <v>0</v>
      </c>
      <c r="AG202" s="242">
        <f t="shared" ca="1" si="1895"/>
        <v>0</v>
      </c>
      <c r="AH202" s="242">
        <f t="shared" ca="1" si="1895"/>
        <v>0</v>
      </c>
      <c r="AI202" s="242">
        <f t="shared" ca="1" si="1895"/>
        <v>0</v>
      </c>
      <c r="AJ202" s="242">
        <f t="shared" ca="1" si="1895"/>
        <v>0</v>
      </c>
      <c r="AK202" s="242">
        <f t="shared" ca="1" si="1895"/>
        <v>0</v>
      </c>
      <c r="AL202" s="242">
        <f t="shared" ca="1" si="1895"/>
        <v>0</v>
      </c>
      <c r="AM202" s="242">
        <f t="shared" ca="1" si="1895"/>
        <v>0</v>
      </c>
      <c r="AN202" s="242">
        <f t="shared" ca="1" si="1895"/>
        <v>0</v>
      </c>
      <c r="AO202" s="242">
        <f t="shared" ca="1" si="1895"/>
        <v>0</v>
      </c>
      <c r="AP202" s="242">
        <f t="shared" ca="1" si="1895"/>
        <v>0</v>
      </c>
      <c r="AQ202" s="242">
        <f t="shared" ca="1" si="1895"/>
        <v>0</v>
      </c>
      <c r="AR202" s="242">
        <f t="shared" ca="1" si="1895"/>
        <v>0</v>
      </c>
      <c r="AS202" s="242">
        <f t="shared" ca="1" si="1895"/>
        <v>0</v>
      </c>
      <c r="AT202" s="242">
        <f t="shared" ca="1" si="1895"/>
        <v>0</v>
      </c>
      <c r="AU202" s="242">
        <f t="shared" ca="1" si="1895"/>
        <v>0</v>
      </c>
      <c r="AV202" s="242">
        <f t="shared" ca="1" si="1895"/>
        <v>0</v>
      </c>
      <c r="AW202" s="242">
        <f t="shared" ca="1" si="1895"/>
        <v>0</v>
      </c>
      <c r="AX202" s="242">
        <f t="shared" ca="1" si="1895"/>
        <v>0</v>
      </c>
      <c r="AY202" s="242">
        <f t="shared" ca="1" si="1895"/>
        <v>0</v>
      </c>
      <c r="AZ202" s="242">
        <f t="shared" ca="1" si="1895"/>
        <v>0</v>
      </c>
      <c r="BA202" s="242">
        <f t="shared" ca="1" si="1895"/>
        <v>0</v>
      </c>
      <c r="BB202" s="242">
        <f t="shared" ca="1" si="1895"/>
        <v>0</v>
      </c>
      <c r="BC202" s="242">
        <f t="shared" ca="1" si="1895"/>
        <v>0</v>
      </c>
      <c r="BD202" s="242">
        <f t="shared" ca="1" si="1895"/>
        <v>0</v>
      </c>
      <c r="BE202" s="242">
        <f t="shared" ca="1" si="1895"/>
        <v>0</v>
      </c>
      <c r="BF202" s="242">
        <f t="shared" ca="1" si="1895"/>
        <v>0</v>
      </c>
      <c r="BG202" s="242">
        <f t="shared" ca="1" si="1895"/>
        <v>0</v>
      </c>
      <c r="BH202" s="242">
        <f t="shared" ca="1" si="1895"/>
        <v>0</v>
      </c>
      <c r="BI202" s="242">
        <f t="shared" ca="1" si="1895"/>
        <v>0</v>
      </c>
      <c r="BJ202" s="242">
        <f t="shared" ca="1" si="1895"/>
        <v>0</v>
      </c>
      <c r="BK202" s="242">
        <f t="shared" ca="1" si="1895"/>
        <v>0</v>
      </c>
      <c r="BL202" s="242">
        <f t="shared" ca="1" si="1895"/>
        <v>0</v>
      </c>
      <c r="BM202" s="242">
        <f t="shared" ca="1" si="1895"/>
        <v>0</v>
      </c>
      <c r="BN202" s="242">
        <f t="shared" ca="1" si="1895"/>
        <v>0</v>
      </c>
      <c r="BO202" s="242">
        <f t="shared" ca="1" si="1895"/>
        <v>0</v>
      </c>
      <c r="BP202" s="242">
        <f t="shared" ca="1" si="1895"/>
        <v>0</v>
      </c>
      <c r="BQ202" s="242">
        <f t="shared" ca="1" si="1895"/>
        <v>0</v>
      </c>
      <c r="BR202" s="242">
        <f t="shared" ca="1" si="1895"/>
        <v>0</v>
      </c>
      <c r="BS202" s="242">
        <f t="shared" ref="BS202:BZ202" ca="1" si="1896">BS185-BS193+BS198+BS199</f>
        <v>0</v>
      </c>
      <c r="BT202" s="242">
        <f t="shared" ca="1" si="1896"/>
        <v>0</v>
      </c>
      <c r="BU202" s="242">
        <f t="shared" ca="1" si="1896"/>
        <v>0</v>
      </c>
      <c r="BV202" s="242">
        <f t="shared" ca="1" si="1896"/>
        <v>0</v>
      </c>
      <c r="BW202" s="242">
        <f t="shared" ca="1" si="1896"/>
        <v>0</v>
      </c>
      <c r="BX202" s="242">
        <f t="shared" ca="1" si="1896"/>
        <v>0</v>
      </c>
      <c r="BY202" s="242">
        <f t="shared" ca="1" si="1896"/>
        <v>0</v>
      </c>
      <c r="BZ202" s="242">
        <f t="shared" ca="1" si="1896"/>
        <v>0.20265108259191036</v>
      </c>
      <c r="CA202" s="242">
        <f t="shared" ref="CA202:EL202" ca="1" si="1897">CA185-CA193+CA198+CA199</f>
        <v>0.20265108555613551</v>
      </c>
      <c r="CB202" s="242">
        <f t="shared" ca="1" si="1897"/>
        <v>0.2026510876516113</v>
      </c>
      <c r="CC202" s="242">
        <f t="shared" ca="1" si="1897"/>
        <v>0.20265108876046725</v>
      </c>
      <c r="CD202" s="242">
        <f t="shared" ca="1" si="1897"/>
        <v>0.20265108877792953</v>
      </c>
      <c r="CE202" s="242">
        <f t="shared" ca="1" si="1897"/>
        <v>0.20265108763414899</v>
      </c>
      <c r="CF202" s="242">
        <f t="shared" ca="1" si="1897"/>
        <v>0.20265108518506167</v>
      </c>
      <c r="CG202" s="242">
        <f t="shared" ca="1" si="1897"/>
        <v>0.20265108135645277</v>
      </c>
      <c r="CH202" s="242">
        <f t="shared" ca="1" si="1897"/>
        <v>0.20265107601298951</v>
      </c>
      <c r="CI202" s="242">
        <f t="shared" ca="1" si="1897"/>
        <v>0.20265106902370461</v>
      </c>
      <c r="CJ202" s="242">
        <f t="shared" ca="1" si="1897"/>
        <v>0.20265106026199645</v>
      </c>
      <c r="CK202" s="242">
        <f t="shared" ca="1" si="1897"/>
        <v>2087591.9011473591</v>
      </c>
      <c r="CL202" s="242">
        <f t="shared" ca="1" si="1897"/>
        <v>0</v>
      </c>
      <c r="CM202" s="242">
        <f t="shared" ca="1" si="1897"/>
        <v>0</v>
      </c>
      <c r="CN202" s="242">
        <f t="shared" ca="1" si="1897"/>
        <v>0</v>
      </c>
      <c r="CO202" s="242">
        <f t="shared" ca="1" si="1897"/>
        <v>0</v>
      </c>
      <c r="CP202" s="242">
        <f t="shared" ca="1" si="1897"/>
        <v>0</v>
      </c>
      <c r="CQ202" s="242">
        <f t="shared" ca="1" si="1897"/>
        <v>0</v>
      </c>
      <c r="CR202" s="242">
        <f t="shared" ca="1" si="1897"/>
        <v>0</v>
      </c>
      <c r="CS202" s="242">
        <f t="shared" ca="1" si="1897"/>
        <v>0</v>
      </c>
      <c r="CT202" s="242">
        <f t="shared" ca="1" si="1897"/>
        <v>0</v>
      </c>
      <c r="CU202" s="242">
        <f t="shared" ca="1" si="1897"/>
        <v>0</v>
      </c>
      <c r="CV202" s="242">
        <f t="shared" ca="1" si="1897"/>
        <v>0</v>
      </c>
      <c r="CW202" s="242">
        <f t="shared" ca="1" si="1897"/>
        <v>0</v>
      </c>
      <c r="CX202" s="242">
        <f t="shared" ca="1" si="1897"/>
        <v>0</v>
      </c>
      <c r="CY202" s="242">
        <f t="shared" ca="1" si="1897"/>
        <v>0</v>
      </c>
      <c r="CZ202" s="242">
        <f t="shared" ca="1" si="1897"/>
        <v>0</v>
      </c>
      <c r="DA202" s="242">
        <f t="shared" ca="1" si="1897"/>
        <v>0</v>
      </c>
      <c r="DB202" s="242">
        <f t="shared" ca="1" si="1897"/>
        <v>0</v>
      </c>
      <c r="DC202" s="242">
        <f t="shared" ca="1" si="1897"/>
        <v>0</v>
      </c>
      <c r="DD202" s="242">
        <f t="shared" ca="1" si="1897"/>
        <v>0</v>
      </c>
      <c r="DE202" s="242">
        <f t="shared" ca="1" si="1897"/>
        <v>0</v>
      </c>
      <c r="DF202" s="242">
        <f t="shared" ca="1" si="1897"/>
        <v>0</v>
      </c>
      <c r="DG202" s="242">
        <f t="shared" ca="1" si="1897"/>
        <v>0</v>
      </c>
      <c r="DH202" s="242">
        <f t="shared" ca="1" si="1897"/>
        <v>0</v>
      </c>
      <c r="DI202" s="242">
        <f t="shared" ca="1" si="1897"/>
        <v>0</v>
      </c>
      <c r="DJ202" s="242">
        <f t="shared" ca="1" si="1897"/>
        <v>0</v>
      </c>
      <c r="DK202" s="242">
        <f t="shared" ca="1" si="1897"/>
        <v>0</v>
      </c>
      <c r="DL202" s="242">
        <f t="shared" ca="1" si="1897"/>
        <v>0</v>
      </c>
      <c r="DM202" s="242">
        <f t="shared" ca="1" si="1897"/>
        <v>0</v>
      </c>
      <c r="DN202" s="242">
        <f t="shared" ca="1" si="1897"/>
        <v>0</v>
      </c>
      <c r="DO202" s="242">
        <f t="shared" ca="1" si="1897"/>
        <v>0</v>
      </c>
      <c r="DP202" s="242">
        <f t="shared" ca="1" si="1897"/>
        <v>0</v>
      </c>
      <c r="DQ202" s="242">
        <f t="shared" ca="1" si="1897"/>
        <v>0</v>
      </c>
      <c r="DR202" s="242">
        <f t="shared" ca="1" si="1897"/>
        <v>0</v>
      </c>
      <c r="DS202" s="242">
        <f t="shared" ca="1" si="1897"/>
        <v>0</v>
      </c>
      <c r="DT202" s="242">
        <f t="shared" ca="1" si="1897"/>
        <v>0</v>
      </c>
      <c r="DU202" s="242">
        <f t="shared" ca="1" si="1897"/>
        <v>0</v>
      </c>
      <c r="DV202" s="242">
        <f t="shared" ca="1" si="1897"/>
        <v>0</v>
      </c>
      <c r="DW202" s="242">
        <f t="shared" ca="1" si="1897"/>
        <v>0</v>
      </c>
      <c r="DX202" s="242">
        <f t="shared" ca="1" si="1897"/>
        <v>0</v>
      </c>
      <c r="DY202" s="242">
        <f t="shared" ca="1" si="1897"/>
        <v>0</v>
      </c>
      <c r="DZ202" s="242">
        <f t="shared" ca="1" si="1897"/>
        <v>0</v>
      </c>
      <c r="EA202" s="242">
        <f t="shared" ca="1" si="1897"/>
        <v>0</v>
      </c>
      <c r="EB202" s="242">
        <f t="shared" ca="1" si="1897"/>
        <v>0</v>
      </c>
      <c r="EC202" s="242">
        <f t="shared" ca="1" si="1897"/>
        <v>0</v>
      </c>
      <c r="ED202" s="242">
        <f t="shared" ca="1" si="1897"/>
        <v>0</v>
      </c>
      <c r="EE202" s="242">
        <f t="shared" ca="1" si="1897"/>
        <v>0</v>
      </c>
      <c r="EF202" s="242">
        <f t="shared" ca="1" si="1897"/>
        <v>0</v>
      </c>
      <c r="EG202" s="242">
        <f t="shared" ca="1" si="1897"/>
        <v>0</v>
      </c>
      <c r="EH202" s="242">
        <f t="shared" ca="1" si="1897"/>
        <v>0</v>
      </c>
      <c r="EI202" s="242">
        <f t="shared" ca="1" si="1897"/>
        <v>0</v>
      </c>
      <c r="EJ202" s="242">
        <f t="shared" ca="1" si="1897"/>
        <v>0</v>
      </c>
      <c r="EK202" s="242">
        <f t="shared" ca="1" si="1897"/>
        <v>0</v>
      </c>
      <c r="EL202" s="242">
        <f t="shared" ca="1" si="1897"/>
        <v>0</v>
      </c>
      <c r="EM202" s="242">
        <f t="shared" ref="EM202:ET202" ca="1" si="1898">EM185-EM193+EM198+EM199</f>
        <v>0</v>
      </c>
      <c r="EN202" s="242">
        <f t="shared" ca="1" si="1898"/>
        <v>0</v>
      </c>
      <c r="EO202" s="242">
        <f t="shared" ca="1" si="1898"/>
        <v>0</v>
      </c>
      <c r="EP202" s="242">
        <f t="shared" ca="1" si="1898"/>
        <v>0</v>
      </c>
      <c r="EQ202" s="242">
        <f t="shared" ca="1" si="1898"/>
        <v>0</v>
      </c>
      <c r="ER202" s="242">
        <f t="shared" ca="1" si="1898"/>
        <v>0</v>
      </c>
      <c r="ES202" s="242">
        <f t="shared" ca="1" si="1898"/>
        <v>0</v>
      </c>
      <c r="ET202" s="242">
        <f t="shared" ca="1" si="1898"/>
        <v>0</v>
      </c>
    </row>
    <row r="203" spans="2:150" x14ac:dyDescent="0.2">
      <c r="B203" t="s">
        <v>234</v>
      </c>
      <c r="D203" s="242">
        <f ca="1">SUM(F203:ET203)</f>
        <v>10450624.687681213</v>
      </c>
      <c r="F203" s="242">
        <f ca="1">F187+F200</f>
        <v>0</v>
      </c>
      <c r="G203" s="242">
        <f t="shared" ref="G203:BR203" ca="1" si="1899">G187+G200</f>
        <v>0</v>
      </c>
      <c r="H203" s="242">
        <f t="shared" ca="1" si="1899"/>
        <v>0</v>
      </c>
      <c r="I203" s="242">
        <f t="shared" ca="1" si="1899"/>
        <v>0</v>
      </c>
      <c r="J203" s="242">
        <f t="shared" ca="1" si="1899"/>
        <v>0</v>
      </c>
      <c r="K203" s="242">
        <f t="shared" ca="1" si="1899"/>
        <v>0</v>
      </c>
      <c r="L203" s="242">
        <f t="shared" ca="1" si="1899"/>
        <v>0</v>
      </c>
      <c r="M203" s="242">
        <f t="shared" ca="1" si="1899"/>
        <v>0</v>
      </c>
      <c r="N203" s="242">
        <f t="shared" ca="1" si="1899"/>
        <v>0</v>
      </c>
      <c r="O203" s="242">
        <f t="shared" ca="1" si="1899"/>
        <v>0</v>
      </c>
      <c r="P203" s="242">
        <f t="shared" ca="1" si="1899"/>
        <v>0</v>
      </c>
      <c r="Q203" s="242">
        <f t="shared" ca="1" si="1899"/>
        <v>0</v>
      </c>
      <c r="R203" s="242">
        <f t="shared" ca="1" si="1899"/>
        <v>0</v>
      </c>
      <c r="S203" s="242">
        <f t="shared" ca="1" si="1899"/>
        <v>0</v>
      </c>
      <c r="T203" s="242">
        <f t="shared" ca="1" si="1899"/>
        <v>0</v>
      </c>
      <c r="U203" s="242">
        <f t="shared" ca="1" si="1899"/>
        <v>0</v>
      </c>
      <c r="V203" s="242">
        <f t="shared" ca="1" si="1899"/>
        <v>0</v>
      </c>
      <c r="W203" s="242">
        <f t="shared" ca="1" si="1899"/>
        <v>0</v>
      </c>
      <c r="X203" s="242">
        <f t="shared" ca="1" si="1899"/>
        <v>0</v>
      </c>
      <c r="Y203" s="242">
        <f t="shared" ca="1" si="1899"/>
        <v>0</v>
      </c>
      <c r="Z203" s="242">
        <f t="shared" ca="1" si="1899"/>
        <v>0</v>
      </c>
      <c r="AA203" s="242">
        <f t="shared" ca="1" si="1899"/>
        <v>0</v>
      </c>
      <c r="AB203" s="242">
        <f t="shared" ca="1" si="1899"/>
        <v>0</v>
      </c>
      <c r="AC203" s="242">
        <f t="shared" ca="1" si="1899"/>
        <v>0</v>
      </c>
      <c r="AD203" s="242">
        <f t="shared" ca="1" si="1899"/>
        <v>0</v>
      </c>
      <c r="AE203" s="242">
        <f t="shared" ca="1" si="1899"/>
        <v>0</v>
      </c>
      <c r="AF203" s="242">
        <f t="shared" ca="1" si="1899"/>
        <v>0</v>
      </c>
      <c r="AG203" s="242">
        <f t="shared" ca="1" si="1899"/>
        <v>0</v>
      </c>
      <c r="AH203" s="242">
        <f t="shared" ca="1" si="1899"/>
        <v>0</v>
      </c>
      <c r="AI203" s="242">
        <f t="shared" ca="1" si="1899"/>
        <v>0</v>
      </c>
      <c r="AJ203" s="242">
        <f t="shared" ca="1" si="1899"/>
        <v>0</v>
      </c>
      <c r="AK203" s="242">
        <f t="shared" ca="1" si="1899"/>
        <v>0</v>
      </c>
      <c r="AL203" s="242">
        <f t="shared" ca="1" si="1899"/>
        <v>0</v>
      </c>
      <c r="AM203" s="242">
        <f t="shared" ca="1" si="1899"/>
        <v>0</v>
      </c>
      <c r="AN203" s="242">
        <f t="shared" ca="1" si="1899"/>
        <v>0</v>
      </c>
      <c r="AO203" s="242">
        <f t="shared" ca="1" si="1899"/>
        <v>0</v>
      </c>
      <c r="AP203" s="242">
        <f t="shared" ca="1" si="1899"/>
        <v>0</v>
      </c>
      <c r="AQ203" s="242">
        <f t="shared" ca="1" si="1899"/>
        <v>0</v>
      </c>
      <c r="AR203" s="242">
        <f t="shared" ca="1" si="1899"/>
        <v>0</v>
      </c>
      <c r="AS203" s="242">
        <f t="shared" ca="1" si="1899"/>
        <v>0</v>
      </c>
      <c r="AT203" s="242">
        <f t="shared" ca="1" si="1899"/>
        <v>0</v>
      </c>
      <c r="AU203" s="242">
        <f t="shared" ca="1" si="1899"/>
        <v>0</v>
      </c>
      <c r="AV203" s="242">
        <f t="shared" ca="1" si="1899"/>
        <v>0</v>
      </c>
      <c r="AW203" s="242">
        <f t="shared" ca="1" si="1899"/>
        <v>0</v>
      </c>
      <c r="AX203" s="242">
        <f t="shared" ca="1" si="1899"/>
        <v>0</v>
      </c>
      <c r="AY203" s="242">
        <f t="shared" ca="1" si="1899"/>
        <v>0</v>
      </c>
      <c r="AZ203" s="242">
        <f t="shared" ca="1" si="1899"/>
        <v>0</v>
      </c>
      <c r="BA203" s="242">
        <f t="shared" ca="1" si="1899"/>
        <v>0</v>
      </c>
      <c r="BB203" s="242">
        <f t="shared" ca="1" si="1899"/>
        <v>0</v>
      </c>
      <c r="BC203" s="242">
        <f t="shared" ca="1" si="1899"/>
        <v>0</v>
      </c>
      <c r="BD203" s="242">
        <f t="shared" ca="1" si="1899"/>
        <v>0</v>
      </c>
      <c r="BE203" s="242">
        <f t="shared" ca="1" si="1899"/>
        <v>0</v>
      </c>
      <c r="BF203" s="242">
        <f t="shared" ca="1" si="1899"/>
        <v>0</v>
      </c>
      <c r="BG203" s="242">
        <f t="shared" ca="1" si="1899"/>
        <v>0</v>
      </c>
      <c r="BH203" s="242">
        <f t="shared" ca="1" si="1899"/>
        <v>0</v>
      </c>
      <c r="BI203" s="242">
        <f t="shared" ca="1" si="1899"/>
        <v>0</v>
      </c>
      <c r="BJ203" s="242">
        <f t="shared" ca="1" si="1899"/>
        <v>0</v>
      </c>
      <c r="BK203" s="242">
        <f t="shared" ca="1" si="1899"/>
        <v>0</v>
      </c>
      <c r="BL203" s="242">
        <f t="shared" ca="1" si="1899"/>
        <v>0</v>
      </c>
      <c r="BM203" s="242">
        <f t="shared" ca="1" si="1899"/>
        <v>0</v>
      </c>
      <c r="BN203" s="242">
        <f t="shared" ca="1" si="1899"/>
        <v>0</v>
      </c>
      <c r="BO203" s="242">
        <f t="shared" ca="1" si="1899"/>
        <v>0</v>
      </c>
      <c r="BP203" s="242">
        <f t="shared" ca="1" si="1899"/>
        <v>0</v>
      </c>
      <c r="BQ203" s="242">
        <f t="shared" ca="1" si="1899"/>
        <v>0</v>
      </c>
      <c r="BR203" s="242">
        <f t="shared" ca="1" si="1899"/>
        <v>0</v>
      </c>
      <c r="BS203" s="242">
        <f t="shared" ref="BS203:BZ203" ca="1" si="1900">BS187+BS200</f>
        <v>0</v>
      </c>
      <c r="BT203" s="242">
        <f t="shared" ca="1" si="1900"/>
        <v>0</v>
      </c>
      <c r="BU203" s="242">
        <f t="shared" ca="1" si="1900"/>
        <v>0</v>
      </c>
      <c r="BV203" s="242">
        <f t="shared" ca="1" si="1900"/>
        <v>0</v>
      </c>
      <c r="BW203" s="242">
        <f t="shared" ca="1" si="1900"/>
        <v>0</v>
      </c>
      <c r="BX203" s="242">
        <f t="shared" ca="1" si="1900"/>
        <v>0</v>
      </c>
      <c r="BY203" s="242">
        <f t="shared" ca="1" si="1900"/>
        <v>0</v>
      </c>
      <c r="BZ203" s="242">
        <f t="shared" ca="1" si="1900"/>
        <v>1.1483561346874922</v>
      </c>
      <c r="CA203" s="242">
        <f t="shared" ref="CA203:EL203" ca="1" si="1901">CA187+CA200</f>
        <v>1.1483561514847678</v>
      </c>
      <c r="CB203" s="242">
        <f t="shared" ca="1" si="1901"/>
        <v>1.1483561633591306</v>
      </c>
      <c r="CC203" s="242">
        <f t="shared" ca="1" si="1901"/>
        <v>1.1483561696426476</v>
      </c>
      <c r="CD203" s="242">
        <f t="shared" ca="1" si="1901"/>
        <v>1.1483561697416007</v>
      </c>
      <c r="CE203" s="242">
        <f t="shared" ca="1" si="1901"/>
        <v>1.1483561632601778</v>
      </c>
      <c r="CF203" s="242">
        <f t="shared" ca="1" si="1901"/>
        <v>1.148356149382016</v>
      </c>
      <c r="CG203" s="242">
        <f t="shared" ca="1" si="1901"/>
        <v>1.1483561276865657</v>
      </c>
      <c r="CH203" s="242">
        <f t="shared" ca="1" si="1901"/>
        <v>1.1483560974069404</v>
      </c>
      <c r="CI203" s="242">
        <f t="shared" ca="1" si="1901"/>
        <v>1.1483560578009928</v>
      </c>
      <c r="CJ203" s="242">
        <f t="shared" ca="1" si="1901"/>
        <v>1.1483560081513133</v>
      </c>
      <c r="CK203" s="242">
        <f t="shared" ca="1" si="1901"/>
        <v>10450612.055732155</v>
      </c>
      <c r="CL203" s="242">
        <f t="shared" ca="1" si="1901"/>
        <v>0</v>
      </c>
      <c r="CM203" s="242">
        <f t="shared" ca="1" si="1901"/>
        <v>0</v>
      </c>
      <c r="CN203" s="242">
        <f t="shared" ca="1" si="1901"/>
        <v>0</v>
      </c>
      <c r="CO203" s="242">
        <f t="shared" ca="1" si="1901"/>
        <v>0</v>
      </c>
      <c r="CP203" s="242">
        <f t="shared" ca="1" si="1901"/>
        <v>0</v>
      </c>
      <c r="CQ203" s="242">
        <f t="shared" ca="1" si="1901"/>
        <v>0</v>
      </c>
      <c r="CR203" s="242">
        <f t="shared" ca="1" si="1901"/>
        <v>0</v>
      </c>
      <c r="CS203" s="242">
        <f t="shared" ca="1" si="1901"/>
        <v>0</v>
      </c>
      <c r="CT203" s="242">
        <f t="shared" ca="1" si="1901"/>
        <v>0</v>
      </c>
      <c r="CU203" s="242">
        <f t="shared" ca="1" si="1901"/>
        <v>0</v>
      </c>
      <c r="CV203" s="242">
        <f t="shared" ca="1" si="1901"/>
        <v>0</v>
      </c>
      <c r="CW203" s="242">
        <f t="shared" ca="1" si="1901"/>
        <v>0</v>
      </c>
      <c r="CX203" s="242">
        <f t="shared" ca="1" si="1901"/>
        <v>0</v>
      </c>
      <c r="CY203" s="242">
        <f t="shared" ca="1" si="1901"/>
        <v>0</v>
      </c>
      <c r="CZ203" s="242">
        <f t="shared" ca="1" si="1901"/>
        <v>0</v>
      </c>
      <c r="DA203" s="242">
        <f t="shared" ca="1" si="1901"/>
        <v>0</v>
      </c>
      <c r="DB203" s="242">
        <f t="shared" ca="1" si="1901"/>
        <v>0</v>
      </c>
      <c r="DC203" s="242">
        <f t="shared" ca="1" si="1901"/>
        <v>0</v>
      </c>
      <c r="DD203" s="242">
        <f t="shared" ca="1" si="1901"/>
        <v>0</v>
      </c>
      <c r="DE203" s="242">
        <f t="shared" ca="1" si="1901"/>
        <v>0</v>
      </c>
      <c r="DF203" s="242">
        <f t="shared" ca="1" si="1901"/>
        <v>0</v>
      </c>
      <c r="DG203" s="242">
        <f t="shared" ca="1" si="1901"/>
        <v>0</v>
      </c>
      <c r="DH203" s="242">
        <f t="shared" ca="1" si="1901"/>
        <v>0</v>
      </c>
      <c r="DI203" s="242">
        <f t="shared" ca="1" si="1901"/>
        <v>0</v>
      </c>
      <c r="DJ203" s="242">
        <f t="shared" ca="1" si="1901"/>
        <v>0</v>
      </c>
      <c r="DK203" s="242">
        <f t="shared" ca="1" si="1901"/>
        <v>0</v>
      </c>
      <c r="DL203" s="242">
        <f t="shared" ca="1" si="1901"/>
        <v>0</v>
      </c>
      <c r="DM203" s="242">
        <f t="shared" ca="1" si="1901"/>
        <v>0</v>
      </c>
      <c r="DN203" s="242">
        <f t="shared" ca="1" si="1901"/>
        <v>0</v>
      </c>
      <c r="DO203" s="242">
        <f t="shared" ca="1" si="1901"/>
        <v>0</v>
      </c>
      <c r="DP203" s="242">
        <f t="shared" ca="1" si="1901"/>
        <v>0</v>
      </c>
      <c r="DQ203" s="242">
        <f t="shared" ca="1" si="1901"/>
        <v>0</v>
      </c>
      <c r="DR203" s="242">
        <f t="shared" ca="1" si="1901"/>
        <v>0</v>
      </c>
      <c r="DS203" s="242">
        <f t="shared" ca="1" si="1901"/>
        <v>0</v>
      </c>
      <c r="DT203" s="242">
        <f t="shared" ca="1" si="1901"/>
        <v>0</v>
      </c>
      <c r="DU203" s="242">
        <f t="shared" ca="1" si="1901"/>
        <v>0</v>
      </c>
      <c r="DV203" s="242">
        <f t="shared" ca="1" si="1901"/>
        <v>0</v>
      </c>
      <c r="DW203" s="242">
        <f t="shared" ca="1" si="1901"/>
        <v>0</v>
      </c>
      <c r="DX203" s="242">
        <f t="shared" ca="1" si="1901"/>
        <v>0</v>
      </c>
      <c r="DY203" s="242">
        <f t="shared" ca="1" si="1901"/>
        <v>0</v>
      </c>
      <c r="DZ203" s="242">
        <f t="shared" ca="1" si="1901"/>
        <v>0</v>
      </c>
      <c r="EA203" s="242">
        <f t="shared" ca="1" si="1901"/>
        <v>0</v>
      </c>
      <c r="EB203" s="242">
        <f t="shared" ca="1" si="1901"/>
        <v>0</v>
      </c>
      <c r="EC203" s="242">
        <f t="shared" ca="1" si="1901"/>
        <v>0</v>
      </c>
      <c r="ED203" s="242">
        <f t="shared" ca="1" si="1901"/>
        <v>0</v>
      </c>
      <c r="EE203" s="242">
        <f t="shared" ca="1" si="1901"/>
        <v>0</v>
      </c>
      <c r="EF203" s="242">
        <f t="shared" ca="1" si="1901"/>
        <v>0</v>
      </c>
      <c r="EG203" s="242">
        <f t="shared" ca="1" si="1901"/>
        <v>0</v>
      </c>
      <c r="EH203" s="242">
        <f t="shared" ca="1" si="1901"/>
        <v>0</v>
      </c>
      <c r="EI203" s="242">
        <f t="shared" ca="1" si="1901"/>
        <v>0</v>
      </c>
      <c r="EJ203" s="242">
        <f t="shared" ca="1" si="1901"/>
        <v>0</v>
      </c>
      <c r="EK203" s="242">
        <f t="shared" ca="1" si="1901"/>
        <v>0</v>
      </c>
      <c r="EL203" s="242">
        <f t="shared" ca="1" si="1901"/>
        <v>0</v>
      </c>
      <c r="EM203" s="242">
        <f t="shared" ref="EM203:ET203" ca="1" si="1902">EM187+EM200</f>
        <v>0</v>
      </c>
      <c r="EN203" s="242">
        <f t="shared" ca="1" si="1902"/>
        <v>0</v>
      </c>
      <c r="EO203" s="242">
        <f t="shared" ca="1" si="1902"/>
        <v>0</v>
      </c>
      <c r="EP203" s="242">
        <f t="shared" ca="1" si="1902"/>
        <v>0</v>
      </c>
      <c r="EQ203" s="242">
        <f t="shared" ca="1" si="1902"/>
        <v>0</v>
      </c>
      <c r="ER203" s="242">
        <f t="shared" ca="1" si="1902"/>
        <v>0</v>
      </c>
      <c r="ES203" s="242">
        <f t="shared" ca="1" si="1902"/>
        <v>0</v>
      </c>
      <c r="ET203" s="242">
        <f t="shared" ca="1" si="1902"/>
        <v>0</v>
      </c>
    </row>
    <row r="204" spans="2:150" x14ac:dyDescent="0.2"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spans="2:150" s="83" customFormat="1" x14ac:dyDescent="0.2">
      <c r="B205" s="83" t="s">
        <v>227</v>
      </c>
      <c r="D205" s="254">
        <f t="shared" ref="D205:D206" ca="1" si="1903">SUM(F205:ET205)</f>
        <v>955689.10002424987</v>
      </c>
      <c r="F205" s="254">
        <f ca="1">-F184+F202</f>
        <v>-303236.37896879658</v>
      </c>
      <c r="G205" s="254">
        <f t="shared" ref="G205:BR205" ca="1" si="1904">-G184+G202</f>
        <v>-19961.378968796609</v>
      </c>
      <c r="H205" s="254">
        <f t="shared" ca="1" si="1904"/>
        <v>-19961.378968796609</v>
      </c>
      <c r="I205" s="254">
        <f t="shared" ca="1" si="1904"/>
        <v>-19961.378968796609</v>
      </c>
      <c r="J205" s="254">
        <f t="shared" ca="1" si="1904"/>
        <v>-19961.378968796609</v>
      </c>
      <c r="K205" s="254">
        <f t="shared" ca="1" si="1904"/>
        <v>-19961.378968796609</v>
      </c>
      <c r="L205" s="254">
        <f t="shared" ca="1" si="1904"/>
        <v>-19961.378968796609</v>
      </c>
      <c r="M205" s="254">
        <f t="shared" ca="1" si="1904"/>
        <v>-19961.378968796609</v>
      </c>
      <c r="N205" s="254">
        <f t="shared" ca="1" si="1904"/>
        <v>-19961.378968796609</v>
      </c>
      <c r="O205" s="254">
        <f t="shared" ca="1" si="1904"/>
        <v>-19961.378968796609</v>
      </c>
      <c r="P205" s="254">
        <f t="shared" ca="1" si="1904"/>
        <v>-19961.378968796609</v>
      </c>
      <c r="Q205" s="254">
        <f t="shared" ca="1" si="1904"/>
        <v>-19961.378968796609</v>
      </c>
      <c r="R205" s="254">
        <f t="shared" ca="1" si="1904"/>
        <v>-19961.378968796609</v>
      </c>
      <c r="S205" s="254">
        <f t="shared" ca="1" si="1904"/>
        <v>-19961.378968796609</v>
      </c>
      <c r="T205" s="254">
        <f t="shared" ca="1" si="1904"/>
        <v>-19961.378968796609</v>
      </c>
      <c r="U205" s="254">
        <f t="shared" ca="1" si="1904"/>
        <v>-166357.62896879661</v>
      </c>
      <c r="V205" s="254">
        <f t="shared" ca="1" si="1904"/>
        <v>-166357.62896879661</v>
      </c>
      <c r="W205" s="254">
        <f t="shared" ca="1" si="1904"/>
        <v>-166357.62896879661</v>
      </c>
      <c r="X205" s="254">
        <f t="shared" ca="1" si="1904"/>
        <v>-50136.458849745104</v>
      </c>
      <c r="Y205" s="254">
        <f t="shared" ca="1" si="1904"/>
        <v>0</v>
      </c>
      <c r="Z205" s="254">
        <f t="shared" ca="1" si="1904"/>
        <v>0</v>
      </c>
      <c r="AA205" s="254">
        <f t="shared" ca="1" si="1904"/>
        <v>0</v>
      </c>
      <c r="AB205" s="254">
        <f t="shared" ca="1" si="1904"/>
        <v>0</v>
      </c>
      <c r="AC205" s="254">
        <f t="shared" ca="1" si="1904"/>
        <v>0</v>
      </c>
      <c r="AD205" s="254">
        <f t="shared" ca="1" si="1904"/>
        <v>0</v>
      </c>
      <c r="AE205" s="254">
        <f t="shared" ca="1" si="1904"/>
        <v>0</v>
      </c>
      <c r="AF205" s="254">
        <f t="shared" ca="1" si="1904"/>
        <v>0</v>
      </c>
      <c r="AG205" s="254">
        <f t="shared" ca="1" si="1904"/>
        <v>0</v>
      </c>
      <c r="AH205" s="254">
        <f t="shared" ca="1" si="1904"/>
        <v>0</v>
      </c>
      <c r="AI205" s="254">
        <f t="shared" ca="1" si="1904"/>
        <v>0</v>
      </c>
      <c r="AJ205" s="254">
        <f t="shared" ca="1" si="1904"/>
        <v>0</v>
      </c>
      <c r="AK205" s="254">
        <f t="shared" ca="1" si="1904"/>
        <v>0</v>
      </c>
      <c r="AL205" s="254">
        <f t="shared" ca="1" si="1904"/>
        <v>0</v>
      </c>
      <c r="AM205" s="254">
        <f t="shared" ca="1" si="1904"/>
        <v>0</v>
      </c>
      <c r="AN205" s="254">
        <f t="shared" ca="1" si="1904"/>
        <v>0</v>
      </c>
      <c r="AO205" s="254">
        <f t="shared" ca="1" si="1904"/>
        <v>0</v>
      </c>
      <c r="AP205" s="254">
        <f t="shared" ca="1" si="1904"/>
        <v>0</v>
      </c>
      <c r="AQ205" s="254">
        <f t="shared" ca="1" si="1904"/>
        <v>0</v>
      </c>
      <c r="AR205" s="254">
        <f t="shared" ca="1" si="1904"/>
        <v>0</v>
      </c>
      <c r="AS205" s="254">
        <f t="shared" ca="1" si="1904"/>
        <v>0</v>
      </c>
      <c r="AT205" s="254">
        <f t="shared" ca="1" si="1904"/>
        <v>0</v>
      </c>
      <c r="AU205" s="254">
        <f t="shared" ca="1" si="1904"/>
        <v>0</v>
      </c>
      <c r="AV205" s="254">
        <f t="shared" ca="1" si="1904"/>
        <v>0</v>
      </c>
      <c r="AW205" s="254">
        <f t="shared" ca="1" si="1904"/>
        <v>0</v>
      </c>
      <c r="AX205" s="254">
        <f t="shared" ca="1" si="1904"/>
        <v>0</v>
      </c>
      <c r="AY205" s="254">
        <f t="shared" ca="1" si="1904"/>
        <v>0</v>
      </c>
      <c r="AZ205" s="254">
        <f t="shared" ca="1" si="1904"/>
        <v>0</v>
      </c>
      <c r="BA205" s="254">
        <f t="shared" ca="1" si="1904"/>
        <v>0</v>
      </c>
      <c r="BB205" s="254">
        <f t="shared" ca="1" si="1904"/>
        <v>0</v>
      </c>
      <c r="BC205" s="254">
        <f t="shared" ca="1" si="1904"/>
        <v>0</v>
      </c>
      <c r="BD205" s="254">
        <f t="shared" ca="1" si="1904"/>
        <v>0</v>
      </c>
      <c r="BE205" s="254">
        <f t="shared" ca="1" si="1904"/>
        <v>0</v>
      </c>
      <c r="BF205" s="254">
        <f t="shared" ca="1" si="1904"/>
        <v>0</v>
      </c>
      <c r="BG205" s="254">
        <f t="shared" ca="1" si="1904"/>
        <v>0</v>
      </c>
      <c r="BH205" s="254">
        <f t="shared" ca="1" si="1904"/>
        <v>0</v>
      </c>
      <c r="BI205" s="254">
        <f t="shared" ca="1" si="1904"/>
        <v>0</v>
      </c>
      <c r="BJ205" s="254">
        <f t="shared" ca="1" si="1904"/>
        <v>0</v>
      </c>
      <c r="BK205" s="254">
        <f t="shared" ca="1" si="1904"/>
        <v>0</v>
      </c>
      <c r="BL205" s="254">
        <f t="shared" ca="1" si="1904"/>
        <v>0</v>
      </c>
      <c r="BM205" s="254">
        <f t="shared" ca="1" si="1904"/>
        <v>0</v>
      </c>
      <c r="BN205" s="254">
        <f t="shared" ca="1" si="1904"/>
        <v>0</v>
      </c>
      <c r="BO205" s="254">
        <f t="shared" ca="1" si="1904"/>
        <v>0</v>
      </c>
      <c r="BP205" s="254">
        <f t="shared" ca="1" si="1904"/>
        <v>0</v>
      </c>
      <c r="BQ205" s="254">
        <f t="shared" ca="1" si="1904"/>
        <v>0</v>
      </c>
      <c r="BR205" s="254">
        <f t="shared" ca="1" si="1904"/>
        <v>0</v>
      </c>
      <c r="BS205" s="254">
        <f t="shared" ref="BS205:BZ205" ca="1" si="1905">-BS184+BS202</f>
        <v>0</v>
      </c>
      <c r="BT205" s="254">
        <f t="shared" ca="1" si="1905"/>
        <v>0</v>
      </c>
      <c r="BU205" s="254">
        <f t="shared" ca="1" si="1905"/>
        <v>0</v>
      </c>
      <c r="BV205" s="254">
        <f t="shared" ca="1" si="1905"/>
        <v>0</v>
      </c>
      <c r="BW205" s="254">
        <f t="shared" ca="1" si="1905"/>
        <v>0</v>
      </c>
      <c r="BX205" s="254">
        <f t="shared" ca="1" si="1905"/>
        <v>0</v>
      </c>
      <c r="BY205" s="254">
        <f t="shared" ca="1" si="1905"/>
        <v>0</v>
      </c>
      <c r="BZ205" s="254">
        <f t="shared" ca="1" si="1905"/>
        <v>0.20265108259191036</v>
      </c>
      <c r="CA205" s="254">
        <f t="shared" ref="CA205:EL205" ca="1" si="1906">-CA184+CA202</f>
        <v>0.20265108555613551</v>
      </c>
      <c r="CB205" s="254">
        <f t="shared" ca="1" si="1906"/>
        <v>0.2026510876516113</v>
      </c>
      <c r="CC205" s="254">
        <f t="shared" ca="1" si="1906"/>
        <v>0.20265108876046725</v>
      </c>
      <c r="CD205" s="254">
        <f t="shared" ca="1" si="1906"/>
        <v>0.20265108877792953</v>
      </c>
      <c r="CE205" s="254">
        <f t="shared" ca="1" si="1906"/>
        <v>0.20265108763414899</v>
      </c>
      <c r="CF205" s="254">
        <f t="shared" ca="1" si="1906"/>
        <v>0.20265108518506167</v>
      </c>
      <c r="CG205" s="254">
        <f t="shared" ca="1" si="1906"/>
        <v>0.20265108135645277</v>
      </c>
      <c r="CH205" s="254">
        <f t="shared" ca="1" si="1906"/>
        <v>0.20265107601298951</v>
      </c>
      <c r="CI205" s="254">
        <f t="shared" ca="1" si="1906"/>
        <v>0.20265106902370461</v>
      </c>
      <c r="CJ205" s="254">
        <f t="shared" ca="1" si="1906"/>
        <v>0.20265106026199645</v>
      </c>
      <c r="CK205" s="254">
        <f t="shared" ca="1" si="1906"/>
        <v>2087591.9011473591</v>
      </c>
      <c r="CL205" s="254">
        <f t="shared" ca="1" si="1906"/>
        <v>0</v>
      </c>
      <c r="CM205" s="254">
        <f t="shared" ca="1" si="1906"/>
        <v>0</v>
      </c>
      <c r="CN205" s="254">
        <f t="shared" ca="1" si="1906"/>
        <v>0</v>
      </c>
      <c r="CO205" s="254">
        <f t="shared" ca="1" si="1906"/>
        <v>0</v>
      </c>
      <c r="CP205" s="254">
        <f t="shared" ca="1" si="1906"/>
        <v>0</v>
      </c>
      <c r="CQ205" s="254">
        <f t="shared" ca="1" si="1906"/>
        <v>0</v>
      </c>
      <c r="CR205" s="254">
        <f t="shared" ca="1" si="1906"/>
        <v>0</v>
      </c>
      <c r="CS205" s="254">
        <f t="shared" ca="1" si="1906"/>
        <v>0</v>
      </c>
      <c r="CT205" s="254">
        <f t="shared" ca="1" si="1906"/>
        <v>0</v>
      </c>
      <c r="CU205" s="254">
        <f t="shared" ca="1" si="1906"/>
        <v>0</v>
      </c>
      <c r="CV205" s="254">
        <f t="shared" ca="1" si="1906"/>
        <v>0</v>
      </c>
      <c r="CW205" s="254">
        <f t="shared" ca="1" si="1906"/>
        <v>0</v>
      </c>
      <c r="CX205" s="254">
        <f t="shared" ca="1" si="1906"/>
        <v>0</v>
      </c>
      <c r="CY205" s="254">
        <f t="shared" ca="1" si="1906"/>
        <v>0</v>
      </c>
      <c r="CZ205" s="254">
        <f t="shared" ca="1" si="1906"/>
        <v>0</v>
      </c>
      <c r="DA205" s="254">
        <f t="shared" ca="1" si="1906"/>
        <v>0</v>
      </c>
      <c r="DB205" s="254">
        <f t="shared" ca="1" si="1906"/>
        <v>0</v>
      </c>
      <c r="DC205" s="254">
        <f t="shared" ca="1" si="1906"/>
        <v>0</v>
      </c>
      <c r="DD205" s="254">
        <f t="shared" ca="1" si="1906"/>
        <v>0</v>
      </c>
      <c r="DE205" s="254">
        <f t="shared" ca="1" si="1906"/>
        <v>0</v>
      </c>
      <c r="DF205" s="254">
        <f t="shared" ca="1" si="1906"/>
        <v>0</v>
      </c>
      <c r="DG205" s="254">
        <f t="shared" ca="1" si="1906"/>
        <v>0</v>
      </c>
      <c r="DH205" s="254">
        <f t="shared" ca="1" si="1906"/>
        <v>0</v>
      </c>
      <c r="DI205" s="254">
        <f t="shared" ca="1" si="1906"/>
        <v>0</v>
      </c>
      <c r="DJ205" s="254">
        <f t="shared" ca="1" si="1906"/>
        <v>0</v>
      </c>
      <c r="DK205" s="254">
        <f t="shared" ca="1" si="1906"/>
        <v>0</v>
      </c>
      <c r="DL205" s="254">
        <f t="shared" ca="1" si="1906"/>
        <v>0</v>
      </c>
      <c r="DM205" s="254">
        <f t="shared" ca="1" si="1906"/>
        <v>0</v>
      </c>
      <c r="DN205" s="254">
        <f t="shared" ca="1" si="1906"/>
        <v>0</v>
      </c>
      <c r="DO205" s="254">
        <f t="shared" ca="1" si="1906"/>
        <v>0</v>
      </c>
      <c r="DP205" s="254">
        <f t="shared" ca="1" si="1906"/>
        <v>0</v>
      </c>
      <c r="DQ205" s="254">
        <f t="shared" ca="1" si="1906"/>
        <v>0</v>
      </c>
      <c r="DR205" s="254">
        <f t="shared" ca="1" si="1906"/>
        <v>0</v>
      </c>
      <c r="DS205" s="254">
        <f t="shared" ca="1" si="1906"/>
        <v>0</v>
      </c>
      <c r="DT205" s="254">
        <f t="shared" ca="1" si="1906"/>
        <v>0</v>
      </c>
      <c r="DU205" s="254">
        <f t="shared" ca="1" si="1906"/>
        <v>0</v>
      </c>
      <c r="DV205" s="254">
        <f t="shared" ca="1" si="1906"/>
        <v>0</v>
      </c>
      <c r="DW205" s="254">
        <f t="shared" ca="1" si="1906"/>
        <v>0</v>
      </c>
      <c r="DX205" s="254">
        <f t="shared" ca="1" si="1906"/>
        <v>0</v>
      </c>
      <c r="DY205" s="254">
        <f t="shared" ca="1" si="1906"/>
        <v>0</v>
      </c>
      <c r="DZ205" s="254">
        <f t="shared" ca="1" si="1906"/>
        <v>0</v>
      </c>
      <c r="EA205" s="254">
        <f t="shared" ca="1" si="1906"/>
        <v>0</v>
      </c>
      <c r="EB205" s="254">
        <f t="shared" ca="1" si="1906"/>
        <v>0</v>
      </c>
      <c r="EC205" s="254">
        <f t="shared" ca="1" si="1906"/>
        <v>0</v>
      </c>
      <c r="ED205" s="254">
        <f t="shared" ca="1" si="1906"/>
        <v>0</v>
      </c>
      <c r="EE205" s="254">
        <f t="shared" ca="1" si="1906"/>
        <v>0</v>
      </c>
      <c r="EF205" s="254">
        <f t="shared" ca="1" si="1906"/>
        <v>0</v>
      </c>
      <c r="EG205" s="254">
        <f t="shared" ca="1" si="1906"/>
        <v>0</v>
      </c>
      <c r="EH205" s="254">
        <f t="shared" ca="1" si="1906"/>
        <v>0</v>
      </c>
      <c r="EI205" s="254">
        <f t="shared" ca="1" si="1906"/>
        <v>0</v>
      </c>
      <c r="EJ205" s="254">
        <f t="shared" ca="1" si="1906"/>
        <v>0</v>
      </c>
      <c r="EK205" s="254">
        <f t="shared" ca="1" si="1906"/>
        <v>0</v>
      </c>
      <c r="EL205" s="254">
        <f t="shared" ca="1" si="1906"/>
        <v>0</v>
      </c>
      <c r="EM205" s="254">
        <f t="shared" ref="EM205:ET205" ca="1" si="1907">-EM184+EM202</f>
        <v>0</v>
      </c>
      <c r="EN205" s="254">
        <f t="shared" ca="1" si="1907"/>
        <v>0</v>
      </c>
      <c r="EO205" s="254">
        <f t="shared" ca="1" si="1907"/>
        <v>0</v>
      </c>
      <c r="EP205" s="254">
        <f t="shared" ca="1" si="1907"/>
        <v>0</v>
      </c>
      <c r="EQ205" s="254">
        <f t="shared" ca="1" si="1907"/>
        <v>0</v>
      </c>
      <c r="ER205" s="254">
        <f t="shared" ca="1" si="1907"/>
        <v>0</v>
      </c>
      <c r="ES205" s="254">
        <f t="shared" ca="1" si="1907"/>
        <v>0</v>
      </c>
      <c r="ET205" s="254">
        <f t="shared" ca="1" si="1907"/>
        <v>0</v>
      </c>
    </row>
    <row r="206" spans="2:150" s="83" customFormat="1" x14ac:dyDescent="0.2">
      <c r="B206" s="83" t="s">
        <v>228</v>
      </c>
      <c r="D206" s="254">
        <f t="shared" ca="1" si="1903"/>
        <v>4036496.1827164153</v>
      </c>
      <c r="F206" s="254">
        <f ca="1">-F186+F203</f>
        <v>-1718339.4808231806</v>
      </c>
      <c r="G206" s="254">
        <f t="shared" ref="G206:BR206" ca="1" si="1908">-G186+G203</f>
        <v>-113114.48082318078</v>
      </c>
      <c r="H206" s="254">
        <f t="shared" ca="1" si="1908"/>
        <v>-113114.48082318078</v>
      </c>
      <c r="I206" s="254">
        <f t="shared" ca="1" si="1908"/>
        <v>-113114.48082318078</v>
      </c>
      <c r="J206" s="254">
        <f t="shared" ca="1" si="1908"/>
        <v>-113114.48082318078</v>
      </c>
      <c r="K206" s="254">
        <f t="shared" ca="1" si="1908"/>
        <v>-113114.48082318078</v>
      </c>
      <c r="L206" s="254">
        <f t="shared" ca="1" si="1908"/>
        <v>-113114.48082318078</v>
      </c>
      <c r="M206" s="254">
        <f t="shared" ca="1" si="1908"/>
        <v>-113114.48082318078</v>
      </c>
      <c r="N206" s="254">
        <f t="shared" ca="1" si="1908"/>
        <v>-113114.48082318078</v>
      </c>
      <c r="O206" s="254">
        <f t="shared" ca="1" si="1908"/>
        <v>-113114.48082318078</v>
      </c>
      <c r="P206" s="254">
        <f t="shared" ca="1" si="1908"/>
        <v>-113114.48082318078</v>
      </c>
      <c r="Q206" s="254">
        <f t="shared" ca="1" si="1908"/>
        <v>-113114.48082318078</v>
      </c>
      <c r="R206" s="254">
        <f t="shared" ca="1" si="1908"/>
        <v>-113114.48082318078</v>
      </c>
      <c r="S206" s="254">
        <f t="shared" ca="1" si="1908"/>
        <v>-113114.48082318078</v>
      </c>
      <c r="T206" s="254">
        <f t="shared" ca="1" si="1908"/>
        <v>-113114.48082318078</v>
      </c>
      <c r="U206" s="254">
        <f t="shared" ca="1" si="1908"/>
        <v>-942693.23082318075</v>
      </c>
      <c r="V206" s="254">
        <f t="shared" ca="1" si="1908"/>
        <v>-942693.23082318075</v>
      </c>
      <c r="W206" s="254">
        <f t="shared" ca="1" si="1908"/>
        <v>-942693.23082318075</v>
      </c>
      <c r="X206" s="254">
        <f t="shared" ca="1" si="1908"/>
        <v>-284106.60014855559</v>
      </c>
      <c r="Y206" s="254">
        <f t="shared" ca="1" si="1908"/>
        <v>0</v>
      </c>
      <c r="Z206" s="254">
        <f t="shared" ca="1" si="1908"/>
        <v>0</v>
      </c>
      <c r="AA206" s="254">
        <f t="shared" ca="1" si="1908"/>
        <v>0</v>
      </c>
      <c r="AB206" s="254">
        <f t="shared" ca="1" si="1908"/>
        <v>0</v>
      </c>
      <c r="AC206" s="254">
        <f t="shared" ca="1" si="1908"/>
        <v>0</v>
      </c>
      <c r="AD206" s="254">
        <f t="shared" ca="1" si="1908"/>
        <v>0</v>
      </c>
      <c r="AE206" s="254">
        <f t="shared" ca="1" si="1908"/>
        <v>0</v>
      </c>
      <c r="AF206" s="254">
        <f t="shared" ca="1" si="1908"/>
        <v>0</v>
      </c>
      <c r="AG206" s="254">
        <f t="shared" ca="1" si="1908"/>
        <v>0</v>
      </c>
      <c r="AH206" s="254">
        <f t="shared" ca="1" si="1908"/>
        <v>0</v>
      </c>
      <c r="AI206" s="254">
        <f t="shared" ca="1" si="1908"/>
        <v>0</v>
      </c>
      <c r="AJ206" s="254">
        <f t="shared" ca="1" si="1908"/>
        <v>0</v>
      </c>
      <c r="AK206" s="254">
        <f t="shared" ca="1" si="1908"/>
        <v>0</v>
      </c>
      <c r="AL206" s="254">
        <f t="shared" ca="1" si="1908"/>
        <v>0</v>
      </c>
      <c r="AM206" s="254">
        <f t="shared" ca="1" si="1908"/>
        <v>0</v>
      </c>
      <c r="AN206" s="254">
        <f t="shared" ca="1" si="1908"/>
        <v>0</v>
      </c>
      <c r="AO206" s="254">
        <f t="shared" ca="1" si="1908"/>
        <v>0</v>
      </c>
      <c r="AP206" s="254">
        <f t="shared" ca="1" si="1908"/>
        <v>0</v>
      </c>
      <c r="AQ206" s="254">
        <f t="shared" ca="1" si="1908"/>
        <v>0</v>
      </c>
      <c r="AR206" s="254">
        <f t="shared" ca="1" si="1908"/>
        <v>0</v>
      </c>
      <c r="AS206" s="254">
        <f t="shared" ca="1" si="1908"/>
        <v>0</v>
      </c>
      <c r="AT206" s="254">
        <f t="shared" ca="1" si="1908"/>
        <v>0</v>
      </c>
      <c r="AU206" s="254">
        <f t="shared" ca="1" si="1908"/>
        <v>0</v>
      </c>
      <c r="AV206" s="254">
        <f t="shared" ca="1" si="1908"/>
        <v>0</v>
      </c>
      <c r="AW206" s="254">
        <f t="shared" ca="1" si="1908"/>
        <v>0</v>
      </c>
      <c r="AX206" s="254">
        <f t="shared" ca="1" si="1908"/>
        <v>0</v>
      </c>
      <c r="AY206" s="254">
        <f t="shared" ca="1" si="1908"/>
        <v>0</v>
      </c>
      <c r="AZ206" s="254">
        <f t="shared" ca="1" si="1908"/>
        <v>0</v>
      </c>
      <c r="BA206" s="254">
        <f t="shared" ca="1" si="1908"/>
        <v>0</v>
      </c>
      <c r="BB206" s="254">
        <f t="shared" ca="1" si="1908"/>
        <v>0</v>
      </c>
      <c r="BC206" s="254">
        <f t="shared" ca="1" si="1908"/>
        <v>0</v>
      </c>
      <c r="BD206" s="254">
        <f t="shared" ca="1" si="1908"/>
        <v>0</v>
      </c>
      <c r="BE206" s="254">
        <f t="shared" ca="1" si="1908"/>
        <v>0</v>
      </c>
      <c r="BF206" s="254">
        <f t="shared" ca="1" si="1908"/>
        <v>0</v>
      </c>
      <c r="BG206" s="254">
        <f t="shared" ca="1" si="1908"/>
        <v>0</v>
      </c>
      <c r="BH206" s="254">
        <f t="shared" ca="1" si="1908"/>
        <v>0</v>
      </c>
      <c r="BI206" s="254">
        <f t="shared" ca="1" si="1908"/>
        <v>0</v>
      </c>
      <c r="BJ206" s="254">
        <f t="shared" ca="1" si="1908"/>
        <v>0</v>
      </c>
      <c r="BK206" s="254">
        <f t="shared" ca="1" si="1908"/>
        <v>0</v>
      </c>
      <c r="BL206" s="254">
        <f t="shared" ca="1" si="1908"/>
        <v>0</v>
      </c>
      <c r="BM206" s="254">
        <f t="shared" ca="1" si="1908"/>
        <v>0</v>
      </c>
      <c r="BN206" s="254">
        <f t="shared" ca="1" si="1908"/>
        <v>0</v>
      </c>
      <c r="BO206" s="254">
        <f t="shared" ca="1" si="1908"/>
        <v>0</v>
      </c>
      <c r="BP206" s="254">
        <f t="shared" ca="1" si="1908"/>
        <v>0</v>
      </c>
      <c r="BQ206" s="254">
        <f t="shared" ca="1" si="1908"/>
        <v>0</v>
      </c>
      <c r="BR206" s="254">
        <f t="shared" ca="1" si="1908"/>
        <v>0</v>
      </c>
      <c r="BS206" s="254">
        <f t="shared" ref="BS206:BZ206" ca="1" si="1909">-BS186+BS203</f>
        <v>0</v>
      </c>
      <c r="BT206" s="254">
        <f t="shared" ca="1" si="1909"/>
        <v>0</v>
      </c>
      <c r="BU206" s="254">
        <f t="shared" ca="1" si="1909"/>
        <v>0</v>
      </c>
      <c r="BV206" s="254">
        <f t="shared" ca="1" si="1909"/>
        <v>0</v>
      </c>
      <c r="BW206" s="254">
        <f t="shared" ca="1" si="1909"/>
        <v>0</v>
      </c>
      <c r="BX206" s="254">
        <f t="shared" ca="1" si="1909"/>
        <v>0</v>
      </c>
      <c r="BY206" s="254">
        <f t="shared" ca="1" si="1909"/>
        <v>0</v>
      </c>
      <c r="BZ206" s="254">
        <f t="shared" ca="1" si="1909"/>
        <v>1.1483561346874922</v>
      </c>
      <c r="CA206" s="254">
        <f t="shared" ref="CA206:EL206" ca="1" si="1910">-CA186+CA203</f>
        <v>1.1483561514847678</v>
      </c>
      <c r="CB206" s="254">
        <f t="shared" ca="1" si="1910"/>
        <v>1.1483561633591306</v>
      </c>
      <c r="CC206" s="254">
        <f t="shared" ca="1" si="1910"/>
        <v>1.1483561696426476</v>
      </c>
      <c r="CD206" s="254">
        <f t="shared" ca="1" si="1910"/>
        <v>1.1483561697416007</v>
      </c>
      <c r="CE206" s="254">
        <f t="shared" ca="1" si="1910"/>
        <v>1.1483561632601778</v>
      </c>
      <c r="CF206" s="254">
        <f t="shared" ca="1" si="1910"/>
        <v>1.148356149382016</v>
      </c>
      <c r="CG206" s="254">
        <f t="shared" ca="1" si="1910"/>
        <v>1.1483561276865657</v>
      </c>
      <c r="CH206" s="254">
        <f t="shared" ca="1" si="1910"/>
        <v>1.1483560974069404</v>
      </c>
      <c r="CI206" s="254">
        <f t="shared" ca="1" si="1910"/>
        <v>1.1483560578009928</v>
      </c>
      <c r="CJ206" s="254">
        <f t="shared" ca="1" si="1910"/>
        <v>1.1483560081513133</v>
      </c>
      <c r="CK206" s="254">
        <f t="shared" ca="1" si="1910"/>
        <v>10450612.055732155</v>
      </c>
      <c r="CL206" s="254">
        <f t="shared" ca="1" si="1910"/>
        <v>0</v>
      </c>
      <c r="CM206" s="254">
        <f t="shared" ca="1" si="1910"/>
        <v>0</v>
      </c>
      <c r="CN206" s="254">
        <f t="shared" ca="1" si="1910"/>
        <v>0</v>
      </c>
      <c r="CO206" s="254">
        <f t="shared" ca="1" si="1910"/>
        <v>0</v>
      </c>
      <c r="CP206" s="254">
        <f t="shared" ca="1" si="1910"/>
        <v>0</v>
      </c>
      <c r="CQ206" s="254">
        <f t="shared" ca="1" si="1910"/>
        <v>0</v>
      </c>
      <c r="CR206" s="254">
        <f t="shared" ca="1" si="1910"/>
        <v>0</v>
      </c>
      <c r="CS206" s="254">
        <f t="shared" ca="1" si="1910"/>
        <v>0</v>
      </c>
      <c r="CT206" s="254">
        <f t="shared" ca="1" si="1910"/>
        <v>0</v>
      </c>
      <c r="CU206" s="254">
        <f t="shared" ca="1" si="1910"/>
        <v>0</v>
      </c>
      <c r="CV206" s="254">
        <f t="shared" ca="1" si="1910"/>
        <v>0</v>
      </c>
      <c r="CW206" s="254">
        <f t="shared" ca="1" si="1910"/>
        <v>0</v>
      </c>
      <c r="CX206" s="254">
        <f t="shared" ca="1" si="1910"/>
        <v>0</v>
      </c>
      <c r="CY206" s="254">
        <f t="shared" ca="1" si="1910"/>
        <v>0</v>
      </c>
      <c r="CZ206" s="254">
        <f t="shared" ca="1" si="1910"/>
        <v>0</v>
      </c>
      <c r="DA206" s="254">
        <f t="shared" ca="1" si="1910"/>
        <v>0</v>
      </c>
      <c r="DB206" s="254">
        <f t="shared" ca="1" si="1910"/>
        <v>0</v>
      </c>
      <c r="DC206" s="254">
        <f t="shared" ca="1" si="1910"/>
        <v>0</v>
      </c>
      <c r="DD206" s="254">
        <f t="shared" ca="1" si="1910"/>
        <v>0</v>
      </c>
      <c r="DE206" s="254">
        <f t="shared" ca="1" si="1910"/>
        <v>0</v>
      </c>
      <c r="DF206" s="254">
        <f t="shared" ca="1" si="1910"/>
        <v>0</v>
      </c>
      <c r="DG206" s="254">
        <f t="shared" ca="1" si="1910"/>
        <v>0</v>
      </c>
      <c r="DH206" s="254">
        <f t="shared" ca="1" si="1910"/>
        <v>0</v>
      </c>
      <c r="DI206" s="254">
        <f t="shared" ca="1" si="1910"/>
        <v>0</v>
      </c>
      <c r="DJ206" s="254">
        <f t="shared" ca="1" si="1910"/>
        <v>0</v>
      </c>
      <c r="DK206" s="254">
        <f t="shared" ca="1" si="1910"/>
        <v>0</v>
      </c>
      <c r="DL206" s="254">
        <f t="shared" ca="1" si="1910"/>
        <v>0</v>
      </c>
      <c r="DM206" s="254">
        <f t="shared" ca="1" si="1910"/>
        <v>0</v>
      </c>
      <c r="DN206" s="254">
        <f t="shared" ca="1" si="1910"/>
        <v>0</v>
      </c>
      <c r="DO206" s="254">
        <f t="shared" ca="1" si="1910"/>
        <v>0</v>
      </c>
      <c r="DP206" s="254">
        <f t="shared" ca="1" si="1910"/>
        <v>0</v>
      </c>
      <c r="DQ206" s="254">
        <f t="shared" ca="1" si="1910"/>
        <v>0</v>
      </c>
      <c r="DR206" s="254">
        <f t="shared" ca="1" si="1910"/>
        <v>0</v>
      </c>
      <c r="DS206" s="254">
        <f t="shared" ca="1" si="1910"/>
        <v>0</v>
      </c>
      <c r="DT206" s="254">
        <f t="shared" ca="1" si="1910"/>
        <v>0</v>
      </c>
      <c r="DU206" s="254">
        <f t="shared" ca="1" si="1910"/>
        <v>0</v>
      </c>
      <c r="DV206" s="254">
        <f t="shared" ca="1" si="1910"/>
        <v>0</v>
      </c>
      <c r="DW206" s="254">
        <f t="shared" ca="1" si="1910"/>
        <v>0</v>
      </c>
      <c r="DX206" s="254">
        <f t="shared" ca="1" si="1910"/>
        <v>0</v>
      </c>
      <c r="DY206" s="254">
        <f t="shared" ca="1" si="1910"/>
        <v>0</v>
      </c>
      <c r="DZ206" s="254">
        <f t="shared" ca="1" si="1910"/>
        <v>0</v>
      </c>
      <c r="EA206" s="254">
        <f t="shared" ca="1" si="1910"/>
        <v>0</v>
      </c>
      <c r="EB206" s="254">
        <f t="shared" ca="1" si="1910"/>
        <v>0</v>
      </c>
      <c r="EC206" s="254">
        <f t="shared" ca="1" si="1910"/>
        <v>0</v>
      </c>
      <c r="ED206" s="254">
        <f t="shared" ca="1" si="1910"/>
        <v>0</v>
      </c>
      <c r="EE206" s="254">
        <f t="shared" ca="1" si="1910"/>
        <v>0</v>
      </c>
      <c r="EF206" s="254">
        <f t="shared" ca="1" si="1910"/>
        <v>0</v>
      </c>
      <c r="EG206" s="254">
        <f t="shared" ca="1" si="1910"/>
        <v>0</v>
      </c>
      <c r="EH206" s="254">
        <f t="shared" ca="1" si="1910"/>
        <v>0</v>
      </c>
      <c r="EI206" s="254">
        <f t="shared" ca="1" si="1910"/>
        <v>0</v>
      </c>
      <c r="EJ206" s="254">
        <f t="shared" ca="1" si="1910"/>
        <v>0</v>
      </c>
      <c r="EK206" s="254">
        <f t="shared" ca="1" si="1910"/>
        <v>0</v>
      </c>
      <c r="EL206" s="254">
        <f t="shared" ca="1" si="1910"/>
        <v>0</v>
      </c>
      <c r="EM206" s="254">
        <f t="shared" ref="EM206:ET206" ca="1" si="1911">-EM186+EM203</f>
        <v>0</v>
      </c>
      <c r="EN206" s="254">
        <f t="shared" ca="1" si="1911"/>
        <v>0</v>
      </c>
      <c r="EO206" s="254">
        <f t="shared" ca="1" si="1911"/>
        <v>0</v>
      </c>
      <c r="EP206" s="254">
        <f t="shared" ca="1" si="1911"/>
        <v>0</v>
      </c>
      <c r="EQ206" s="254">
        <f t="shared" ca="1" si="1911"/>
        <v>0</v>
      </c>
      <c r="ER206" s="254">
        <f t="shared" ca="1" si="1911"/>
        <v>0</v>
      </c>
      <c r="ES206" s="254">
        <f t="shared" ca="1" si="1911"/>
        <v>0</v>
      </c>
      <c r="ET206" s="254">
        <f t="shared" ca="1" si="1911"/>
        <v>0</v>
      </c>
    </row>
    <row r="207" spans="2:150" x14ac:dyDescent="0.2"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spans="2:150" x14ac:dyDescent="0.2">
      <c r="B208" t="s">
        <v>230</v>
      </c>
      <c r="D208" s="242">
        <f ca="1">SUM($F$179:$ET$179)*Promote!E3</f>
        <v>1131905.0302880839</v>
      </c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spans="2:66" x14ac:dyDescent="0.2">
      <c r="B209" t="s">
        <v>241</v>
      </c>
      <c r="D209" s="242">
        <f ca="1">D205</f>
        <v>955689.10002424987</v>
      </c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spans="2:66" x14ac:dyDescent="0.2">
      <c r="B210" t="s">
        <v>231</v>
      </c>
      <c r="D210" s="126">
        <f ca="1">D202/D208</f>
        <v>1.8443191561582131</v>
      </c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N210" s="34"/>
    </row>
    <row r="211" spans="2:66" x14ac:dyDescent="0.2">
      <c r="B211" t="s">
        <v>235</v>
      </c>
      <c r="D211" s="127">
        <f ca="1">XIRR(F205:ET205,$F$6:$ET$6)</f>
        <v>0.10497402548789983</v>
      </c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spans="2:66" x14ac:dyDescent="0.2"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spans="2:66" x14ac:dyDescent="0.2">
      <c r="B213" t="s">
        <v>223</v>
      </c>
      <c r="D213" s="242">
        <f ca="1">SUM($F$179:$ET$179)*Promote!E4</f>
        <v>6414128.5049658082</v>
      </c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spans="2:66" x14ac:dyDescent="0.2">
      <c r="B214" t="s">
        <v>242</v>
      </c>
      <c r="D214" s="242">
        <f ca="1">D206</f>
        <v>4036496.1827164153</v>
      </c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spans="2:66" x14ac:dyDescent="0.2">
      <c r="B215" t="s">
        <v>232</v>
      </c>
      <c r="D215" s="126">
        <f ca="1">D203/D213</f>
        <v>1.629313269852694</v>
      </c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spans="2:66" x14ac:dyDescent="0.2">
      <c r="B216" t="s">
        <v>236</v>
      </c>
      <c r="D216" s="127">
        <f ca="1">XIRR(F206:ET206,$F$6:$ET$6)</f>
        <v>8.2913377881050118E-2</v>
      </c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spans="2:66" x14ac:dyDescent="0.2"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spans="2:66" x14ac:dyDescent="0.2"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spans="2:66" x14ac:dyDescent="0.2"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spans="2:66" x14ac:dyDescent="0.2"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spans="2:66" x14ac:dyDescent="0.2"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</row>
    <row r="222" spans="2:66" x14ac:dyDescent="0.2"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</row>
    <row r="223" spans="2:66" x14ac:dyDescent="0.2"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</row>
    <row r="224" spans="2:66" x14ac:dyDescent="0.2"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</row>
    <row r="225" spans="6:54" x14ac:dyDescent="0.2"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</row>
    <row r="226" spans="6:54" x14ac:dyDescent="0.2"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</row>
    <row r="227" spans="6:54" x14ac:dyDescent="0.2"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</row>
    <row r="228" spans="6:54" x14ac:dyDescent="0.2"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</row>
    <row r="229" spans="6:54" x14ac:dyDescent="0.2"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</row>
    <row r="230" spans="6:54" x14ac:dyDescent="0.2"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</row>
    <row r="231" spans="6:54" x14ac:dyDescent="0.2"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</row>
    <row r="232" spans="6:54" x14ac:dyDescent="0.2"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</row>
    <row r="233" spans="6:54" x14ac:dyDescent="0.2"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</row>
    <row r="234" spans="6:54" x14ac:dyDescent="0.2"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</row>
    <row r="235" spans="6:54" x14ac:dyDescent="0.2"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</row>
    <row r="236" spans="6:54" x14ac:dyDescent="0.2"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</row>
    <row r="237" spans="6:54" x14ac:dyDescent="0.2"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</row>
    <row r="238" spans="6:54" x14ac:dyDescent="0.2"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</row>
    <row r="239" spans="6:54" x14ac:dyDescent="0.2"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</row>
    <row r="240" spans="6:54" x14ac:dyDescent="0.2"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</row>
    <row r="241" spans="6:54" x14ac:dyDescent="0.2"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</row>
    <row r="242" spans="6:54" x14ac:dyDescent="0.2"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</row>
    <row r="243" spans="6:54" x14ac:dyDescent="0.2"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</row>
    <row r="244" spans="6:54" x14ac:dyDescent="0.2"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</row>
    <row r="245" spans="6:54" x14ac:dyDescent="0.2"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</row>
    <row r="246" spans="6:54" x14ac:dyDescent="0.2"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</row>
    <row r="247" spans="6:54" x14ac:dyDescent="0.2"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</row>
    <row r="248" spans="6:54" x14ac:dyDescent="0.2"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</row>
    <row r="249" spans="6:54" x14ac:dyDescent="0.2"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</row>
    <row r="250" spans="6:54" x14ac:dyDescent="0.2"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</row>
    <row r="251" spans="6:54" x14ac:dyDescent="0.2"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</row>
    <row r="252" spans="6:54" x14ac:dyDescent="0.2"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</row>
    <row r="253" spans="6:54" x14ac:dyDescent="0.2"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</row>
    <row r="254" spans="6:54" x14ac:dyDescent="0.2"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</row>
    <row r="255" spans="6:54" x14ac:dyDescent="0.2"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</row>
    <row r="256" spans="6:54" x14ac:dyDescent="0.2"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</row>
    <row r="257" spans="6:54" x14ac:dyDescent="0.2"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</row>
    <row r="258" spans="6:54" x14ac:dyDescent="0.2"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</row>
    <row r="259" spans="6:54" x14ac:dyDescent="0.2"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</row>
    <row r="260" spans="6:54" x14ac:dyDescent="0.2"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</row>
    <row r="261" spans="6:54" x14ac:dyDescent="0.2"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</row>
    <row r="262" spans="6:54" x14ac:dyDescent="0.2"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</row>
    <row r="263" spans="6:54" x14ac:dyDescent="0.2"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</row>
    <row r="264" spans="6:54" x14ac:dyDescent="0.2"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</row>
    <row r="265" spans="6:54" x14ac:dyDescent="0.2"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</row>
    <row r="266" spans="6:54" x14ac:dyDescent="0.2"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</row>
    <row r="267" spans="6:54" x14ac:dyDescent="0.2"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</row>
    <row r="268" spans="6:54" x14ac:dyDescent="0.2"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</row>
    <row r="269" spans="6:54" x14ac:dyDescent="0.2"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</row>
    <row r="270" spans="6:54" x14ac:dyDescent="0.2"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</row>
    <row r="271" spans="6:54" x14ac:dyDescent="0.2"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</row>
    <row r="272" spans="6:54" x14ac:dyDescent="0.2"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</row>
    <row r="273" spans="6:54" x14ac:dyDescent="0.2"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</row>
    <row r="274" spans="6:54" x14ac:dyDescent="0.2"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</row>
    <row r="275" spans="6:54" x14ac:dyDescent="0.2"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</row>
    <row r="276" spans="6:54" x14ac:dyDescent="0.2"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</row>
    <row r="277" spans="6:54" x14ac:dyDescent="0.2"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</row>
    <row r="278" spans="6:54" x14ac:dyDescent="0.2"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</row>
    <row r="279" spans="6:54" x14ac:dyDescent="0.2"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</row>
    <row r="280" spans="6:54" x14ac:dyDescent="0.2"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</row>
    <row r="281" spans="6:54" x14ac:dyDescent="0.2"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</row>
    <row r="282" spans="6:54" x14ac:dyDescent="0.2"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</row>
    <row r="283" spans="6:54" x14ac:dyDescent="0.2"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</row>
    <row r="284" spans="6:54" x14ac:dyDescent="0.2"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</row>
    <row r="285" spans="6:54" x14ac:dyDescent="0.2"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</row>
    <row r="286" spans="6:54" x14ac:dyDescent="0.2"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</row>
    <row r="287" spans="6:54" x14ac:dyDescent="0.2"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</row>
    <row r="288" spans="6:54" x14ac:dyDescent="0.2"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</row>
    <row r="289" spans="6:54" x14ac:dyDescent="0.2"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</row>
    <row r="290" spans="6:54" x14ac:dyDescent="0.2"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</row>
    <row r="291" spans="6:54" x14ac:dyDescent="0.2"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</row>
    <row r="292" spans="6:54" x14ac:dyDescent="0.2"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</row>
    <row r="293" spans="6:54" x14ac:dyDescent="0.2"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</row>
    <row r="294" spans="6:54" x14ac:dyDescent="0.2"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</row>
    <row r="295" spans="6:54" x14ac:dyDescent="0.2"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</row>
    <row r="296" spans="6:54" x14ac:dyDescent="0.2"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</row>
    <row r="297" spans="6:54" x14ac:dyDescent="0.2"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</row>
    <row r="298" spans="6:54" x14ac:dyDescent="0.2"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</row>
    <row r="299" spans="6:54" x14ac:dyDescent="0.2"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</row>
    <row r="300" spans="6:54" x14ac:dyDescent="0.2"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</row>
    <row r="301" spans="6:54" x14ac:dyDescent="0.2"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</row>
    <row r="302" spans="6:54" x14ac:dyDescent="0.2"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</row>
    <row r="303" spans="6:54" x14ac:dyDescent="0.2"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</row>
    <row r="304" spans="6:54" x14ac:dyDescent="0.2"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</row>
    <row r="305" spans="6:54" x14ac:dyDescent="0.2"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</row>
    <row r="306" spans="6:54" x14ac:dyDescent="0.2"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</row>
    <row r="307" spans="6:54" x14ac:dyDescent="0.2"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</row>
    <row r="308" spans="6:54" x14ac:dyDescent="0.2"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</row>
    <row r="309" spans="6:54" x14ac:dyDescent="0.2"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</row>
    <row r="310" spans="6:54" x14ac:dyDescent="0.2"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</row>
    <row r="311" spans="6:54" x14ac:dyDescent="0.2"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</row>
    <row r="312" spans="6:54" x14ac:dyDescent="0.2"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</row>
    <row r="313" spans="6:54" x14ac:dyDescent="0.2"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</row>
    <row r="314" spans="6:54" x14ac:dyDescent="0.2"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</row>
    <row r="315" spans="6:54" x14ac:dyDescent="0.2"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</row>
    <row r="316" spans="6:54" x14ac:dyDescent="0.2"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</row>
    <row r="317" spans="6:54" x14ac:dyDescent="0.2"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</row>
    <row r="318" spans="6:54" x14ac:dyDescent="0.2"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</row>
    <row r="319" spans="6:54" x14ac:dyDescent="0.2"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</row>
    <row r="320" spans="6:54" x14ac:dyDescent="0.2"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</row>
    <row r="321" spans="6:54" x14ac:dyDescent="0.2"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</row>
    <row r="322" spans="6:54" x14ac:dyDescent="0.2"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</row>
    <row r="323" spans="6:54" x14ac:dyDescent="0.2"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</row>
    <row r="324" spans="6:54" x14ac:dyDescent="0.2"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</row>
    <row r="325" spans="6:54" x14ac:dyDescent="0.2"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</row>
    <row r="326" spans="6:54" x14ac:dyDescent="0.2"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</row>
    <row r="327" spans="6:54" x14ac:dyDescent="0.2"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</row>
    <row r="328" spans="6:54" x14ac:dyDescent="0.2"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</row>
    <row r="329" spans="6:54" x14ac:dyDescent="0.2"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</row>
    <row r="330" spans="6:54" x14ac:dyDescent="0.2"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</row>
    <row r="331" spans="6:54" x14ac:dyDescent="0.2"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</row>
    <row r="332" spans="6:54" x14ac:dyDescent="0.2"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</row>
    <row r="333" spans="6:54" x14ac:dyDescent="0.2"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</row>
    <row r="334" spans="6:54" x14ac:dyDescent="0.2"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</row>
    <row r="335" spans="6:54" x14ac:dyDescent="0.2"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</row>
    <row r="336" spans="6:54" x14ac:dyDescent="0.2"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</row>
    <row r="337" spans="6:54" x14ac:dyDescent="0.2"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</row>
    <row r="338" spans="6:54" x14ac:dyDescent="0.2"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</row>
    <row r="339" spans="6:54" x14ac:dyDescent="0.2"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</row>
    <row r="340" spans="6:54" x14ac:dyDescent="0.2"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</row>
    <row r="341" spans="6:54" x14ac:dyDescent="0.2"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</row>
    <row r="342" spans="6:54" x14ac:dyDescent="0.2"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</row>
    <row r="343" spans="6:54" x14ac:dyDescent="0.2"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</row>
    <row r="344" spans="6:54" x14ac:dyDescent="0.2"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</row>
    <row r="345" spans="6:54" x14ac:dyDescent="0.2"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</row>
    <row r="346" spans="6:54" x14ac:dyDescent="0.2"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</row>
    <row r="347" spans="6:54" x14ac:dyDescent="0.2"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</row>
    <row r="348" spans="6:54" x14ac:dyDescent="0.2"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</row>
    <row r="349" spans="6:54" x14ac:dyDescent="0.2"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</row>
    <row r="350" spans="6:54" x14ac:dyDescent="0.2"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</row>
    <row r="351" spans="6:54" x14ac:dyDescent="0.2"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</row>
    <row r="352" spans="6:54" x14ac:dyDescent="0.2"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</row>
    <row r="353" spans="6:54" x14ac:dyDescent="0.2"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</row>
    <row r="354" spans="6:54" x14ac:dyDescent="0.2"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</row>
    <row r="355" spans="6:54" x14ac:dyDescent="0.2"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</row>
    <row r="356" spans="6:54" x14ac:dyDescent="0.2"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</row>
    <row r="357" spans="6:54" x14ac:dyDescent="0.2"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</row>
    <row r="358" spans="6:54" x14ac:dyDescent="0.2"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</row>
    <row r="359" spans="6:54" x14ac:dyDescent="0.2"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</row>
    <row r="360" spans="6:54" x14ac:dyDescent="0.2"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</row>
    <row r="361" spans="6:54" x14ac:dyDescent="0.2"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</row>
    <row r="362" spans="6:54" x14ac:dyDescent="0.2"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</row>
    <row r="363" spans="6:54" x14ac:dyDescent="0.2"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</row>
    <row r="364" spans="6:54" x14ac:dyDescent="0.2"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</row>
    <row r="365" spans="6:54" x14ac:dyDescent="0.2"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</row>
    <row r="366" spans="6:54" x14ac:dyDescent="0.2"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</row>
    <row r="367" spans="6:54" x14ac:dyDescent="0.2"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</row>
    <row r="368" spans="6:54" x14ac:dyDescent="0.2"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</row>
    <row r="369" spans="6:54" x14ac:dyDescent="0.2"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</row>
    <row r="370" spans="6:54" x14ac:dyDescent="0.2"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</row>
    <row r="371" spans="6:54" x14ac:dyDescent="0.2"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</row>
    <row r="372" spans="6:54" x14ac:dyDescent="0.2"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</row>
    <row r="373" spans="6:54" x14ac:dyDescent="0.2"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</row>
    <row r="374" spans="6:54" x14ac:dyDescent="0.2"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</row>
    <row r="375" spans="6:54" x14ac:dyDescent="0.2"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</row>
    <row r="376" spans="6:54" x14ac:dyDescent="0.2"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</row>
    <row r="377" spans="6:54" x14ac:dyDescent="0.2"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</row>
    <row r="378" spans="6:54" x14ac:dyDescent="0.2"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</row>
    <row r="379" spans="6:54" x14ac:dyDescent="0.2"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</row>
    <row r="380" spans="6:54" x14ac:dyDescent="0.2"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</row>
    <row r="381" spans="6:54" x14ac:dyDescent="0.2"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</row>
    <row r="382" spans="6:54" x14ac:dyDescent="0.2"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</row>
    <row r="383" spans="6:54" x14ac:dyDescent="0.2"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</row>
    <row r="384" spans="6:54" x14ac:dyDescent="0.2"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</row>
    <row r="385" spans="6:54" x14ac:dyDescent="0.2"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</row>
    <row r="386" spans="6:54" x14ac:dyDescent="0.2"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</row>
    <row r="387" spans="6:54" x14ac:dyDescent="0.2"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</row>
    <row r="388" spans="6:54" x14ac:dyDescent="0.2"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</row>
    <row r="389" spans="6:54" x14ac:dyDescent="0.2"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</row>
    <row r="390" spans="6:54" x14ac:dyDescent="0.2"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</row>
    <row r="391" spans="6:54" x14ac:dyDescent="0.2"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</row>
    <row r="392" spans="6:54" x14ac:dyDescent="0.2"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</row>
    <row r="393" spans="6:54" x14ac:dyDescent="0.2"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</row>
    <row r="394" spans="6:54" x14ac:dyDescent="0.2"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</row>
    <row r="395" spans="6:54" x14ac:dyDescent="0.2"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</row>
    <row r="396" spans="6:54" x14ac:dyDescent="0.2"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</row>
    <row r="397" spans="6:54" x14ac:dyDescent="0.2"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</row>
    <row r="398" spans="6:54" x14ac:dyDescent="0.2"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</row>
    <row r="399" spans="6:54" x14ac:dyDescent="0.2"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</row>
    <row r="400" spans="6:54" x14ac:dyDescent="0.2"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</row>
    <row r="401" spans="6:54" x14ac:dyDescent="0.2"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</row>
    <row r="402" spans="6:54" x14ac:dyDescent="0.2"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</row>
    <row r="403" spans="6:54" x14ac:dyDescent="0.2"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</row>
    <row r="404" spans="6:54" x14ac:dyDescent="0.2"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</row>
    <row r="405" spans="6:54" x14ac:dyDescent="0.2"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</row>
    <row r="406" spans="6:54" x14ac:dyDescent="0.2"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</row>
    <row r="407" spans="6:54" x14ac:dyDescent="0.2"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</row>
    <row r="408" spans="6:54" x14ac:dyDescent="0.2"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</row>
    <row r="409" spans="6:54" x14ac:dyDescent="0.2"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</row>
    <row r="410" spans="6:54" x14ac:dyDescent="0.2"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</row>
    <row r="411" spans="6:54" x14ac:dyDescent="0.2"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</row>
    <row r="412" spans="6:54" x14ac:dyDescent="0.2"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</row>
    <row r="413" spans="6:54" x14ac:dyDescent="0.2"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</row>
    <row r="414" spans="6:54" x14ac:dyDescent="0.2"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</row>
    <row r="415" spans="6:54" x14ac:dyDescent="0.2"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</row>
    <row r="416" spans="6:54" x14ac:dyDescent="0.2"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</row>
    <row r="417" spans="6:54" x14ac:dyDescent="0.2"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</row>
    <row r="418" spans="6:54" x14ac:dyDescent="0.2"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</row>
    <row r="419" spans="6:54" x14ac:dyDescent="0.2"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</row>
    <row r="420" spans="6:54" x14ac:dyDescent="0.2"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</row>
    <row r="421" spans="6:54" x14ac:dyDescent="0.2"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</row>
    <row r="422" spans="6:54" x14ac:dyDescent="0.2"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</row>
    <row r="423" spans="6:54" x14ac:dyDescent="0.2"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</row>
    <row r="424" spans="6:54" x14ac:dyDescent="0.2"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</row>
    <row r="425" spans="6:54" x14ac:dyDescent="0.2"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</row>
    <row r="426" spans="6:54" x14ac:dyDescent="0.2"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</row>
    <row r="427" spans="6:54" x14ac:dyDescent="0.2"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</row>
    <row r="428" spans="6:54" x14ac:dyDescent="0.2"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</row>
    <row r="429" spans="6:54" x14ac:dyDescent="0.2"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</row>
    <row r="430" spans="6:54" x14ac:dyDescent="0.2"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</row>
    <row r="431" spans="6:54" x14ac:dyDescent="0.2"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</row>
    <row r="432" spans="6:54" x14ac:dyDescent="0.2"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</row>
    <row r="433" spans="6:54" x14ac:dyDescent="0.2"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</row>
    <row r="434" spans="6:54" x14ac:dyDescent="0.2"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</row>
    <row r="435" spans="6:54" x14ac:dyDescent="0.2"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</row>
    <row r="436" spans="6:54" x14ac:dyDescent="0.2"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</row>
    <row r="437" spans="6:54" x14ac:dyDescent="0.2"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</row>
    <row r="438" spans="6:54" x14ac:dyDescent="0.2"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</row>
    <row r="439" spans="6:54" x14ac:dyDescent="0.2"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</row>
    <row r="440" spans="6:54" x14ac:dyDescent="0.2"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</row>
    <row r="441" spans="6:54" x14ac:dyDescent="0.2"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</row>
    <row r="442" spans="6:54" x14ac:dyDescent="0.2"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</row>
    <row r="443" spans="6:54" x14ac:dyDescent="0.2"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</row>
    <row r="444" spans="6:54" x14ac:dyDescent="0.2"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</row>
    <row r="445" spans="6:54" x14ac:dyDescent="0.2"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</row>
    <row r="446" spans="6:54" x14ac:dyDescent="0.2"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</row>
    <row r="447" spans="6:54" x14ac:dyDescent="0.2"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</row>
    <row r="448" spans="6:54" x14ac:dyDescent="0.2"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B650-8BC3-4936-999E-AC10675FD031}">
  <dimension ref="B2:R42"/>
  <sheetViews>
    <sheetView showGridLines="0" zoomScale="192" zoomScaleNormal="80" workbookViewId="0">
      <selection activeCell="I21" sqref="I21"/>
    </sheetView>
  </sheetViews>
  <sheetFormatPr baseColWidth="10" defaultColWidth="8.83203125" defaultRowHeight="15" x14ac:dyDescent="0.2"/>
  <cols>
    <col min="1" max="1" width="4.33203125" customWidth="1"/>
    <col min="2" max="2" width="41.5" bestFit="1" customWidth="1"/>
    <col min="3" max="3" width="16.5" customWidth="1"/>
    <col min="4" max="8" width="13.33203125" customWidth="1"/>
    <col min="9" max="9" width="14.1640625" bestFit="1" customWidth="1"/>
    <col min="10" max="13" width="13.33203125" customWidth="1"/>
  </cols>
  <sheetData>
    <row r="2" spans="2:18" x14ac:dyDescent="0.2">
      <c r="B2" s="134" t="s">
        <v>219</v>
      </c>
      <c r="C2" s="221"/>
      <c r="D2" s="222">
        <v>1</v>
      </c>
      <c r="E2" s="222">
        <f>D2+1</f>
        <v>2</v>
      </c>
      <c r="F2" s="222">
        <f t="shared" ref="F2:M2" si="0">E2+1</f>
        <v>3</v>
      </c>
      <c r="G2" s="222">
        <f t="shared" si="0"/>
        <v>4</v>
      </c>
      <c r="H2" s="222">
        <f t="shared" si="0"/>
        <v>5</v>
      </c>
      <c r="I2" s="222">
        <f t="shared" si="0"/>
        <v>6</v>
      </c>
      <c r="J2" s="222">
        <f t="shared" si="0"/>
        <v>7</v>
      </c>
      <c r="K2" s="222">
        <f t="shared" si="0"/>
        <v>8</v>
      </c>
      <c r="L2" s="222">
        <f t="shared" si="0"/>
        <v>9</v>
      </c>
      <c r="M2" s="222">
        <f t="shared" si="0"/>
        <v>10</v>
      </c>
      <c r="N2" s="220"/>
      <c r="O2" s="220"/>
      <c r="P2" s="220"/>
      <c r="Q2" s="220"/>
      <c r="R2" s="220"/>
    </row>
    <row r="3" spans="2:18" x14ac:dyDescent="0.2">
      <c r="B3" s="229" t="s">
        <v>353</v>
      </c>
      <c r="C3" s="230" t="s">
        <v>49</v>
      </c>
      <c r="D3" s="73" t="str">
        <f>CONCATENATE(YEAR(Assumptions!$F$35)+D2-1," - ",YEAR(Assumptions!$F$35)+D2)</f>
        <v>2026 - 2027</v>
      </c>
      <c r="E3" s="73" t="str">
        <f>CONCATENATE(YEAR(Assumptions!$F$35)+E2-1," - ",YEAR(Assumptions!$F$35)+E2)</f>
        <v>2027 - 2028</v>
      </c>
      <c r="F3" s="73" t="str">
        <f>CONCATENATE(YEAR(Assumptions!$F$35)+F2-1," - ",YEAR(Assumptions!$F$35)+F2)</f>
        <v>2028 - 2029</v>
      </c>
      <c r="G3" s="73" t="str">
        <f>CONCATENATE(YEAR(Assumptions!$F$35)+G2-1," - ",YEAR(Assumptions!$F$35)+G2)</f>
        <v>2029 - 2030</v>
      </c>
      <c r="H3" s="73" t="str">
        <f>CONCATENATE(YEAR(Assumptions!$F$35)+H2-1," - ",YEAR(Assumptions!$F$35)+H2)</f>
        <v>2030 - 2031</v>
      </c>
      <c r="I3" s="73" t="str">
        <f>CONCATENATE(YEAR(Assumptions!$F$35)+I2-1," - ",YEAR(Assumptions!$F$35)+I2)</f>
        <v>2031 - 2032</v>
      </c>
      <c r="J3" s="73" t="str">
        <f>CONCATENATE(YEAR(Assumptions!$F$35)+J2-1," - ",YEAR(Assumptions!$F$35)+J2)</f>
        <v>2032 - 2033</v>
      </c>
      <c r="K3" s="73" t="str">
        <f>CONCATENATE(YEAR(Assumptions!$F$35)+K2-1," - ",YEAR(Assumptions!$F$35)+K2)</f>
        <v>2033 - 2034</v>
      </c>
      <c r="L3" s="73" t="str">
        <f>CONCATENATE(YEAR(Assumptions!$F$35)+L2-1," - ",YEAR(Assumptions!$F$35)+L2)</f>
        <v>2034 - 2035</v>
      </c>
      <c r="M3" s="73" t="str">
        <f>CONCATENATE(YEAR(Assumptions!$F$35)+M2-1," - ",YEAR(Assumptions!$F$35)+M2)</f>
        <v>2035 - 2036</v>
      </c>
    </row>
    <row r="4" spans="2:18" x14ac:dyDescent="0.2">
      <c r="B4" s="224" t="s">
        <v>9</v>
      </c>
      <c r="C4" s="259">
        <f>SUM(D4:M4)</f>
        <v>-3500000</v>
      </c>
      <c r="D4" s="256">
        <f>SUMIF('Draw Schedule'!$F$4:$ET$4,'Levered CF'!D$2,'Draw Schedule'!$F$9:$ET$9)</f>
        <v>-3500000</v>
      </c>
      <c r="E4" s="256">
        <f>SUMIF('Draw Schedule'!$F$4:$ET$4,'Levered CF'!E$2,'Draw Schedule'!$F$9:$ET$9)</f>
        <v>0</v>
      </c>
      <c r="F4" s="256">
        <f>SUMIF('Draw Schedule'!$F$4:$ET$4,'Levered CF'!F$2,'Draw Schedule'!$F$9:$ET$9)</f>
        <v>0</v>
      </c>
      <c r="G4" s="256">
        <f>SUMIF('Draw Schedule'!$F$4:$ET$4,'Levered CF'!G$2,'Draw Schedule'!$F$9:$ET$9)</f>
        <v>0</v>
      </c>
      <c r="H4" s="256">
        <f>SUMIF('Draw Schedule'!$F$4:$ET$4,'Levered CF'!H$2,'Draw Schedule'!$F$9:$ET$9)</f>
        <v>0</v>
      </c>
      <c r="I4" s="256">
        <f>SUMIF('Draw Schedule'!$F$4:$ET$4,'Levered CF'!I$2,'Draw Schedule'!$F$9:$ET$9)</f>
        <v>0</v>
      </c>
      <c r="J4" s="256">
        <f>SUMIF('Draw Schedule'!$F$4:$ET$4,'Levered CF'!J$2,'Draw Schedule'!$F$9:$ET$9)</f>
        <v>0</v>
      </c>
      <c r="K4" s="256">
        <f>SUMIF('Draw Schedule'!$F$4:$ET$4,'Levered CF'!K$2,'Draw Schedule'!$F$9:$ET$9)</f>
        <v>0</v>
      </c>
      <c r="L4" s="256">
        <f>SUMIF('Draw Schedule'!$F$4:$ET$4,'Levered CF'!L$2,'Draw Schedule'!$F$9:$ET$9)</f>
        <v>0</v>
      </c>
      <c r="M4" s="256">
        <f>SUMIF('Draw Schedule'!$F$4:$ET$4,'Levered CF'!M$2,'Draw Schedule'!$F$9:$ET$9)</f>
        <v>0</v>
      </c>
    </row>
    <row r="5" spans="2:18" x14ac:dyDescent="0.2">
      <c r="B5" s="227" t="s">
        <v>12</v>
      </c>
      <c r="C5" s="261">
        <f t="shared" ref="C5:C9" ca="1" si="1">SUM(D5:M5)</f>
        <v>-5033193.3060466051</v>
      </c>
      <c r="D5" s="256">
        <f ca="1">SUMIF('Draw Schedule'!$F$4:$ET$4,'Levered CF'!D$2,'Draw Schedule'!$F$10:$ET$10)+SUMIF('Draw Schedule'!$F$4:$ET$4,'Levered CF'!D$2,'Draw Schedule'!$F$11:$ET$11)+SUMIF('Draw Schedule'!$F$4:$ET$4,'Levered CF'!D$2,'Draw Schedule'!$F$12:$ET$12)</f>
        <v>-1639160.3175037284</v>
      </c>
      <c r="E5" s="256">
        <f ca="1">SUMIF('Draw Schedule'!$F$4:$ET$4,'Levered CF'!E$2,'Draw Schedule'!$F$10:$ET$10)+SUMIF('Draw Schedule'!$F$4:$ET$4,'Levered CF'!E$2,'Draw Schedule'!$F$11:$ET$11)+SUMIF('Draw Schedule'!$F$4:$ET$4,'Levered CF'!E$2,'Draw Schedule'!$F$12:$ET$12)</f>
        <v>-2026448.5308311649</v>
      </c>
      <c r="F5" s="256">
        <f ca="1">SUMIF('Draw Schedule'!$F$4:$ET$4,'Levered CF'!F$2,'Draw Schedule'!$F$10:$ET$10)+SUMIF('Draw Schedule'!$F$4:$ET$4,'Levered CF'!F$2,'Draw Schedule'!$F$11:$ET$11)+SUMIF('Draw Schedule'!$F$4:$ET$4,'Levered CF'!F$2,'Draw Schedule'!$F$12:$ET$12)</f>
        <v>-1367584.4577117511</v>
      </c>
      <c r="G5" s="256">
        <f>SUMIF('Draw Schedule'!$F$4:$ET$4,'Levered CF'!G$2,'Draw Schedule'!$F$10:$ET$10)+SUMIF('Draw Schedule'!$F$4:$ET$4,'Levered CF'!G$2,'Draw Schedule'!$F$11:$ET$11)+SUMIF('Draw Schedule'!$F$4:$ET$4,'Levered CF'!G$2,'Draw Schedule'!$F$12:$ET$12)</f>
        <v>0</v>
      </c>
      <c r="H5" s="256">
        <f>SUMIF('Draw Schedule'!$F$4:$ET$4,'Levered CF'!H$2,'Draw Schedule'!$F$10:$ET$10)+SUMIF('Draw Schedule'!$F$4:$ET$4,'Levered CF'!H$2,'Draw Schedule'!$F$11:$ET$11)+SUMIF('Draw Schedule'!$F$4:$ET$4,'Levered CF'!H$2,'Draw Schedule'!$F$12:$ET$12)</f>
        <v>0</v>
      </c>
      <c r="I5" s="256">
        <f>SUMIF('Draw Schedule'!$F$4:$ET$4,'Levered CF'!I$2,'Draw Schedule'!$F$10:$ET$10)+SUMIF('Draw Schedule'!$F$4:$ET$4,'Levered CF'!I$2,'Draw Schedule'!$F$11:$ET$11)+SUMIF('Draw Schedule'!$F$4:$ET$4,'Levered CF'!I$2,'Draw Schedule'!$F$12:$ET$12)</f>
        <v>0</v>
      </c>
      <c r="J5" s="256">
        <f>SUMIF('Draw Schedule'!$F$4:$ET$4,'Levered CF'!J$2,'Draw Schedule'!$F$10:$ET$10)+SUMIF('Draw Schedule'!$F$4:$ET$4,'Levered CF'!J$2,'Draw Schedule'!$F$11:$ET$11)+SUMIF('Draw Schedule'!$F$4:$ET$4,'Levered CF'!J$2,'Draw Schedule'!$F$12:$ET$12)</f>
        <v>0</v>
      </c>
      <c r="K5" s="256">
        <f>SUMIF('Draw Schedule'!$F$4:$ET$4,'Levered CF'!K$2,'Draw Schedule'!$F$10:$ET$10)+SUMIF('Draw Schedule'!$F$4:$ET$4,'Levered CF'!K$2,'Draw Schedule'!$F$11:$ET$11)+SUMIF('Draw Schedule'!$F$4:$ET$4,'Levered CF'!K$2,'Draw Schedule'!$F$12:$ET$12)</f>
        <v>0</v>
      </c>
      <c r="L5" s="256">
        <f>SUMIF('Draw Schedule'!$F$4:$ET$4,'Levered CF'!L$2,'Draw Schedule'!$F$10:$ET$10)+SUMIF('Draw Schedule'!$F$4:$ET$4,'Levered CF'!L$2,'Draw Schedule'!$F$11:$ET$11)+SUMIF('Draw Schedule'!$F$4:$ET$4,'Levered CF'!L$2,'Draw Schedule'!$F$12:$ET$12)</f>
        <v>0</v>
      </c>
      <c r="M5" s="256">
        <f>SUMIF('Draw Schedule'!$F$4:$ET$4,'Levered CF'!M$2,'Draw Schedule'!$F$10:$ET$10)+SUMIF('Draw Schedule'!$F$4:$ET$4,'Levered CF'!M$2,'Draw Schedule'!$F$11:$ET$11)+SUMIF('Draw Schedule'!$F$4:$ET$4,'Levered CF'!M$2,'Draw Schedule'!$F$12:$ET$12)</f>
        <v>0</v>
      </c>
    </row>
    <row r="6" spans="2:18" x14ac:dyDescent="0.2">
      <c r="B6" s="227" t="s">
        <v>11</v>
      </c>
      <c r="C6" s="261">
        <f t="shared" si="1"/>
        <v>-19519500</v>
      </c>
      <c r="D6" s="256">
        <f>SUMIF('Draw Schedule'!$F$4:$ET$4,'Levered CF'!D$2,'Draw Schedule'!$F$13:$ET$13)</f>
        <v>0</v>
      </c>
      <c r="E6" s="256">
        <f>SUMIF('Draw Schedule'!$F$4:$ET$4,'Levered CF'!E$2,'Draw Schedule'!$F$13:$ET$13)</f>
        <v>-8783775</v>
      </c>
      <c r="F6" s="256">
        <f>SUMIF('Draw Schedule'!$F$4:$ET$4,'Levered CF'!F$2,'Draw Schedule'!$F$13:$ET$13)</f>
        <v>-10735725</v>
      </c>
      <c r="G6" s="256">
        <f>SUMIF('Draw Schedule'!$F$4:$ET$4,'Levered CF'!G$2,'Draw Schedule'!$F$13:$ET$13)</f>
        <v>0</v>
      </c>
      <c r="H6" s="256">
        <f>SUMIF('Draw Schedule'!$F$4:$ET$4,'Levered CF'!H$2,'Draw Schedule'!$F$13:$ET$13)</f>
        <v>0</v>
      </c>
      <c r="I6" s="256">
        <f>SUMIF('Draw Schedule'!$F$4:$ET$4,'Levered CF'!I$2,'Draw Schedule'!$F$13:$ET$13)</f>
        <v>0</v>
      </c>
      <c r="J6" s="256">
        <f>SUMIF('Draw Schedule'!$F$4:$ET$4,'Levered CF'!J$2,'Draw Schedule'!$F$13:$ET$13)</f>
        <v>0</v>
      </c>
      <c r="K6" s="256">
        <f>SUMIF('Draw Schedule'!$F$4:$ET$4,'Levered CF'!K$2,'Draw Schedule'!$F$13:$ET$13)</f>
        <v>0</v>
      </c>
      <c r="L6" s="256">
        <f>SUMIF('Draw Schedule'!$F$4:$ET$4,'Levered CF'!L$2,'Draw Schedule'!$F$13:$ET$13)</f>
        <v>0</v>
      </c>
      <c r="M6" s="256">
        <f>SUMIF('Draw Schedule'!$F$4:$ET$4,'Levered CF'!M$2,'Draw Schedule'!$F$13:$ET$13)</f>
        <v>0</v>
      </c>
    </row>
    <row r="7" spans="2:18" x14ac:dyDescent="0.2">
      <c r="B7" s="227" t="s">
        <v>288</v>
      </c>
      <c r="C7" s="261">
        <f t="shared" ca="1" si="1"/>
        <v>0</v>
      </c>
      <c r="D7" s="256">
        <f>SUMIF('Draw Schedule'!$F$4:$ET$4,'Levered CF'!D$2,'Draw Schedule'!$F$14:$ET$14)</f>
        <v>0</v>
      </c>
      <c r="E7" s="256">
        <f>SUMIF('Draw Schedule'!$F$4:$ET$4,'Levered CF'!E$2,'Draw Schedule'!$F$14:$ET$14)</f>
        <v>0</v>
      </c>
      <c r="F7" s="256">
        <f ca="1">SUMIF('Draw Schedule'!$F$4:$ET$4,'Levered CF'!F$2,'Draw Schedule'!$F$14:$ET$14)</f>
        <v>0</v>
      </c>
      <c r="G7" s="256">
        <f ca="1">SUMIF('Draw Schedule'!$F$4:$ET$4,'Levered CF'!G$2,'Draw Schedule'!$F$14:$ET$14)</f>
        <v>0</v>
      </c>
      <c r="H7" s="256">
        <f ca="1">SUMIF('Draw Schedule'!$F$4:$ET$4,'Levered CF'!H$2,'Draw Schedule'!$F$14:$ET$14)</f>
        <v>0</v>
      </c>
      <c r="I7" s="256">
        <f ca="1">SUMIF('Draw Schedule'!$F$4:$ET$4,'Levered CF'!I$2,'Draw Schedule'!$F$14:$ET$14)</f>
        <v>0</v>
      </c>
      <c r="J7" s="256">
        <f ca="1">SUMIF('Draw Schedule'!$F$4:$ET$4,'Levered CF'!J$2,'Draw Schedule'!$F$14:$ET$14)</f>
        <v>0</v>
      </c>
      <c r="K7" s="256">
        <f ca="1">SUMIF('Draw Schedule'!$F$4:$ET$4,'Levered CF'!K$2,'Draw Schedule'!$F$14:$ET$14)</f>
        <v>0</v>
      </c>
      <c r="L7" s="256">
        <f ca="1">SUMIF('Draw Schedule'!$F$4:$ET$4,'Levered CF'!L$2,'Draw Schedule'!$F$14:$ET$14)</f>
        <v>0</v>
      </c>
      <c r="M7" s="256">
        <f ca="1">SUMIF('Draw Schedule'!$F$4:$ET$4,'Levered CF'!M$2,'Draw Schedule'!$F$14:$ET$14)</f>
        <v>0</v>
      </c>
    </row>
    <row r="8" spans="2:18" x14ac:dyDescent="0.2">
      <c r="B8" s="227" t="s">
        <v>298</v>
      </c>
      <c r="C8" s="261">
        <f t="shared" ca="1" si="1"/>
        <v>0</v>
      </c>
      <c r="D8" s="256">
        <f>SUMIF('Draw Schedule'!$F$4:$ET$4,'Levered CF'!D$2,'Draw Schedule'!$F$15:$ET$15)</f>
        <v>0</v>
      </c>
      <c r="E8" s="256">
        <f>SUMIF('Draw Schedule'!$F$4:$ET$4,'Levered CF'!E$2,'Draw Schedule'!$F$15:$ET$15)</f>
        <v>0</v>
      </c>
      <c r="F8" s="256">
        <f ca="1">SUMIF('Draw Schedule'!$F$4:$ET$4,'Levered CF'!F$2,'Draw Schedule'!$F$15:$ET$15)</f>
        <v>0</v>
      </c>
      <c r="G8" s="256">
        <f ca="1">SUMIF('Draw Schedule'!$F$4:$ET$4,'Levered CF'!G$2,'Draw Schedule'!$F$15:$ET$15)</f>
        <v>0</v>
      </c>
      <c r="H8" s="256">
        <f ca="1">SUMIF('Draw Schedule'!$F$4:$ET$4,'Levered CF'!H$2,'Draw Schedule'!$F$15:$ET$15)</f>
        <v>0</v>
      </c>
      <c r="I8" s="256">
        <f ca="1">SUMIF('Draw Schedule'!$F$4:$ET$4,'Levered CF'!I$2,'Draw Schedule'!$F$15:$ET$15)</f>
        <v>0</v>
      </c>
      <c r="J8" s="256">
        <f ca="1">SUMIF('Draw Schedule'!$F$4:$ET$4,'Levered CF'!J$2,'Draw Schedule'!$F$15:$ET$15)</f>
        <v>0</v>
      </c>
      <c r="K8" s="256">
        <f ca="1">SUMIF('Draw Schedule'!$F$4:$ET$4,'Levered CF'!K$2,'Draw Schedule'!$F$15:$ET$15)</f>
        <v>0</v>
      </c>
      <c r="L8" s="256">
        <f ca="1">SUMIF('Draw Schedule'!$F$4:$ET$4,'Levered CF'!L$2,'Draw Schedule'!$F$15:$ET$15)</f>
        <v>0</v>
      </c>
      <c r="M8" s="256">
        <f ca="1">SUMIF('Draw Schedule'!$F$4:$ET$4,'Levered CF'!M$2,'Draw Schedule'!$F$15:$ET$15)</f>
        <v>0</v>
      </c>
    </row>
    <row r="9" spans="2:18" x14ac:dyDescent="0.2">
      <c r="B9" s="228" t="s">
        <v>134</v>
      </c>
      <c r="C9" s="262">
        <f t="shared" ca="1" si="1"/>
        <v>-2131440.8350105681</v>
      </c>
      <c r="D9" s="242">
        <f ca="1">SUMIF('Draw Schedule'!$F$4:$ET$4,'Levered CF'!D$2,'Draw Schedule'!$F$16:$ET$16)</f>
        <v>-96250</v>
      </c>
      <c r="E9" s="242">
        <f ca="1">SUMIF('Draw Schedule'!$F$4:$ET$4,'Levered CF'!E$2,'Draw Schedule'!$F$16:$ET$16)</f>
        <v>-222785.59119321394</v>
      </c>
      <c r="F9" s="242">
        <f ca="1">SUMIF('Draw Schedule'!$F$4:$ET$4,'Levered CF'!F$2,'Draw Schedule'!$F$16:$ET$16)</f>
        <v>-1139555.9476200012</v>
      </c>
      <c r="G9" s="242">
        <f ca="1">SUMIF('Draw Schedule'!$F$4:$ET$4,'Levered CF'!G$2,'Draw Schedule'!$F$16:$ET$16)</f>
        <v>-500229.41733829177</v>
      </c>
      <c r="H9" s="242">
        <f ca="1">SUMIF('Draw Schedule'!$F$4:$ET$4,'Levered CF'!H$2,'Draw Schedule'!$F$16:$ET$16)</f>
        <v>-113097.89564190555</v>
      </c>
      <c r="I9" s="242">
        <f ca="1">SUMIF('Draw Schedule'!$F$4:$ET$4,'Levered CF'!I$2,'Draw Schedule'!$F$16:$ET$16)</f>
        <v>-59521.983217464993</v>
      </c>
      <c r="J9" s="242">
        <f ca="1">SUMIF('Draw Schedule'!$F$4:$ET$4,'Levered CF'!J$2,'Draw Schedule'!$F$16:$ET$16)</f>
        <v>0</v>
      </c>
      <c r="K9" s="242">
        <f ca="1">SUMIF('Draw Schedule'!$F$4:$ET$4,'Levered CF'!K$2,'Draw Schedule'!$F$16:$ET$16)</f>
        <v>0</v>
      </c>
      <c r="L9" s="242">
        <f ca="1">SUMIF('Draw Schedule'!$F$4:$ET$4,'Levered CF'!L$2,'Draw Schedule'!$F$16:$ET$16)</f>
        <v>0</v>
      </c>
      <c r="M9" s="242">
        <f ca="1">SUMIF('Draw Schedule'!$F$4:$ET$4,'Levered CF'!M$2,'Draw Schedule'!$F$16:$ET$16)</f>
        <v>0</v>
      </c>
    </row>
    <row r="10" spans="2:18" x14ac:dyDescent="0.2">
      <c r="B10" s="226" t="s">
        <v>135</v>
      </c>
      <c r="C10" s="258">
        <f ca="1">SUM(C4:C9)</f>
        <v>-30184134.141057175</v>
      </c>
      <c r="D10" s="246">
        <f t="shared" ref="D10:M10" ca="1" si="2">SUM(D4:D9)</f>
        <v>-5235410.317503728</v>
      </c>
      <c r="E10" s="246">
        <f t="shared" ca="1" si="2"/>
        <v>-11033009.12202438</v>
      </c>
      <c r="F10" s="246">
        <f t="shared" ca="1" si="2"/>
        <v>-13242865.405331751</v>
      </c>
      <c r="G10" s="246">
        <f t="shared" ca="1" si="2"/>
        <v>-500229.41733829177</v>
      </c>
      <c r="H10" s="246">
        <f t="shared" ca="1" si="2"/>
        <v>-113097.89564190555</v>
      </c>
      <c r="I10" s="246">
        <f t="shared" ca="1" si="2"/>
        <v>-59521.983217464993</v>
      </c>
      <c r="J10" s="246">
        <f t="shared" ca="1" si="2"/>
        <v>0</v>
      </c>
      <c r="K10" s="246">
        <f t="shared" ca="1" si="2"/>
        <v>0</v>
      </c>
      <c r="L10" s="246">
        <f t="shared" ca="1" si="2"/>
        <v>0</v>
      </c>
      <c r="M10" s="246">
        <f t="shared" ca="1" si="2"/>
        <v>0</v>
      </c>
    </row>
    <row r="11" spans="2:18" x14ac:dyDescent="0.2"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2:18" x14ac:dyDescent="0.2">
      <c r="B12" s="229" t="s">
        <v>354</v>
      </c>
      <c r="C12" s="231" t="s">
        <v>49</v>
      </c>
      <c r="D12" s="73" t="str">
        <f>D3</f>
        <v>2026 - 2027</v>
      </c>
      <c r="E12" s="73" t="str">
        <f t="shared" ref="E12:M12" si="3">E3</f>
        <v>2027 - 2028</v>
      </c>
      <c r="F12" s="73" t="str">
        <f t="shared" si="3"/>
        <v>2028 - 2029</v>
      </c>
      <c r="G12" s="73" t="str">
        <f t="shared" si="3"/>
        <v>2029 - 2030</v>
      </c>
      <c r="H12" s="73" t="str">
        <f t="shared" si="3"/>
        <v>2030 - 2031</v>
      </c>
      <c r="I12" s="73" t="str">
        <f t="shared" si="3"/>
        <v>2031 - 2032</v>
      </c>
      <c r="J12" s="73" t="str">
        <f t="shared" si="3"/>
        <v>2032 - 2033</v>
      </c>
      <c r="K12" s="73" t="str">
        <f t="shared" si="3"/>
        <v>2033 - 2034</v>
      </c>
      <c r="L12" s="73" t="str">
        <f t="shared" si="3"/>
        <v>2034 - 2035</v>
      </c>
      <c r="M12" s="73" t="str">
        <f t="shared" si="3"/>
        <v>2035 - 2036</v>
      </c>
    </row>
    <row r="13" spans="2:18" x14ac:dyDescent="0.2">
      <c r="B13" s="224" t="s">
        <v>136</v>
      </c>
      <c r="C13" s="259">
        <f ca="1">SUM(D13:M13)</f>
        <v>7546033.5352514284</v>
      </c>
      <c r="D13" s="256">
        <f ca="1">SUMIF('Draw Schedule'!$F$4:$ET$4,'Levered CF'!D$2,'Draw Schedule'!$F$20:$ET$20)</f>
        <v>3485410.3175037173</v>
      </c>
      <c r="E13" s="256">
        <f ca="1">SUMIF('Draw Schedule'!$F$4:$ET$4,'Levered CF'!E$2,'Draw Schedule'!$F$20:$ET$20)</f>
        <v>4060623.2177489847</v>
      </c>
      <c r="F13" s="256">
        <f ca="1">SUMIF('Draw Schedule'!$F$4:$ET$4,'Levered CF'!F$2,'Draw Schedule'!$F$20:$ET$20)</f>
        <v>0</v>
      </c>
      <c r="G13" s="256">
        <f ca="1">SUMIF('Draw Schedule'!$F$4:$ET$4,'Levered CF'!G$2,'Draw Schedule'!$F$20:$ET$20)</f>
        <v>0</v>
      </c>
      <c r="H13" s="256">
        <f ca="1">SUMIF('Draw Schedule'!$F$4:$ET$4,'Levered CF'!H$2,'Draw Schedule'!$F$20:$ET$20)</f>
        <v>0</v>
      </c>
      <c r="I13" s="256">
        <f ca="1">SUMIF('Draw Schedule'!$F$4:$ET$4,'Levered CF'!I$2,'Draw Schedule'!$F$20:$ET$20)</f>
        <v>0</v>
      </c>
      <c r="J13" s="256">
        <f ca="1">SUMIF('Draw Schedule'!$F$4:$ET$4,'Levered CF'!J$2,'Draw Schedule'!$F$20:$ET$20)</f>
        <v>0</v>
      </c>
      <c r="K13" s="256">
        <f ca="1">SUMIF('Draw Schedule'!$F$4:$ET$4,'Levered CF'!K$2,'Draw Schedule'!$F$20:$ET$20)</f>
        <v>0</v>
      </c>
      <c r="L13" s="256">
        <f ca="1">SUMIF('Draw Schedule'!$F$4:$ET$4,'Levered CF'!L$2,'Draw Schedule'!$F$20:$ET$20)</f>
        <v>0</v>
      </c>
      <c r="M13" s="256">
        <f ca="1">SUMIF('Draw Schedule'!$F$4:$ET$4,'Levered CF'!M$2,'Draw Schedule'!$F$20:$ET$20)</f>
        <v>0</v>
      </c>
    </row>
    <row r="14" spans="2:18" x14ac:dyDescent="0.2">
      <c r="B14" s="223" t="s">
        <v>244</v>
      </c>
      <c r="C14" s="255">
        <f t="shared" ref="C14:C17" ca="1" si="4">SUM(D14:M14)</f>
        <v>0</v>
      </c>
      <c r="D14" s="256">
        <f>SUMIF('Draw Schedule'!$F$4:$ET$4,'Levered CF'!D$2,'Draw Schedule'!$F$21:$ET$21)</f>
        <v>0</v>
      </c>
      <c r="E14" s="256">
        <f ca="1">SUMIF('Draw Schedule'!$F$4:$ET$4,'Levered CF'!E$2,'Draw Schedule'!$F$21:$ET$21)</f>
        <v>0</v>
      </c>
      <c r="F14" s="256">
        <f ca="1">SUMIF('Draw Schedule'!$F$4:$ET$4,'Levered CF'!F$2,'Draw Schedule'!$F$21:$ET$21)</f>
        <v>0</v>
      </c>
      <c r="G14" s="256">
        <f ca="1">SUMIF('Draw Schedule'!$F$4:$ET$4,'Levered CF'!G$2,'Draw Schedule'!$F$21:$ET$21)</f>
        <v>0</v>
      </c>
      <c r="H14" s="256">
        <f ca="1">SUMIF('Draw Schedule'!$F$4:$ET$4,'Levered CF'!H$2,'Draw Schedule'!$F$21:$ET$21)</f>
        <v>0</v>
      </c>
      <c r="I14" s="256">
        <f ca="1">SUMIF('Draw Schedule'!$F$4:$ET$4,'Levered CF'!I$2,'Draw Schedule'!$F$21:$ET$21)</f>
        <v>0</v>
      </c>
      <c r="J14" s="256">
        <f ca="1">SUMIF('Draw Schedule'!$F$4:$ET$4,'Levered CF'!J$2,'Draw Schedule'!$F$21:$ET$21)</f>
        <v>0</v>
      </c>
      <c r="K14" s="256">
        <f ca="1">SUMIF('Draw Schedule'!$F$4:$ET$4,'Levered CF'!K$2,'Draw Schedule'!$F$21:$ET$21)</f>
        <v>0</v>
      </c>
      <c r="L14" s="256">
        <f ca="1">SUMIF('Draw Schedule'!$F$4:$ET$4,'Levered CF'!L$2,'Draw Schedule'!$F$21:$ET$21)</f>
        <v>0</v>
      </c>
      <c r="M14" s="256">
        <f ca="1">SUMIF('Draw Schedule'!$F$4:$ET$4,'Levered CF'!M$2,'Draw Schedule'!$F$21:$ET$21)</f>
        <v>0</v>
      </c>
    </row>
    <row r="15" spans="2:18" x14ac:dyDescent="0.2">
      <c r="B15" s="223" t="s">
        <v>289</v>
      </c>
      <c r="C15" s="257">
        <f t="shared" ca="1" si="4"/>
        <v>0</v>
      </c>
      <c r="D15" s="256">
        <f ca="1">SUMIF('Draw Schedule'!$F$4:$ET$4,'Levered CF'!D$2,'Draw Schedule'!$F$22:$ET$22)</f>
        <v>0</v>
      </c>
      <c r="E15" s="256">
        <f ca="1">SUMIF('Draw Schedule'!$F$4:$ET$4,'Levered CF'!E$2,'Draw Schedule'!$F$22:$ET$22)</f>
        <v>0</v>
      </c>
      <c r="F15" s="256">
        <f ca="1">SUMIF('Draw Schedule'!$F$4:$ET$4,'Levered CF'!F$2,'Draw Schedule'!$F$22:$ET$22)</f>
        <v>0</v>
      </c>
      <c r="G15" s="256">
        <f ca="1">SUMIF('Draw Schedule'!$F$4:$ET$4,'Levered CF'!G$2,'Draw Schedule'!$F$22:$ET$22)</f>
        <v>0</v>
      </c>
      <c r="H15" s="256">
        <f ca="1">SUMIF('Draw Schedule'!$F$4:$ET$4,'Levered CF'!H$2,'Draw Schedule'!$F$22:$ET$22)</f>
        <v>0</v>
      </c>
      <c r="I15" s="256">
        <f ca="1">SUMIF('Draw Schedule'!$F$4:$ET$4,'Levered CF'!I$2,'Draw Schedule'!$F$22:$ET$22)</f>
        <v>0</v>
      </c>
      <c r="J15" s="256">
        <f ca="1">SUMIF('Draw Schedule'!$F$4:$ET$4,'Levered CF'!J$2,'Draw Schedule'!$F$22:$ET$22)</f>
        <v>0</v>
      </c>
      <c r="K15" s="256">
        <f ca="1">SUMIF('Draw Schedule'!$F$4:$ET$4,'Levered CF'!K$2,'Draw Schedule'!$F$22:$ET$22)</f>
        <v>0</v>
      </c>
      <c r="L15" s="256">
        <f ca="1">SUMIF('Draw Schedule'!$F$4:$ET$4,'Levered CF'!L$2,'Draw Schedule'!$F$22:$ET$22)</f>
        <v>0</v>
      </c>
      <c r="M15" s="256">
        <f ca="1">SUMIF('Draw Schedule'!$F$4:$ET$4,'Levered CF'!M$2,'Draw Schedule'!$F$22:$ET$22)</f>
        <v>0</v>
      </c>
    </row>
    <row r="16" spans="2:18" x14ac:dyDescent="0.2">
      <c r="B16" s="225" t="s">
        <v>137</v>
      </c>
      <c r="C16" s="260">
        <f t="shared" ca="1" si="4"/>
        <v>22638100.605564754</v>
      </c>
      <c r="D16" s="242">
        <f ca="1">SUMIF('Draw Schedule'!$F$4:$ET$4,'Levered CF'!D$2,'Draw Schedule'!$F$23:$ET$23)</f>
        <v>1750000</v>
      </c>
      <c r="E16" s="242">
        <f ca="1">SUMIF('Draw Schedule'!$F$4:$ET$4,'Levered CF'!E$2,'Draw Schedule'!$F$23:$ET$23)</f>
        <v>6972385.9042754192</v>
      </c>
      <c r="F16" s="242">
        <f ca="1">SUMIF('Draw Schedule'!$F$4:$ET$4,'Levered CF'!F$2,'Draw Schedule'!$F$23:$ET$23)</f>
        <v>13242865.405331906</v>
      </c>
      <c r="G16" s="242">
        <f ca="1">SUMIF('Draw Schedule'!$F$4:$ET$4,'Levered CF'!G$2,'Draw Schedule'!$F$23:$ET$23)</f>
        <v>500229.41733846645</v>
      </c>
      <c r="H16" s="242">
        <f ca="1">SUMIF('Draw Schedule'!$F$4:$ET$4,'Levered CF'!H$2,'Draw Schedule'!$F$23:$ET$23)</f>
        <v>113097.89564189012</v>
      </c>
      <c r="I16" s="242">
        <f ca="1">SUMIF('Draw Schedule'!$F$4:$ET$4,'Levered CF'!I$2,'Draw Schedule'!$F$23:$ET$23)</f>
        <v>59521.982963703049</v>
      </c>
      <c r="J16" s="242">
        <f ca="1">SUMIF('Draw Schedule'!$F$4:$ET$4,'Levered CF'!J$2,'Draw Schedule'!$F$23:$ET$23)</f>
        <v>0</v>
      </c>
      <c r="K16" s="242">
        <f ca="1">SUMIF('Draw Schedule'!$F$4:$ET$4,'Levered CF'!K$2,'Draw Schedule'!$F$23:$ET$23)</f>
        <v>0</v>
      </c>
      <c r="L16" s="242">
        <f ca="1">SUMIF('Draw Schedule'!$F$4:$ET$4,'Levered CF'!L$2,'Draw Schedule'!$F$23:$ET$23)</f>
        <v>0</v>
      </c>
      <c r="M16" s="242">
        <f ca="1">SUMIF('Draw Schedule'!$F$4:$ET$4,'Levered CF'!M$2,'Draw Schedule'!$F$23:$ET$23)</f>
        <v>0</v>
      </c>
    </row>
    <row r="17" spans="2:13" x14ac:dyDescent="0.2">
      <c r="B17" s="226" t="s">
        <v>138</v>
      </c>
      <c r="C17" s="258">
        <f t="shared" ca="1" si="4"/>
        <v>30184134.140816182</v>
      </c>
      <c r="D17" s="246">
        <f ca="1">SUM(D13:D16)</f>
        <v>5235410.3175037168</v>
      </c>
      <c r="E17" s="246">
        <f t="shared" ref="E17:M17" ca="1" si="5">SUM(E13:E16)</f>
        <v>11033009.122024404</v>
      </c>
      <c r="F17" s="246">
        <f t="shared" ca="1" si="5"/>
        <v>13242865.405331906</v>
      </c>
      <c r="G17" s="246">
        <f t="shared" ca="1" si="5"/>
        <v>500229.41733846645</v>
      </c>
      <c r="H17" s="246">
        <f t="shared" ca="1" si="5"/>
        <v>113097.89564189012</v>
      </c>
      <c r="I17" s="246">
        <f t="shared" ca="1" si="5"/>
        <v>59521.982963703049</v>
      </c>
      <c r="J17" s="246">
        <f t="shared" ca="1" si="5"/>
        <v>0</v>
      </c>
      <c r="K17" s="246">
        <f t="shared" ca="1" si="5"/>
        <v>0</v>
      </c>
      <c r="L17" s="246">
        <f t="shared" ca="1" si="5"/>
        <v>0</v>
      </c>
      <c r="M17" s="246">
        <f t="shared" ca="1" si="5"/>
        <v>0</v>
      </c>
    </row>
    <row r="18" spans="2:13" x14ac:dyDescent="0.2"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spans="2:13" x14ac:dyDescent="0.2">
      <c r="B19" s="229" t="s">
        <v>355</v>
      </c>
      <c r="C19" s="231" t="s">
        <v>49</v>
      </c>
      <c r="D19" s="73" t="str">
        <f>D12</f>
        <v>2026 - 2027</v>
      </c>
      <c r="E19" s="73" t="str">
        <f t="shared" ref="E19:M19" si="6">E12</f>
        <v>2027 - 2028</v>
      </c>
      <c r="F19" s="73" t="str">
        <f t="shared" si="6"/>
        <v>2028 - 2029</v>
      </c>
      <c r="G19" s="73" t="str">
        <f t="shared" si="6"/>
        <v>2029 - 2030</v>
      </c>
      <c r="H19" s="73" t="str">
        <f t="shared" si="6"/>
        <v>2030 - 2031</v>
      </c>
      <c r="I19" s="73" t="str">
        <f t="shared" si="6"/>
        <v>2031 - 2032</v>
      </c>
      <c r="J19" s="73" t="str">
        <f t="shared" si="6"/>
        <v>2032 - 2033</v>
      </c>
      <c r="K19" s="73" t="str">
        <f t="shared" si="6"/>
        <v>2033 - 2034</v>
      </c>
      <c r="L19" s="73" t="str">
        <f t="shared" si="6"/>
        <v>2034 - 2035</v>
      </c>
      <c r="M19" s="73" t="str">
        <f t="shared" si="6"/>
        <v>2035 - 2036</v>
      </c>
    </row>
    <row r="20" spans="2:13" x14ac:dyDescent="0.2">
      <c r="B20" s="223" t="str">
        <f>'Draw Schedule'!B154</f>
        <v>Equity Deployment</v>
      </c>
      <c r="C20" s="255">
        <f t="shared" ref="C20:C34" ca="1" si="7">SUM(D20:M20)</f>
        <v>-7546033.5352527015</v>
      </c>
      <c r="D20" s="256">
        <f ca="1">SUMIF('Draw Schedule'!$F$4:$ET$4,'Levered CF'!D$2,'Draw Schedule'!$F154:$ET154)</f>
        <v>-3485410.317503728</v>
      </c>
      <c r="E20" s="256">
        <f ca="1">SUMIF('Draw Schedule'!$F$4:$ET$4,'Levered CF'!E$2,'Draw Schedule'!$F154:$ET154)</f>
        <v>-4060623.2177501647</v>
      </c>
      <c r="F20" s="256">
        <f ca="1">SUMIF('Draw Schedule'!$F$4:$ET$4,'Levered CF'!F$2,'Draw Schedule'!$F154:$ET154)</f>
        <v>0</v>
      </c>
      <c r="G20" s="256">
        <f ca="1">SUMIF('Draw Schedule'!$F$4:$ET$4,'Levered CF'!G$2,'Draw Schedule'!$F154:$ET154)</f>
        <v>0</v>
      </c>
      <c r="H20" s="256">
        <f ca="1">SUMIF('Draw Schedule'!$F$4:$ET$4,'Levered CF'!H$2,'Draw Schedule'!$F154:$ET154)</f>
        <v>0</v>
      </c>
      <c r="I20" s="256">
        <f ca="1">SUMIF('Draw Schedule'!$F$4:$ET$4,'Levered CF'!I$2,'Draw Schedule'!$F154:$ET154)</f>
        <v>0</v>
      </c>
      <c r="J20" s="256">
        <f ca="1">SUMIF('Draw Schedule'!$F$4:$ET$4,'Levered CF'!J$2,'Draw Schedule'!$F154:$ET154)</f>
        <v>0</v>
      </c>
      <c r="K20" s="256">
        <f ca="1">SUMIF('Draw Schedule'!$F$4:$ET$4,'Levered CF'!K$2,'Draw Schedule'!$F154:$ET154)</f>
        <v>0</v>
      </c>
      <c r="L20" s="256">
        <f ca="1">SUMIF('Draw Schedule'!$F$4:$ET$4,'Levered CF'!L$2,'Draw Schedule'!$F154:$ET154)</f>
        <v>0</v>
      </c>
      <c r="M20" s="256">
        <f ca="1">SUMIF('Draw Schedule'!$F$4:$ET$4,'Levered CF'!M$2,'Draw Schedule'!$F154:$ET154)</f>
        <v>0</v>
      </c>
    </row>
    <row r="21" spans="2:13" x14ac:dyDescent="0.2">
      <c r="B21" s="223" t="str">
        <f>'Draw Schedule'!B155</f>
        <v>Residential Net Operating Income</v>
      </c>
      <c r="C21" s="257">
        <f t="shared" ca="1" si="7"/>
        <v>5517589.7164672464</v>
      </c>
      <c r="D21" s="256">
        <f>SUMIF('Draw Schedule'!$F$4:$ET$4,'Levered CF'!D$2,'Draw Schedule'!$F155:$ET155)</f>
        <v>0</v>
      </c>
      <c r="E21" s="256">
        <f>SUMIF('Draw Schedule'!$F$4:$ET$4,'Levered CF'!E$2,'Draw Schedule'!$F155:$ET155)</f>
        <v>0</v>
      </c>
      <c r="F21" s="256">
        <f ca="1">SUMIF('Draw Schedule'!$F$4:$ET$4,'Levered CF'!F$2,'Draw Schedule'!$F155:$ET155)</f>
        <v>1049.6639200053687</v>
      </c>
      <c r="G21" s="256">
        <f ca="1">SUMIF('Draw Schedule'!$F$4:$ET$4,'Levered CF'!G$2,'Draw Schedule'!$F155:$ET155)</f>
        <v>1048399.3279320125</v>
      </c>
      <c r="H21" s="256">
        <f ca="1">SUMIF('Draw Schedule'!$F$4:$ET$4,'Levered CF'!H$2,'Draw Schedule'!$F155:$ET155)</f>
        <v>1432862.7897854976</v>
      </c>
      <c r="I21" s="256">
        <f ca="1">SUMIF('Draw Schedule'!$F$4:$ET$4,'Levered CF'!I$2,'Draw Schedule'!$F155:$ET155)</f>
        <v>1488820.6628081708</v>
      </c>
      <c r="J21" s="256">
        <f ca="1">SUMIF('Draw Schedule'!$F$4:$ET$4,'Levered CF'!J$2,'Draw Schedule'!$F155:$ET155)</f>
        <v>1546457.2720215246</v>
      </c>
      <c r="K21" s="256">
        <f>SUMIF('Draw Schedule'!$F$4:$ET$4,'Levered CF'!K$2,'Draw Schedule'!$F155:$ET155)</f>
        <v>0</v>
      </c>
      <c r="L21" s="256">
        <f>SUMIF('Draw Schedule'!$F$4:$ET$4,'Levered CF'!L$2,'Draw Schedule'!$F155:$ET155)</f>
        <v>0</v>
      </c>
      <c r="M21" s="256">
        <f>SUMIF('Draw Schedule'!$F$4:$ET$4,'Levered CF'!M$2,'Draw Schedule'!$F155:$ET155)</f>
        <v>0</v>
      </c>
    </row>
    <row r="22" spans="2:13" x14ac:dyDescent="0.2">
      <c r="B22" s="223" t="str">
        <f>'Draw Schedule'!B156</f>
        <v>Retail Net Operating Income</v>
      </c>
      <c r="C22" s="257">
        <f t="shared" ca="1" si="7"/>
        <v>565537.4424893161</v>
      </c>
      <c r="D22" s="256">
        <f>SUMIF('Draw Schedule'!$F$4:$ET$4,'Levered CF'!D$2,'Draw Schedule'!$F156:$ET156)</f>
        <v>0</v>
      </c>
      <c r="E22" s="256">
        <f>SUMIF('Draw Schedule'!$F$4:$ET$4,'Levered CF'!E$2,'Draw Schedule'!$F156:$ET156)</f>
        <v>0</v>
      </c>
      <c r="F22" s="256">
        <f ca="1">SUMIF('Draw Schedule'!$F$4:$ET$4,'Levered CF'!F$2,'Draw Schedule'!$F156:$ET156)</f>
        <v>0</v>
      </c>
      <c r="G22" s="256">
        <f ca="1">SUMIF('Draw Schedule'!$F$4:$ET$4,'Levered CF'!G$2,'Draw Schedule'!$F156:$ET156)</f>
        <v>124194.70800000003</v>
      </c>
      <c r="H22" s="256">
        <f ca="1">SUMIF('Draw Schedule'!$F$4:$ET$4,'Levered CF'!H$2,'Draw Schedule'!$F156:$ET156)</f>
        <v>142787.77524000005</v>
      </c>
      <c r="I22" s="256">
        <f ca="1">SUMIF('Draw Schedule'!$F$4:$ET$4,'Levered CF'!I$2,'Draw Schedule'!$F156:$ET156)</f>
        <v>147071.40849719997</v>
      </c>
      <c r="J22" s="256">
        <f ca="1">SUMIF('Draw Schedule'!$F$4:$ET$4,'Levered CF'!J$2,'Draw Schedule'!$F156:$ET156)</f>
        <v>151483.55075211599</v>
      </c>
      <c r="K22" s="256">
        <f>SUMIF('Draw Schedule'!$F$4:$ET$4,'Levered CF'!K$2,'Draw Schedule'!$F156:$ET156)</f>
        <v>0</v>
      </c>
      <c r="L22" s="256">
        <f>SUMIF('Draw Schedule'!$F$4:$ET$4,'Levered CF'!L$2,'Draw Schedule'!$F156:$ET156)</f>
        <v>0</v>
      </c>
      <c r="M22" s="256">
        <f>SUMIF('Draw Schedule'!$F$4:$ET$4,'Levered CF'!M$2,'Draw Schedule'!$F156:$ET156)</f>
        <v>0</v>
      </c>
    </row>
    <row r="23" spans="2:13" x14ac:dyDescent="0.2">
      <c r="B23" s="223" t="str">
        <f>'Draw Schedule'!B157</f>
        <v>Residential Gross Sale Proceeds</v>
      </c>
      <c r="C23" s="257">
        <f t="shared" ca="1" si="7"/>
        <v>32737808.537684653</v>
      </c>
      <c r="D23" s="256">
        <f>SUMIF('Draw Schedule'!$F$4:$ET$4,'Levered CF'!D$2,'Draw Schedule'!$F157:$ET157)</f>
        <v>0</v>
      </c>
      <c r="E23" s="256">
        <f>SUMIF('Draw Schedule'!$F$4:$ET$4,'Levered CF'!E$2,'Draw Schedule'!$F157:$ET157)</f>
        <v>0</v>
      </c>
      <c r="F23" s="256">
        <f>SUMIF('Draw Schedule'!$F$4:$ET$4,'Levered CF'!F$2,'Draw Schedule'!$F157:$ET157)</f>
        <v>0</v>
      </c>
      <c r="G23" s="256">
        <f>SUMIF('Draw Schedule'!$F$4:$ET$4,'Levered CF'!G$2,'Draw Schedule'!$F157:$ET157)</f>
        <v>0</v>
      </c>
      <c r="H23" s="256">
        <f>SUMIF('Draw Schedule'!$F$4:$ET$4,'Levered CF'!H$2,'Draw Schedule'!$F157:$ET157)</f>
        <v>0</v>
      </c>
      <c r="I23" s="256">
        <f>SUMIF('Draw Schedule'!$F$4:$ET$4,'Levered CF'!I$2,'Draw Schedule'!$F157:$ET157)</f>
        <v>0</v>
      </c>
      <c r="J23" s="256">
        <f ca="1">SUMIF('Draw Schedule'!$F$4:$ET$4,'Levered CF'!J$2,'Draw Schedule'!$F157:$ET157)</f>
        <v>32737808.537684485</v>
      </c>
      <c r="K23" s="256">
        <f>SUMIF('Draw Schedule'!$F$4:$ET$4,'Levered CF'!K$2,'Draw Schedule'!$F157:$ET157)</f>
        <v>0</v>
      </c>
      <c r="L23" s="256">
        <f>SUMIF('Draw Schedule'!$F$4:$ET$4,'Levered CF'!L$2,'Draw Schedule'!$F157:$ET157)</f>
        <v>0</v>
      </c>
      <c r="M23" s="256">
        <f>SUMIF('Draw Schedule'!$F$4:$ET$4,'Levered CF'!M$2,'Draw Schedule'!$F157:$ET157)</f>
        <v>0</v>
      </c>
    </row>
    <row r="24" spans="2:13" x14ac:dyDescent="0.2">
      <c r="B24" s="223" t="str">
        <f>'Draw Schedule'!B158</f>
        <v>Retail Gross Sale Proceeds</v>
      </c>
      <c r="C24" s="257">
        <f t="shared" ca="1" si="7"/>
        <v>2866119.8899566242</v>
      </c>
      <c r="D24" s="256">
        <f>SUMIF('Draw Schedule'!$F$4:$ET$4,'Levered CF'!D$2,'Draw Schedule'!$F158:$ET158)</f>
        <v>0</v>
      </c>
      <c r="E24" s="256">
        <f>SUMIF('Draw Schedule'!$F$4:$ET$4,'Levered CF'!E$2,'Draw Schedule'!$F158:$ET158)</f>
        <v>0</v>
      </c>
      <c r="F24" s="256">
        <f>SUMIF('Draw Schedule'!$F$4:$ET$4,'Levered CF'!F$2,'Draw Schedule'!$F158:$ET158)</f>
        <v>0</v>
      </c>
      <c r="G24" s="256">
        <f>SUMIF('Draw Schedule'!$F$4:$ET$4,'Levered CF'!G$2,'Draw Schedule'!$F158:$ET158)</f>
        <v>0</v>
      </c>
      <c r="H24" s="256">
        <f>SUMIF('Draw Schedule'!$F$4:$ET$4,'Levered CF'!H$2,'Draw Schedule'!$F158:$ET158)</f>
        <v>0</v>
      </c>
      <c r="I24" s="256">
        <f>SUMIF('Draw Schedule'!$F$4:$ET$4,'Levered CF'!I$2,'Draw Schedule'!$F158:$ET158)</f>
        <v>0</v>
      </c>
      <c r="J24" s="256">
        <f ca="1">SUMIF('Draw Schedule'!$F$4:$ET$4,'Levered CF'!J$2,'Draw Schedule'!$F158:$ET158)</f>
        <v>2866119.8899566242</v>
      </c>
      <c r="K24" s="256">
        <f>SUMIF('Draw Schedule'!$F$4:$ET$4,'Levered CF'!K$2,'Draw Schedule'!$F158:$ET158)</f>
        <v>0</v>
      </c>
      <c r="L24" s="256">
        <f>SUMIF('Draw Schedule'!$F$4:$ET$4,'Levered CF'!L$2,'Draw Schedule'!$F158:$ET158)</f>
        <v>0</v>
      </c>
      <c r="M24" s="256">
        <f>SUMIF('Draw Schedule'!$F$4:$ET$4,'Levered CF'!M$2,'Draw Schedule'!$F158:$ET158)</f>
        <v>0</v>
      </c>
    </row>
    <row r="25" spans="2:13" x14ac:dyDescent="0.2">
      <c r="B25" s="223" t="str">
        <f>'Draw Schedule'!B159</f>
        <v>Residential Sale Costs</v>
      </c>
      <c r="C25" s="257">
        <f t="shared" ca="1" si="7"/>
        <v>-327378.08537684655</v>
      </c>
      <c r="D25" s="256">
        <f>SUMIF('Draw Schedule'!$F$4:$ET$4,'Levered CF'!D$2,'Draw Schedule'!$F159:$ET159)</f>
        <v>0</v>
      </c>
      <c r="E25" s="256">
        <f>SUMIF('Draw Schedule'!$F$4:$ET$4,'Levered CF'!E$2,'Draw Schedule'!$F159:$ET159)</f>
        <v>0</v>
      </c>
      <c r="F25" s="256">
        <f>SUMIF('Draw Schedule'!$F$4:$ET$4,'Levered CF'!F$2,'Draw Schedule'!$F159:$ET159)</f>
        <v>0</v>
      </c>
      <c r="G25" s="256">
        <f>SUMIF('Draw Schedule'!$F$4:$ET$4,'Levered CF'!G$2,'Draw Schedule'!$F159:$ET159)</f>
        <v>0</v>
      </c>
      <c r="H25" s="256">
        <f>SUMIF('Draw Schedule'!$F$4:$ET$4,'Levered CF'!H$2,'Draw Schedule'!$F159:$ET159)</f>
        <v>0</v>
      </c>
      <c r="I25" s="256">
        <f>SUMIF('Draw Schedule'!$F$4:$ET$4,'Levered CF'!I$2,'Draw Schedule'!$F159:$ET159)</f>
        <v>0</v>
      </c>
      <c r="J25" s="256">
        <f ca="1">SUMIF('Draw Schedule'!$F$4:$ET$4,'Levered CF'!J$2,'Draw Schedule'!$F159:$ET159)</f>
        <v>-327378.08537684486</v>
      </c>
      <c r="K25" s="256">
        <f>SUMIF('Draw Schedule'!$F$4:$ET$4,'Levered CF'!K$2,'Draw Schedule'!$F159:$ET159)</f>
        <v>0</v>
      </c>
      <c r="L25" s="256">
        <f>SUMIF('Draw Schedule'!$F$4:$ET$4,'Levered CF'!L$2,'Draw Schedule'!$F159:$ET159)</f>
        <v>0</v>
      </c>
      <c r="M25" s="256">
        <f>SUMIF('Draw Schedule'!$F$4:$ET$4,'Levered CF'!M$2,'Draw Schedule'!$F159:$ET159)</f>
        <v>0</v>
      </c>
    </row>
    <row r="26" spans="2:13" x14ac:dyDescent="0.2">
      <c r="B26" s="223" t="str">
        <f>'Draw Schedule'!B160</f>
        <v>Retail Sale Costs</v>
      </c>
      <c r="C26" s="257">
        <f t="shared" ca="1" si="7"/>
        <v>-100314.19614848186</v>
      </c>
      <c r="D26" s="256">
        <f>SUMIF('Draw Schedule'!$F$4:$ET$4,'Levered CF'!D$2,'Draw Schedule'!$F160:$ET160)</f>
        <v>0</v>
      </c>
      <c r="E26" s="256">
        <f>SUMIF('Draw Schedule'!$F$4:$ET$4,'Levered CF'!E$2,'Draw Schedule'!$F160:$ET160)</f>
        <v>0</v>
      </c>
      <c r="F26" s="256">
        <f>SUMIF('Draw Schedule'!$F$4:$ET$4,'Levered CF'!F$2,'Draw Schedule'!$F160:$ET160)</f>
        <v>0</v>
      </c>
      <c r="G26" s="256">
        <f>SUMIF('Draw Schedule'!$F$4:$ET$4,'Levered CF'!G$2,'Draw Schedule'!$F160:$ET160)</f>
        <v>0</v>
      </c>
      <c r="H26" s="256">
        <f>SUMIF('Draw Schedule'!$F$4:$ET$4,'Levered CF'!H$2,'Draw Schedule'!$F160:$ET160)</f>
        <v>0</v>
      </c>
      <c r="I26" s="256">
        <f>SUMIF('Draw Schedule'!$F$4:$ET$4,'Levered CF'!I$2,'Draw Schedule'!$F160:$ET160)</f>
        <v>0</v>
      </c>
      <c r="J26" s="256">
        <f ca="1">SUMIF('Draw Schedule'!$F$4:$ET$4,'Levered CF'!J$2,'Draw Schedule'!$F160:$ET160)</f>
        <v>-100314.19614848186</v>
      </c>
      <c r="K26" s="256">
        <f>SUMIF('Draw Schedule'!$F$4:$ET$4,'Levered CF'!K$2,'Draw Schedule'!$F160:$ET160)</f>
        <v>0</v>
      </c>
      <c r="L26" s="256">
        <f>SUMIF('Draw Schedule'!$F$4:$ET$4,'Levered CF'!L$2,'Draw Schedule'!$F160:$ET160)</f>
        <v>0</v>
      </c>
      <c r="M26" s="256">
        <f>SUMIF('Draw Schedule'!$F$4:$ET$4,'Levered CF'!M$2,'Draw Schedule'!$F160:$ET160)</f>
        <v>0</v>
      </c>
    </row>
    <row r="27" spans="2:13" x14ac:dyDescent="0.2">
      <c r="B27" s="223" t="str">
        <f>'Draw Schedule'!B161</f>
        <v>Ground Lease Rent Paid from NOI</v>
      </c>
      <c r="C27" s="257">
        <f t="shared" ca="1" si="7"/>
        <v>0</v>
      </c>
      <c r="D27" s="256">
        <f>SUMIF('Draw Schedule'!$F$4:$ET$4,'Levered CF'!D$2,'Draw Schedule'!$F161:$ET161)</f>
        <v>0</v>
      </c>
      <c r="E27" s="256">
        <f>SUMIF('Draw Schedule'!$F$4:$ET$4,'Levered CF'!E$2,'Draw Schedule'!$F161:$ET161)</f>
        <v>0</v>
      </c>
      <c r="F27" s="256">
        <f ca="1">SUMIF('Draw Schedule'!$F$4:$ET$4,'Levered CF'!F$2,'Draw Schedule'!$F161:$ET161)</f>
        <v>0</v>
      </c>
      <c r="G27" s="256">
        <f ca="1">SUMIF('Draw Schedule'!$F$4:$ET$4,'Levered CF'!G$2,'Draw Schedule'!$F161:$ET161)</f>
        <v>0</v>
      </c>
      <c r="H27" s="256">
        <f ca="1">SUMIF('Draw Schedule'!$F$4:$ET$4,'Levered CF'!H$2,'Draw Schedule'!$F161:$ET161)</f>
        <v>0</v>
      </c>
      <c r="I27" s="256">
        <f ca="1">SUMIF('Draw Schedule'!$F$4:$ET$4,'Levered CF'!I$2,'Draw Schedule'!$F161:$ET161)</f>
        <v>0</v>
      </c>
      <c r="J27" s="256">
        <f ca="1">SUMIF('Draw Schedule'!$F$4:$ET$4,'Levered CF'!J$2,'Draw Schedule'!$F161:$ET161)</f>
        <v>0</v>
      </c>
      <c r="K27" s="256">
        <f>SUMIF('Draw Schedule'!$F$4:$ET$4,'Levered CF'!K$2,'Draw Schedule'!$F161:$ET161)</f>
        <v>0</v>
      </c>
      <c r="L27" s="256">
        <f>SUMIF('Draw Schedule'!$F$4:$ET$4,'Levered CF'!L$2,'Draw Schedule'!$F161:$ET161)</f>
        <v>0</v>
      </c>
      <c r="M27" s="256">
        <f>SUMIF('Draw Schedule'!$F$4:$ET$4,'Levered CF'!M$2,'Draw Schedule'!$F161:$ET161)</f>
        <v>0</v>
      </c>
    </row>
    <row r="28" spans="2:13" x14ac:dyDescent="0.2">
      <c r="B28" s="223" t="str">
        <f>'Draw Schedule'!B162</f>
        <v>Construction Loan Interest Paid from NOI</v>
      </c>
      <c r="C28" s="257">
        <f t="shared" ca="1" si="7"/>
        <v>-6083043.8815969843</v>
      </c>
      <c r="D28" s="256">
        <f ca="1">SUMIF('Draw Schedule'!$F$4:$ET$4,'Levered CF'!D$2,'Draw Schedule'!$F162:$ET162)</f>
        <v>0</v>
      </c>
      <c r="E28" s="256">
        <f ca="1">SUMIF('Draw Schedule'!$F$4:$ET$4,'Levered CF'!E$2,'Draw Schedule'!$F162:$ET162)</f>
        <v>0</v>
      </c>
      <c r="F28" s="256">
        <f ca="1">SUMIF('Draw Schedule'!$F$4:$ET$4,'Levered CF'!F$2,'Draw Schedule'!$F162:$ET162)</f>
        <v>-1049.6639200053687</v>
      </c>
      <c r="G28" s="256">
        <f ca="1">SUMIF('Draw Schedule'!$F$4:$ET$4,'Levered CF'!G$2,'Draw Schedule'!$F162:$ET162)</f>
        <v>-1172594.0359320124</v>
      </c>
      <c r="H28" s="256">
        <f ca="1">SUMIF('Draw Schedule'!$F$4:$ET$4,'Levered CF'!H$2,'Draw Schedule'!$F162:$ET162)</f>
        <v>-1575650.5650254975</v>
      </c>
      <c r="I28" s="256">
        <f ca="1">SUMIF('Draw Schedule'!$F$4:$ET$4,'Levered CF'!I$2,'Draw Schedule'!$F162:$ET162)</f>
        <v>-1635892.0713053709</v>
      </c>
      <c r="J28" s="256">
        <f ca="1">SUMIF('Draw Schedule'!$F$4:$ET$4,'Levered CF'!J$2,'Draw Schedule'!$F162:$ET162)</f>
        <v>-1697857.5454143304</v>
      </c>
      <c r="K28" s="256">
        <f ca="1">SUMIF('Draw Schedule'!$F$4:$ET$4,'Levered CF'!K$2,'Draw Schedule'!$F162:$ET162)</f>
        <v>0</v>
      </c>
      <c r="L28" s="256">
        <f ca="1">SUMIF('Draw Schedule'!$F$4:$ET$4,'Levered CF'!L$2,'Draw Schedule'!$F162:$ET162)</f>
        <v>0</v>
      </c>
      <c r="M28" s="256">
        <f ca="1">SUMIF('Draw Schedule'!$F$4:$ET$4,'Levered CF'!M$2,'Draw Schedule'!$F162:$ET162)</f>
        <v>0</v>
      </c>
    </row>
    <row r="29" spans="2:13" x14ac:dyDescent="0.2">
      <c r="B29" s="223" t="str">
        <f>'Draw Schedule'!B163</f>
        <v>Construction Loan Paydown</v>
      </c>
      <c r="C29" s="257">
        <f t="shared" ca="1" si="7"/>
        <v>-22638100.605482161</v>
      </c>
      <c r="D29" s="256">
        <f ca="1">SUMIF('Draw Schedule'!$F$4:$ET$4,'Levered CF'!D$2,'Draw Schedule'!$F163:$ET163)</f>
        <v>0</v>
      </c>
      <c r="E29" s="256">
        <f ca="1">SUMIF('Draw Schedule'!$F$4:$ET$4,'Levered CF'!E$2,'Draw Schedule'!$F163:$ET163)</f>
        <v>0</v>
      </c>
      <c r="F29" s="256">
        <f ca="1">SUMIF('Draw Schedule'!$F$4:$ET$4,'Levered CF'!F$2,'Draw Schedule'!$F163:$ET163)</f>
        <v>0</v>
      </c>
      <c r="G29" s="256">
        <f ca="1">SUMIF('Draw Schedule'!$F$4:$ET$4,'Levered CF'!G$2,'Draw Schedule'!$F163:$ET163)</f>
        <v>0</v>
      </c>
      <c r="H29" s="256">
        <f ca="1">SUMIF('Draw Schedule'!$F$4:$ET$4,'Levered CF'!H$2,'Draw Schedule'!$F163:$ET163)</f>
        <v>0</v>
      </c>
      <c r="I29" s="256">
        <f ca="1">SUMIF('Draw Schedule'!$F$4:$ET$4,'Levered CF'!I$2,'Draw Schedule'!$F163:$ET163)</f>
        <v>0</v>
      </c>
      <c r="J29" s="256">
        <f ca="1">SUMIF('Draw Schedule'!$F$4:$ET$4,'Levered CF'!J$2,'Draw Schedule'!$F163:$ET163)</f>
        <v>-22638100.605516288</v>
      </c>
      <c r="K29" s="256">
        <f ca="1">SUMIF('Draw Schedule'!$F$4:$ET$4,'Levered CF'!K$2,'Draw Schedule'!$F163:$ET163)</f>
        <v>0</v>
      </c>
      <c r="L29" s="256">
        <f ca="1">SUMIF('Draw Schedule'!$F$4:$ET$4,'Levered CF'!L$2,'Draw Schedule'!$F163:$ET163)</f>
        <v>0</v>
      </c>
      <c r="M29" s="256">
        <f ca="1">SUMIF('Draw Schedule'!$F$4:$ET$4,'Levered CF'!M$2,'Draw Schedule'!$F163:$ET163)</f>
        <v>0</v>
      </c>
    </row>
    <row r="30" spans="2:13" x14ac:dyDescent="0.2">
      <c r="B30" s="223" t="str">
        <f>'Draw Schedule'!B164</f>
        <v>Mezz Loan Paydown</v>
      </c>
      <c r="C30" s="257">
        <f t="shared" ca="1" si="7"/>
        <v>0</v>
      </c>
      <c r="D30" s="256">
        <f ca="1">SUMIF('Draw Schedule'!$F$4:$ET$4,'Levered CF'!D$2,'Draw Schedule'!$F164:$ET164)</f>
        <v>0</v>
      </c>
      <c r="E30" s="256">
        <f ca="1">SUMIF('Draw Schedule'!$F$4:$ET$4,'Levered CF'!E$2,'Draw Schedule'!$F164:$ET164)</f>
        <v>0</v>
      </c>
      <c r="F30" s="256">
        <f ca="1">SUMIF('Draw Schedule'!$F$4:$ET$4,'Levered CF'!F$2,'Draw Schedule'!$F164:$ET164)</f>
        <v>0</v>
      </c>
      <c r="G30" s="256">
        <f ca="1">SUMIF('Draw Schedule'!$F$4:$ET$4,'Levered CF'!G$2,'Draw Schedule'!$F164:$ET164)</f>
        <v>0</v>
      </c>
      <c r="H30" s="256">
        <f ca="1">SUMIF('Draw Schedule'!$F$4:$ET$4,'Levered CF'!H$2,'Draw Schedule'!$F164:$ET164)</f>
        <v>0</v>
      </c>
      <c r="I30" s="256">
        <f ca="1">SUMIF('Draw Schedule'!$F$4:$ET$4,'Levered CF'!I$2,'Draw Schedule'!$F164:$ET164)</f>
        <v>0</v>
      </c>
      <c r="J30" s="256">
        <f ca="1">SUMIF('Draw Schedule'!$F$4:$ET$4,'Levered CF'!J$2,'Draw Schedule'!$F164:$ET164)</f>
        <v>0</v>
      </c>
      <c r="K30" s="256">
        <f ca="1">SUMIF('Draw Schedule'!$F$4:$ET$4,'Levered CF'!K$2,'Draw Schedule'!$F164:$ET164)</f>
        <v>0</v>
      </c>
      <c r="L30" s="256">
        <f ca="1">SUMIF('Draw Schedule'!$F$4:$ET$4,'Levered CF'!L$2,'Draw Schedule'!$F164:$ET164)</f>
        <v>0</v>
      </c>
      <c r="M30" s="256">
        <f ca="1">SUMIF('Draw Schedule'!$F$4:$ET$4,'Levered CF'!M$2,'Draw Schedule'!$F164:$ET164)</f>
        <v>0</v>
      </c>
    </row>
    <row r="31" spans="2:13" x14ac:dyDescent="0.2">
      <c r="B31" s="223" t="str">
        <f>'Draw Schedule'!B165</f>
        <v>Permament Loan Proceeds After Closing Costs</v>
      </c>
      <c r="C31" s="257">
        <f t="shared" si="7"/>
        <v>0</v>
      </c>
      <c r="D31" s="256">
        <f>SUMIF('Draw Schedule'!$F$4:$ET$4,'Levered CF'!D$2,'Draw Schedule'!$F165:$ET165)</f>
        <v>0</v>
      </c>
      <c r="E31" s="256">
        <f>SUMIF('Draw Schedule'!$F$4:$ET$4,'Levered CF'!E$2,'Draw Schedule'!$F165:$ET165)</f>
        <v>0</v>
      </c>
      <c r="F31" s="256">
        <f>SUMIF('Draw Schedule'!$F$4:$ET$4,'Levered CF'!F$2,'Draw Schedule'!$F165:$ET165)</f>
        <v>0</v>
      </c>
      <c r="G31" s="256">
        <f>SUMIF('Draw Schedule'!$F$4:$ET$4,'Levered CF'!G$2,'Draw Schedule'!$F165:$ET165)</f>
        <v>0</v>
      </c>
      <c r="H31" s="256">
        <f>SUMIF('Draw Schedule'!$F$4:$ET$4,'Levered CF'!H$2,'Draw Schedule'!$F165:$ET165)</f>
        <v>0</v>
      </c>
      <c r="I31" s="256">
        <f>SUMIF('Draw Schedule'!$F$4:$ET$4,'Levered CF'!I$2,'Draw Schedule'!$F165:$ET165)</f>
        <v>0</v>
      </c>
      <c r="J31" s="256">
        <f>SUMIF('Draw Schedule'!$F$4:$ET$4,'Levered CF'!J$2,'Draw Schedule'!$F165:$ET165)</f>
        <v>0</v>
      </c>
      <c r="K31" s="256">
        <f>SUMIF('Draw Schedule'!$F$4:$ET$4,'Levered CF'!K$2,'Draw Schedule'!$F165:$ET165)</f>
        <v>0</v>
      </c>
      <c r="L31" s="256">
        <f>SUMIF('Draw Schedule'!$F$4:$ET$4,'Levered CF'!L$2,'Draw Schedule'!$F165:$ET165)</f>
        <v>0</v>
      </c>
      <c r="M31" s="256">
        <f>SUMIF('Draw Schedule'!$F$4:$ET$4,'Levered CF'!M$2,'Draw Schedule'!$F165:$ET165)</f>
        <v>0</v>
      </c>
    </row>
    <row r="32" spans="2:13" x14ac:dyDescent="0.2">
      <c r="B32" s="223" t="str">
        <f>'Draw Schedule'!B166</f>
        <v>Permament Loan Debt Service Payments</v>
      </c>
      <c r="C32" s="257">
        <f t="shared" si="7"/>
        <v>0</v>
      </c>
      <c r="D32" s="256">
        <f>SUMIF('Draw Schedule'!$F$4:$ET$4,'Levered CF'!D$2,'Draw Schedule'!$F166:$ET166)</f>
        <v>0</v>
      </c>
      <c r="E32" s="256">
        <f>SUMIF('Draw Schedule'!$F$4:$ET$4,'Levered CF'!E$2,'Draw Schedule'!$F166:$ET166)</f>
        <v>0</v>
      </c>
      <c r="F32" s="256">
        <f>SUMIF('Draw Schedule'!$F$4:$ET$4,'Levered CF'!F$2,'Draw Schedule'!$F166:$ET166)</f>
        <v>0</v>
      </c>
      <c r="G32" s="256">
        <f>SUMIF('Draw Schedule'!$F$4:$ET$4,'Levered CF'!G$2,'Draw Schedule'!$F166:$ET166)</f>
        <v>0</v>
      </c>
      <c r="H32" s="256">
        <f>SUMIF('Draw Schedule'!$F$4:$ET$4,'Levered CF'!H$2,'Draw Schedule'!$F166:$ET166)</f>
        <v>0</v>
      </c>
      <c r="I32" s="256">
        <f>SUMIF('Draw Schedule'!$F$4:$ET$4,'Levered CF'!I$2,'Draw Schedule'!$F166:$ET166)</f>
        <v>0</v>
      </c>
      <c r="J32" s="256">
        <f>SUMIF('Draw Schedule'!$F$4:$ET$4,'Levered CF'!J$2,'Draw Schedule'!$F166:$ET166)</f>
        <v>0</v>
      </c>
      <c r="K32" s="256">
        <f>SUMIF('Draw Schedule'!$F$4:$ET$4,'Levered CF'!K$2,'Draw Schedule'!$F166:$ET166)</f>
        <v>0</v>
      </c>
      <c r="L32" s="256">
        <f>SUMIF('Draw Schedule'!$F$4:$ET$4,'Levered CF'!L$2,'Draw Schedule'!$F166:$ET166)</f>
        <v>0</v>
      </c>
      <c r="M32" s="256">
        <f>SUMIF('Draw Schedule'!$F$4:$ET$4,'Levered CF'!M$2,'Draw Schedule'!$F166:$ET166)</f>
        <v>0</v>
      </c>
    </row>
    <row r="33" spans="2:13" x14ac:dyDescent="0.2">
      <c r="B33" s="223" t="str">
        <f>'Draw Schedule'!B167</f>
        <v>Permament Loan Payoff</v>
      </c>
      <c r="C33" s="257">
        <f t="shared" si="7"/>
        <v>0</v>
      </c>
      <c r="D33" s="256">
        <f>SUMIF('Draw Schedule'!$F$4:$ET$4,'Levered CF'!D$2,'Draw Schedule'!$F167:$ET167)</f>
        <v>0</v>
      </c>
      <c r="E33" s="256">
        <f>SUMIF('Draw Schedule'!$F$4:$ET$4,'Levered CF'!E$2,'Draw Schedule'!$F167:$ET167)</f>
        <v>0</v>
      </c>
      <c r="F33" s="256">
        <f>SUMIF('Draw Schedule'!$F$4:$ET$4,'Levered CF'!F$2,'Draw Schedule'!$F167:$ET167)</f>
        <v>0</v>
      </c>
      <c r="G33" s="256">
        <f>SUMIF('Draw Schedule'!$F$4:$ET$4,'Levered CF'!G$2,'Draw Schedule'!$F167:$ET167)</f>
        <v>0</v>
      </c>
      <c r="H33" s="256">
        <f>SUMIF('Draw Schedule'!$F$4:$ET$4,'Levered CF'!H$2,'Draw Schedule'!$F167:$ET167)</f>
        <v>0</v>
      </c>
      <c r="I33" s="256">
        <f>SUMIF('Draw Schedule'!$F$4:$ET$4,'Levered CF'!I$2,'Draw Schedule'!$F167:$ET167)</f>
        <v>0</v>
      </c>
      <c r="J33" s="256">
        <f>SUMIF('Draw Schedule'!$F$4:$ET$4,'Levered CF'!J$2,'Draw Schedule'!$F167:$ET167)</f>
        <v>0</v>
      </c>
      <c r="K33" s="256">
        <f>SUMIF('Draw Schedule'!$F$4:$ET$4,'Levered CF'!K$2,'Draw Schedule'!$F167:$ET167)</f>
        <v>0</v>
      </c>
      <c r="L33" s="256">
        <f>SUMIF('Draw Schedule'!$F$4:$ET$4,'Levered CF'!L$2,'Draw Schedule'!$F167:$ET167)</f>
        <v>0</v>
      </c>
      <c r="M33" s="256">
        <f>SUMIF('Draw Schedule'!$F$4:$ET$4,'Levered CF'!M$2,'Draw Schedule'!$F167:$ET167)</f>
        <v>0</v>
      </c>
    </row>
    <row r="34" spans="2:13" x14ac:dyDescent="0.2">
      <c r="B34" s="226" t="str">
        <f>'Draw Schedule'!B168</f>
        <v>Total Levered Cash Flow</v>
      </c>
      <c r="C34" s="258">
        <f t="shared" ca="1" si="7"/>
        <v>4992185.2827406563</v>
      </c>
      <c r="D34" s="246">
        <f ca="1">SUM(D20:D33)</f>
        <v>-3485410.317503728</v>
      </c>
      <c r="E34" s="246">
        <f t="shared" ref="E34:M34" ca="1" si="8">SUM(E20:E33)</f>
        <v>-4060623.2177501647</v>
      </c>
      <c r="F34" s="246">
        <f t="shared" ca="1" si="8"/>
        <v>0</v>
      </c>
      <c r="G34" s="246">
        <f t="shared" ca="1" si="8"/>
        <v>2.3283064365386963E-10</v>
      </c>
      <c r="H34" s="246">
        <f t="shared" ca="1" si="8"/>
        <v>2.3283064365386963E-10</v>
      </c>
      <c r="I34" s="246">
        <f t="shared" ca="1" si="8"/>
        <v>-2.3283064365386963E-10</v>
      </c>
      <c r="J34" s="246">
        <f t="shared" ca="1" si="8"/>
        <v>12538218.817958806</v>
      </c>
      <c r="K34" s="246">
        <f t="shared" ca="1" si="8"/>
        <v>0</v>
      </c>
      <c r="L34" s="246">
        <f t="shared" ca="1" si="8"/>
        <v>0</v>
      </c>
      <c r="M34" s="246">
        <f t="shared" ca="1" si="8"/>
        <v>0</v>
      </c>
    </row>
    <row r="35" spans="2:13" x14ac:dyDescent="0.2"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spans="2:13" x14ac:dyDescent="0.2"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2:13" x14ac:dyDescent="0.2"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2:13" x14ac:dyDescent="0.2"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spans="2:13" x14ac:dyDescent="0.2"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2:13" x14ac:dyDescent="0.2"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2:13" x14ac:dyDescent="0.2"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2:13" x14ac:dyDescent="0.2">
      <c r="D42" s="36"/>
      <c r="E42" s="36"/>
      <c r="F42" s="36"/>
      <c r="G42" s="36"/>
      <c r="H42" s="36"/>
      <c r="I42" s="36"/>
      <c r="J42" s="36"/>
      <c r="K42" s="36"/>
      <c r="L42" s="36"/>
      <c r="M42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F5F7-B7AB-4956-8922-0CF866611355}">
  <dimension ref="B2:J64"/>
  <sheetViews>
    <sheetView showGridLines="0" zoomScale="150" zoomScaleNormal="80" workbookViewId="0">
      <selection activeCell="G21" sqref="G21"/>
    </sheetView>
  </sheetViews>
  <sheetFormatPr baseColWidth="10" defaultColWidth="8.83203125" defaultRowHeight="15" x14ac:dyDescent="0.2"/>
  <cols>
    <col min="1" max="1" width="5.1640625" customWidth="1"/>
    <col min="2" max="2" width="35.33203125" customWidth="1"/>
    <col min="3" max="10" width="12.33203125" bestFit="1" customWidth="1"/>
  </cols>
  <sheetData>
    <row r="2" spans="2:10" x14ac:dyDescent="0.2">
      <c r="B2" s="104" t="s">
        <v>196</v>
      </c>
      <c r="C2" s="105">
        <v>1</v>
      </c>
      <c r="D2" s="105">
        <f>C2+1</f>
        <v>2</v>
      </c>
      <c r="E2" s="105">
        <f>D2+1</f>
        <v>3</v>
      </c>
      <c r="F2" s="105">
        <f t="shared" ref="F2:J2" si="0">E2+1</f>
        <v>4</v>
      </c>
      <c r="G2" s="105">
        <f t="shared" si="0"/>
        <v>5</v>
      </c>
      <c r="H2" s="105">
        <f t="shared" si="0"/>
        <v>6</v>
      </c>
      <c r="I2" s="105">
        <f t="shared" si="0"/>
        <v>7</v>
      </c>
      <c r="J2" s="105">
        <f t="shared" si="0"/>
        <v>8</v>
      </c>
    </row>
    <row r="4" spans="2:10" x14ac:dyDescent="0.2">
      <c r="B4" t="s">
        <v>148</v>
      </c>
      <c r="C4" s="242">
        <f>SUMIF('Draw Schedule'!$F$5:$ET$5,'Net CF Post TCO'!C$2,'Draw Schedule'!$F44:$ET44)</f>
        <v>2084938.0110360007</v>
      </c>
      <c r="D4" s="242">
        <f>SUMIF('Draw Schedule'!$F$5:$ET$5,'Net CF Post TCO'!D$2,'Draw Schedule'!$F44:$ET44)</f>
        <v>2147486.1513670804</v>
      </c>
      <c r="E4" s="242">
        <f>SUMIF('Draw Schedule'!$F$5:$ET$5,'Net CF Post TCO'!E$2,'Draw Schedule'!$F44:$ET44)</f>
        <v>2211910.7359080929</v>
      </c>
      <c r="F4" s="242">
        <f>SUMIF('Draw Schedule'!$F$5:$ET$5,'Net CF Post TCO'!F$2,'Draw Schedule'!$F44:$ET44)</f>
        <v>2278268.0579853356</v>
      </c>
      <c r="G4" s="242">
        <f>SUMIF('Draw Schedule'!$F$5:$ET$5,'Net CF Post TCO'!G$2,'Draw Schedule'!$F44:$ET44)</f>
        <v>2346616.0997248953</v>
      </c>
      <c r="H4" s="242">
        <f>SUMIF('Draw Schedule'!$F$5:$ET$5,'Net CF Post TCO'!H$2,'Draw Schedule'!$F44:$ET44)</f>
        <v>2417014.5827166419</v>
      </c>
      <c r="I4" s="242">
        <f>SUMIF('Draw Schedule'!$F$5:$ET$5,'Net CF Post TCO'!I$2,'Draw Schedule'!$F44:$ET44)</f>
        <v>2489525.0201981412</v>
      </c>
      <c r="J4" s="242">
        <f>SUMIF('Draw Schedule'!$F$5:$ET$5,'Net CF Post TCO'!J$2,'Draw Schedule'!$F44:$ET44)</f>
        <v>2564210.7708040853</v>
      </c>
    </row>
    <row r="5" spans="2:10" x14ac:dyDescent="0.2">
      <c r="B5" t="s">
        <v>149</v>
      </c>
      <c r="C5" s="242">
        <f>SUMIF('Draw Schedule'!$F$5:$ET$5,'Net CF Post TCO'!C$2,'Draw Schedule'!$F45:$ET45)</f>
        <v>0</v>
      </c>
      <c r="D5" s="242">
        <f>SUMIF('Draw Schedule'!$F$5:$ET$5,'Net CF Post TCO'!D$2,'Draw Schedule'!$F45:$ET45)</f>
        <v>0</v>
      </c>
      <c r="E5" s="242">
        <f>SUMIF('Draw Schedule'!$F$5:$ET$5,'Net CF Post TCO'!E$2,'Draw Schedule'!$F45:$ET45)</f>
        <v>0</v>
      </c>
      <c r="F5" s="242">
        <f>SUMIF('Draw Schedule'!$F$5:$ET$5,'Net CF Post TCO'!F$2,'Draw Schedule'!$F45:$ET45)</f>
        <v>0</v>
      </c>
      <c r="G5" s="242">
        <f>SUMIF('Draw Schedule'!$F$5:$ET$5,'Net CF Post TCO'!G$2,'Draw Schedule'!$F45:$ET45)</f>
        <v>0</v>
      </c>
      <c r="H5" s="242">
        <f>SUMIF('Draw Schedule'!$F$5:$ET$5,'Net CF Post TCO'!H$2,'Draw Schedule'!$F45:$ET45)</f>
        <v>0</v>
      </c>
      <c r="I5" s="242">
        <f>SUMIF('Draw Schedule'!$F$5:$ET$5,'Net CF Post TCO'!I$2,'Draw Schedule'!$F45:$ET45)</f>
        <v>0</v>
      </c>
      <c r="J5" s="242">
        <f>SUMIF('Draw Schedule'!$F$5:$ET$5,'Net CF Post TCO'!J$2,'Draw Schedule'!$F45:$ET45)</f>
        <v>0</v>
      </c>
    </row>
    <row r="6" spans="2:10" x14ac:dyDescent="0.2">
      <c r="B6" t="s">
        <v>150</v>
      </c>
      <c r="C6" s="242">
        <f>SUMIF('Draw Schedule'!$F$5:$ET$5,'Net CF Post TCO'!C$2,'Draw Schedule'!$F46:$ET46)</f>
        <v>118800</v>
      </c>
      <c r="D6" s="242">
        <f>SUMIF('Draw Schedule'!$F$5:$ET$5,'Net CF Post TCO'!D$2,'Draw Schedule'!$F46:$ET46)</f>
        <v>122364</v>
      </c>
      <c r="E6" s="242">
        <f>SUMIF('Draw Schedule'!$F$5:$ET$5,'Net CF Post TCO'!E$2,'Draw Schedule'!$F46:$ET46)</f>
        <v>126034.92000000003</v>
      </c>
      <c r="F6" s="242">
        <f>SUMIF('Draw Schedule'!$F$5:$ET$5,'Net CF Post TCO'!F$2,'Draw Schedule'!$F46:$ET46)</f>
        <v>129815.96760000002</v>
      </c>
      <c r="G6" s="242">
        <f>SUMIF('Draw Schedule'!$F$5:$ET$5,'Net CF Post TCO'!G$2,'Draw Schedule'!$F46:$ET46)</f>
        <v>133710.44662799995</v>
      </c>
      <c r="H6" s="242">
        <f>SUMIF('Draw Schedule'!$F$5:$ET$5,'Net CF Post TCO'!H$2,'Draw Schedule'!$F46:$ET46)</f>
        <v>137721.76002683997</v>
      </c>
      <c r="I6" s="242">
        <f>SUMIF('Draw Schedule'!$F$5:$ET$5,'Net CF Post TCO'!I$2,'Draw Schedule'!$F46:$ET46)</f>
        <v>141853.41282764522</v>
      </c>
      <c r="J6" s="242">
        <f>SUMIF('Draw Schedule'!$F$5:$ET$5,'Net CF Post TCO'!J$2,'Draw Schedule'!$F46:$ET46)</f>
        <v>146109.01521247459</v>
      </c>
    </row>
    <row r="7" spans="2:10" x14ac:dyDescent="0.2">
      <c r="B7" t="s">
        <v>198</v>
      </c>
      <c r="C7" s="242">
        <f>SUMIF('Draw Schedule'!$F$5:$ET$5,'Net CF Post TCO'!C$2,'Draw Schedule'!$F68:$ET68)</f>
        <v>142560</v>
      </c>
      <c r="D7" s="242">
        <f>SUMIF('Draw Schedule'!$F$5:$ET$5,'Net CF Post TCO'!D$2,'Draw Schedule'!$F68:$ET68)</f>
        <v>146836.79999999999</v>
      </c>
      <c r="E7" s="242">
        <f>SUMIF('Draw Schedule'!$F$5:$ET$5,'Net CF Post TCO'!E$2,'Draw Schedule'!$F68:$ET68)</f>
        <v>151241.90400000001</v>
      </c>
      <c r="F7" s="242">
        <f>SUMIF('Draw Schedule'!$F$5:$ET$5,'Net CF Post TCO'!F$2,'Draw Schedule'!$F68:$ET68)</f>
        <v>155779.16112</v>
      </c>
      <c r="G7" s="242">
        <f>SUMIF('Draw Schedule'!$F$5:$ET$5,'Net CF Post TCO'!G$2,'Draw Schedule'!$F68:$ET68)</f>
        <v>160452.53595360005</v>
      </c>
      <c r="H7" s="242">
        <f>SUMIF('Draw Schedule'!$F$5:$ET$5,'Net CF Post TCO'!H$2,'Draw Schedule'!$F68:$ET68)</f>
        <v>165266.11203220792</v>
      </c>
      <c r="I7" s="242">
        <f>SUMIF('Draw Schedule'!$F$5:$ET$5,'Net CF Post TCO'!I$2,'Draw Schedule'!$F68:$ET68)</f>
        <v>170224.09539317421</v>
      </c>
      <c r="J7" s="242">
        <f>SUMIF('Draw Schedule'!$F$5:$ET$5,'Net CF Post TCO'!J$2,'Draw Schedule'!$F68:$ET68)</f>
        <v>175330.81825496952</v>
      </c>
    </row>
    <row r="8" spans="2:10" x14ac:dyDescent="0.2">
      <c r="B8" t="s">
        <v>151</v>
      </c>
      <c r="C8" s="242">
        <f>SUMIF('Draw Schedule'!$F$5:$ET$5,'Net CF Post TCO'!C$2,'Draw Schedule'!$F47:$ET47)+SUMIF('Draw Schedule'!$F$5:$ET$5,'Net CF Post TCO'!C$2,'Draw Schedule'!$F69:$ET69)</f>
        <v>-506753.09468580014</v>
      </c>
      <c r="D8" s="242">
        <f>SUMIF('Draw Schedule'!$F$5:$ET$5,'Net CF Post TCO'!D$2,'Draw Schedule'!$F47:$ET47)+SUMIF('Draw Schedule'!$F$5:$ET$5,'Net CF Post TCO'!D$2,'Draw Schedule'!$F69:$ET69)</f>
        <v>-113492.50756835412</v>
      </c>
      <c r="E8" s="242">
        <f>SUMIF('Draw Schedule'!$F$5:$ET$5,'Net CF Post TCO'!E$2,'Draw Schedule'!$F47:$ET47)+SUMIF('Draw Schedule'!$F$5:$ET$5,'Net CF Post TCO'!E$2,'Draw Schedule'!$F69:$ET69)</f>
        <v>-116897.28279540472</v>
      </c>
      <c r="F8" s="242">
        <f>SUMIF('Draw Schedule'!$F$5:$ET$5,'Net CF Post TCO'!F$2,'Draw Schedule'!$F47:$ET47)+SUMIF('Draw Schedule'!$F$5:$ET$5,'Net CF Post TCO'!F$2,'Draw Schedule'!$F69:$ET69)</f>
        <v>-120404.20127926685</v>
      </c>
      <c r="G8" s="242">
        <f>SUMIF('Draw Schedule'!$F$5:$ET$5,'Net CF Post TCO'!G$2,'Draw Schedule'!$F47:$ET47)+SUMIF('Draw Schedule'!$F$5:$ET$5,'Net CF Post TCO'!G$2,'Draw Schedule'!$F69:$ET69)</f>
        <v>-124016.32731764484</v>
      </c>
      <c r="H8" s="242">
        <f>SUMIF('Draw Schedule'!$F$5:$ET$5,'Net CF Post TCO'!H$2,'Draw Schedule'!$F47:$ET47)+SUMIF('Draw Schedule'!$F$5:$ET$5,'Net CF Post TCO'!H$2,'Draw Schedule'!$F69:$ET69)</f>
        <v>-127736.81713717416</v>
      </c>
      <c r="I8" s="242">
        <f>SUMIF('Draw Schedule'!$F$5:$ET$5,'Net CF Post TCO'!I$2,'Draw Schedule'!$F47:$ET47)+SUMIF('Draw Schedule'!$F$5:$ET$5,'Net CF Post TCO'!I$2,'Draw Schedule'!$F69:$ET69)</f>
        <v>-131568.92165128942</v>
      </c>
      <c r="J8" s="242">
        <f>SUMIF('Draw Schedule'!$F$5:$ET$5,'Net CF Post TCO'!J$2,'Draw Schedule'!$F47:$ET47)+SUMIF('Draw Schedule'!$F$5:$ET$5,'Net CF Post TCO'!J$2,'Draw Schedule'!$F69:$ET69)</f>
        <v>-135515.98930082811</v>
      </c>
    </row>
    <row r="9" spans="2:10" x14ac:dyDescent="0.2">
      <c r="B9" t="s">
        <v>152</v>
      </c>
      <c r="C9" s="242">
        <f>SUMIF('Draw Schedule'!$F$5:$ET$5,'Net CF Post TCO'!C$2,'Draw Schedule'!$F48:$ET48)</f>
        <v>-69644.329478266664</v>
      </c>
      <c r="D9" s="242">
        <f>SUMIF('Draw Schedule'!$F$5:$ET$5,'Net CF Post TCO'!D$2,'Draw Schedule'!$F48:$ET48)</f>
        <v>0</v>
      </c>
      <c r="E9" s="242">
        <f>SUMIF('Draw Schedule'!$F$5:$ET$5,'Net CF Post TCO'!E$2,'Draw Schedule'!$F48:$ET48)</f>
        <v>0</v>
      </c>
      <c r="F9" s="242">
        <f>SUMIF('Draw Schedule'!$F$5:$ET$5,'Net CF Post TCO'!F$2,'Draw Schedule'!$F48:$ET48)</f>
        <v>0</v>
      </c>
      <c r="G9" s="242">
        <f>SUMIF('Draw Schedule'!$F$5:$ET$5,'Net CF Post TCO'!G$2,'Draw Schedule'!$F48:$ET48)</f>
        <v>0</v>
      </c>
      <c r="H9" s="242">
        <f>SUMIF('Draw Schedule'!$F$5:$ET$5,'Net CF Post TCO'!H$2,'Draw Schedule'!$F48:$ET48)</f>
        <v>0</v>
      </c>
      <c r="I9" s="242">
        <f>SUMIF('Draw Schedule'!$F$5:$ET$5,'Net CF Post TCO'!I$2,'Draw Schedule'!$F48:$ET48)</f>
        <v>0</v>
      </c>
      <c r="J9" s="242">
        <f>SUMIF('Draw Schedule'!$F$5:$ET$5,'Net CF Post TCO'!J$2,'Draw Schedule'!$F48:$ET48)</f>
        <v>0</v>
      </c>
    </row>
    <row r="10" spans="2:10" x14ac:dyDescent="0.2">
      <c r="B10" s="92" t="s">
        <v>197</v>
      </c>
      <c r="C10" s="243">
        <f>SUM(C4:C9)</f>
        <v>1769900.5868719339</v>
      </c>
      <c r="D10" s="243">
        <f t="shared" ref="D10:E10" si="1">SUM(D4:D9)</f>
        <v>2303194.443798726</v>
      </c>
      <c r="E10" s="243">
        <f t="shared" si="1"/>
        <v>2372290.2771126884</v>
      </c>
      <c r="F10" s="243">
        <f t="shared" ref="F10:J10" si="2">SUM(F4:F9)</f>
        <v>2443458.9854260688</v>
      </c>
      <c r="G10" s="243">
        <f t="shared" si="2"/>
        <v>2516762.7549888506</v>
      </c>
      <c r="H10" s="243">
        <f t="shared" si="2"/>
        <v>2592265.6376385158</v>
      </c>
      <c r="I10" s="243">
        <f t="shared" si="2"/>
        <v>2670033.6067676716</v>
      </c>
      <c r="J10" s="243">
        <f t="shared" si="2"/>
        <v>2750134.6149707013</v>
      </c>
    </row>
    <row r="11" spans="2:10" x14ac:dyDescent="0.2">
      <c r="B11" t="s">
        <v>69</v>
      </c>
      <c r="C11" s="242">
        <f>SUMIF('Draw Schedule'!$F$5:$ET$5,'Net CF Post TCO'!C$2,'Draw Schedule'!$F50:$ET50)</f>
        <v>-52800</v>
      </c>
      <c r="D11" s="242">
        <f>SUMIF('Draw Schedule'!$F$5:$ET$5,'Net CF Post TCO'!D$2,'Draw Schedule'!$F50:$ET50)</f>
        <v>-54384</v>
      </c>
      <c r="E11" s="242">
        <f>SUMIF('Draw Schedule'!$F$5:$ET$5,'Net CF Post TCO'!E$2,'Draw Schedule'!$F50:$ET50)</f>
        <v>-56015.519999999997</v>
      </c>
      <c r="F11" s="242">
        <f>SUMIF('Draw Schedule'!$F$5:$ET$5,'Net CF Post TCO'!F$2,'Draw Schedule'!$F50:$ET50)</f>
        <v>-57695.985600000007</v>
      </c>
      <c r="G11" s="242">
        <f>SUMIF('Draw Schedule'!$F$5:$ET$5,'Net CF Post TCO'!G$2,'Draw Schedule'!$F50:$ET50)</f>
        <v>-59426.865168000011</v>
      </c>
      <c r="H11" s="242">
        <f>SUMIF('Draw Schedule'!$F$5:$ET$5,'Net CF Post TCO'!H$2,'Draw Schedule'!$F50:$ET50)</f>
        <v>-61209.671123040003</v>
      </c>
      <c r="I11" s="242">
        <f>SUMIF('Draw Schedule'!$F$5:$ET$5,'Net CF Post TCO'!I$2,'Draw Schedule'!$F50:$ET50)</f>
        <v>-63045.961256731214</v>
      </c>
      <c r="J11" s="242">
        <f>SUMIF('Draw Schedule'!$F$5:$ET$5,'Net CF Post TCO'!J$2,'Draw Schedule'!$F50:$ET50)</f>
        <v>-64937.340094433137</v>
      </c>
    </row>
    <row r="12" spans="2:10" x14ac:dyDescent="0.2">
      <c r="B12" t="s">
        <v>70</v>
      </c>
      <c r="C12" s="242">
        <f>SUMIF('Draw Schedule'!$F$5:$ET$5,'Net CF Post TCO'!C$2,'Draw Schedule'!$F51:$ET51)</f>
        <v>-33000</v>
      </c>
      <c r="D12" s="242">
        <f>SUMIF('Draw Schedule'!$F$5:$ET$5,'Net CF Post TCO'!D$2,'Draw Schedule'!$F51:$ET51)</f>
        <v>-33990</v>
      </c>
      <c r="E12" s="242">
        <f>SUMIF('Draw Schedule'!$F$5:$ET$5,'Net CF Post TCO'!E$2,'Draw Schedule'!$F51:$ET51)</f>
        <v>-35009.69999999999</v>
      </c>
      <c r="F12" s="242">
        <f>SUMIF('Draw Schedule'!$F$5:$ET$5,'Net CF Post TCO'!F$2,'Draw Schedule'!$F51:$ET51)</f>
        <v>-36059.991000000002</v>
      </c>
      <c r="G12" s="242">
        <f>SUMIF('Draw Schedule'!$F$5:$ET$5,'Net CF Post TCO'!G$2,'Draw Schedule'!$F51:$ET51)</f>
        <v>-37141.790729999986</v>
      </c>
      <c r="H12" s="242">
        <f>SUMIF('Draw Schedule'!$F$5:$ET$5,'Net CF Post TCO'!H$2,'Draw Schedule'!$F51:$ET51)</f>
        <v>-38256.044451899987</v>
      </c>
      <c r="I12" s="242">
        <f>SUMIF('Draw Schedule'!$F$5:$ET$5,'Net CF Post TCO'!I$2,'Draw Schedule'!$F51:$ET51)</f>
        <v>-39403.725785456998</v>
      </c>
      <c r="J12" s="242">
        <f>SUMIF('Draw Schedule'!$F$5:$ET$5,'Net CF Post TCO'!J$2,'Draw Schedule'!$F51:$ET51)</f>
        <v>-40585.837559020707</v>
      </c>
    </row>
    <row r="13" spans="2:10" x14ac:dyDescent="0.2">
      <c r="B13" t="s">
        <v>71</v>
      </c>
      <c r="C13" s="242">
        <f>SUMIF('Draw Schedule'!$F$5:$ET$5,'Net CF Post TCO'!C$2,'Draw Schedule'!$F52:$ET52)</f>
        <v>-59400</v>
      </c>
      <c r="D13" s="242">
        <f>SUMIF('Draw Schedule'!$F$5:$ET$5,'Net CF Post TCO'!D$2,'Draw Schedule'!$F52:$ET52)</f>
        <v>-61182</v>
      </c>
      <c r="E13" s="242">
        <f>SUMIF('Draw Schedule'!$F$5:$ET$5,'Net CF Post TCO'!E$2,'Draw Schedule'!$F52:$ET52)</f>
        <v>-63017.460000000014</v>
      </c>
      <c r="F13" s="242">
        <f>SUMIF('Draw Schedule'!$F$5:$ET$5,'Net CF Post TCO'!F$2,'Draw Schedule'!$F52:$ET52)</f>
        <v>-64907.983800000009</v>
      </c>
      <c r="G13" s="242">
        <f>SUMIF('Draw Schedule'!$F$5:$ET$5,'Net CF Post TCO'!G$2,'Draw Schedule'!$F52:$ET52)</f>
        <v>-66855.223314000017</v>
      </c>
      <c r="H13" s="242">
        <f>SUMIF('Draw Schedule'!$F$5:$ET$5,'Net CF Post TCO'!H$2,'Draw Schedule'!$F52:$ET52)</f>
        <v>-68860.880013419999</v>
      </c>
      <c r="I13" s="242">
        <f>SUMIF('Draw Schedule'!$F$5:$ET$5,'Net CF Post TCO'!I$2,'Draw Schedule'!$F52:$ET52)</f>
        <v>-70926.706413822612</v>
      </c>
      <c r="J13" s="242">
        <f>SUMIF('Draw Schedule'!$F$5:$ET$5,'Net CF Post TCO'!J$2,'Draw Schedule'!$F52:$ET52)</f>
        <v>-73054.507606237297</v>
      </c>
    </row>
    <row r="14" spans="2:10" x14ac:dyDescent="0.2">
      <c r="B14" t="s">
        <v>72</v>
      </c>
      <c r="C14" s="242">
        <f>SUMIF('Draw Schedule'!$F$5:$ET$5,'Net CF Post TCO'!C$2,'Draw Schedule'!$F53:$ET53)</f>
        <v>-23100</v>
      </c>
      <c r="D14" s="242">
        <f>SUMIF('Draw Schedule'!$F$5:$ET$5,'Net CF Post TCO'!D$2,'Draw Schedule'!$F53:$ET53)</f>
        <v>-23793</v>
      </c>
      <c r="E14" s="242">
        <f>SUMIF('Draw Schedule'!$F$5:$ET$5,'Net CF Post TCO'!E$2,'Draw Schedule'!$F53:$ET53)</f>
        <v>-24506.789999999994</v>
      </c>
      <c r="F14" s="242">
        <f>SUMIF('Draw Schedule'!$F$5:$ET$5,'Net CF Post TCO'!F$2,'Draw Schedule'!$F53:$ET53)</f>
        <v>-25241.993700000003</v>
      </c>
      <c r="G14" s="242">
        <f>SUMIF('Draw Schedule'!$F$5:$ET$5,'Net CF Post TCO'!G$2,'Draw Schedule'!$F53:$ET53)</f>
        <v>-25999.253510999999</v>
      </c>
      <c r="H14" s="242">
        <f>SUMIF('Draw Schedule'!$F$5:$ET$5,'Net CF Post TCO'!H$2,'Draw Schedule'!$F53:$ET53)</f>
        <v>-26779.231116329993</v>
      </c>
      <c r="I14" s="242">
        <f>SUMIF('Draw Schedule'!$F$5:$ET$5,'Net CF Post TCO'!I$2,'Draw Schedule'!$F53:$ET53)</f>
        <v>-27582.60804981989</v>
      </c>
      <c r="J14" s="242">
        <f>SUMIF('Draw Schedule'!$F$5:$ET$5,'Net CF Post TCO'!J$2,'Draw Schedule'!$F53:$ET53)</f>
        <v>-28410.086291314492</v>
      </c>
    </row>
    <row r="15" spans="2:10" x14ac:dyDescent="0.2">
      <c r="B15" t="s">
        <v>73</v>
      </c>
      <c r="C15" s="242">
        <f>SUMIF('Draw Schedule'!$F$5:$ET$5,'Net CF Post TCO'!C$2,'Draw Schedule'!$F54:$ET54)</f>
        <v>-23100</v>
      </c>
      <c r="D15" s="242">
        <f>SUMIF('Draw Schedule'!$F$5:$ET$5,'Net CF Post TCO'!D$2,'Draw Schedule'!$F54:$ET54)</f>
        <v>-23793</v>
      </c>
      <c r="E15" s="242">
        <f>SUMIF('Draw Schedule'!$F$5:$ET$5,'Net CF Post TCO'!E$2,'Draw Schedule'!$F54:$ET54)</f>
        <v>-24506.789999999994</v>
      </c>
      <c r="F15" s="242">
        <f>SUMIF('Draw Schedule'!$F$5:$ET$5,'Net CF Post TCO'!F$2,'Draw Schedule'!$F54:$ET54)</f>
        <v>-25241.993700000003</v>
      </c>
      <c r="G15" s="242">
        <f>SUMIF('Draw Schedule'!$F$5:$ET$5,'Net CF Post TCO'!G$2,'Draw Schedule'!$F54:$ET54)</f>
        <v>-25999.253510999999</v>
      </c>
      <c r="H15" s="242">
        <f>SUMIF('Draw Schedule'!$F$5:$ET$5,'Net CF Post TCO'!H$2,'Draw Schedule'!$F54:$ET54)</f>
        <v>-26779.231116329993</v>
      </c>
      <c r="I15" s="242">
        <f>SUMIF('Draw Schedule'!$F$5:$ET$5,'Net CF Post TCO'!I$2,'Draw Schedule'!$F54:$ET54)</f>
        <v>-27582.60804981989</v>
      </c>
      <c r="J15" s="242">
        <f>SUMIF('Draw Schedule'!$F$5:$ET$5,'Net CF Post TCO'!J$2,'Draw Schedule'!$F54:$ET54)</f>
        <v>-28410.086291314492</v>
      </c>
    </row>
    <row r="16" spans="2:10" x14ac:dyDescent="0.2">
      <c r="B16" t="s">
        <v>74</v>
      </c>
      <c r="C16" s="242">
        <f>SUMIF('Draw Schedule'!$F$5:$ET$5,'Net CF Post TCO'!C$2,'Draw Schedule'!$F55:$ET55)</f>
        <v>-19800</v>
      </c>
      <c r="D16" s="242">
        <f>SUMIF('Draw Schedule'!$F$5:$ET$5,'Net CF Post TCO'!D$2,'Draw Schedule'!$F55:$ET55)</f>
        <v>-20394</v>
      </c>
      <c r="E16" s="242">
        <f>SUMIF('Draw Schedule'!$F$5:$ET$5,'Net CF Post TCO'!E$2,'Draw Schedule'!$F55:$ET55)</f>
        <v>-21005.820000000003</v>
      </c>
      <c r="F16" s="242">
        <f>SUMIF('Draw Schedule'!$F$5:$ET$5,'Net CF Post TCO'!F$2,'Draw Schedule'!$F55:$ET55)</f>
        <v>-21635.994600000002</v>
      </c>
      <c r="G16" s="242">
        <f>SUMIF('Draw Schedule'!$F$5:$ET$5,'Net CF Post TCO'!G$2,'Draw Schedule'!$F55:$ET55)</f>
        <v>-22285.074438</v>
      </c>
      <c r="H16" s="242">
        <f>SUMIF('Draw Schedule'!$F$5:$ET$5,'Net CF Post TCO'!H$2,'Draw Schedule'!$F55:$ET55)</f>
        <v>-22953.626671139999</v>
      </c>
      <c r="I16" s="242">
        <f>SUMIF('Draw Schedule'!$F$5:$ET$5,'Net CF Post TCO'!I$2,'Draw Schedule'!$F55:$ET55)</f>
        <v>-23642.235471274198</v>
      </c>
      <c r="J16" s="242">
        <f>SUMIF('Draw Schedule'!$F$5:$ET$5,'Net CF Post TCO'!J$2,'Draw Schedule'!$F55:$ET55)</f>
        <v>-24351.502535412434</v>
      </c>
    </row>
    <row r="17" spans="2:10" x14ac:dyDescent="0.2">
      <c r="B17" t="s">
        <v>75</v>
      </c>
      <c r="C17" s="242">
        <f>SUMIF('Draw Schedule'!$F$5:$ET$5,'Net CF Post TCO'!C$2,'Draw Schedule'!$F56:$ET56)</f>
        <v>0</v>
      </c>
      <c r="D17" s="242">
        <f>SUMIF('Draw Schedule'!$F$5:$ET$5,'Net CF Post TCO'!D$2,'Draw Schedule'!$F56:$ET56)</f>
        <v>0</v>
      </c>
      <c r="E17" s="242">
        <f>SUMIF('Draw Schedule'!$F$5:$ET$5,'Net CF Post TCO'!E$2,'Draw Schedule'!$F56:$ET56)</f>
        <v>0</v>
      </c>
      <c r="F17" s="242">
        <f>SUMIF('Draw Schedule'!$F$5:$ET$5,'Net CF Post TCO'!F$2,'Draw Schedule'!$F56:$ET56)</f>
        <v>0</v>
      </c>
      <c r="G17" s="242">
        <f>SUMIF('Draw Schedule'!$F$5:$ET$5,'Net CF Post TCO'!G$2,'Draw Schedule'!$F56:$ET56)</f>
        <v>0</v>
      </c>
      <c r="H17" s="242">
        <f>SUMIF('Draw Schedule'!$F$5:$ET$5,'Net CF Post TCO'!H$2,'Draw Schedule'!$F56:$ET56)</f>
        <v>0</v>
      </c>
      <c r="I17" s="242">
        <f>SUMIF('Draw Schedule'!$F$5:$ET$5,'Net CF Post TCO'!I$2,'Draw Schedule'!$F56:$ET56)</f>
        <v>0</v>
      </c>
      <c r="J17" s="242">
        <f>SUMIF('Draw Schedule'!$F$5:$ET$5,'Net CF Post TCO'!J$2,'Draw Schedule'!$F56:$ET56)</f>
        <v>0</v>
      </c>
    </row>
    <row r="18" spans="2:10" x14ac:dyDescent="0.2">
      <c r="B18" t="s">
        <v>79</v>
      </c>
      <c r="C18" s="242">
        <f>SUMIF('Draw Schedule'!$F$5:$ET$5,'Net CF Post TCO'!C$2,'Draw Schedule'!$F57:$ET57)+SUMIF('Draw Schedule'!$F$5:$ET$5,'Net CF Post TCO'!C$2,'Draw Schedule'!$F70:$ET70)</f>
        <v>-35398.011737438661</v>
      </c>
      <c r="D18" s="242">
        <f>SUMIF('Draw Schedule'!$F$5:$ET$5,'Net CF Post TCO'!D$2,'Draw Schedule'!$F57:$ET57)+SUMIF('Draw Schedule'!$F$5:$ET$5,'Net CF Post TCO'!D$2,'Draw Schedule'!$F70:$ET70)</f>
        <v>-46063.888875974524</v>
      </c>
      <c r="E18" s="242">
        <f>SUMIF('Draw Schedule'!$F$5:$ET$5,'Net CF Post TCO'!E$2,'Draw Schedule'!$F57:$ET57)+SUMIF('Draw Schedule'!$F$5:$ET$5,'Net CF Post TCO'!E$2,'Draw Schedule'!$F70:$ET70)</f>
        <v>-47445.805542253744</v>
      </c>
      <c r="F18" s="242">
        <f>SUMIF('Draw Schedule'!$F$5:$ET$5,'Net CF Post TCO'!F$2,'Draw Schedule'!$F57:$ET57)+SUMIF('Draw Schedule'!$F$5:$ET$5,'Net CF Post TCO'!F$2,'Draw Schedule'!$F70:$ET70)</f>
        <v>-48869.179708521362</v>
      </c>
      <c r="G18" s="242">
        <f>SUMIF('Draw Schedule'!$F$5:$ET$5,'Net CF Post TCO'!G$2,'Draw Schedule'!$F57:$ET57)+SUMIF('Draw Schedule'!$F$5:$ET$5,'Net CF Post TCO'!G$2,'Draw Schedule'!$F70:$ET70)</f>
        <v>-50335.255099777016</v>
      </c>
      <c r="H18" s="242">
        <f>SUMIF('Draw Schedule'!$F$5:$ET$5,'Net CF Post TCO'!H$2,'Draw Schedule'!$F57:$ET57)+SUMIF('Draw Schedule'!$F$5:$ET$5,'Net CF Post TCO'!H$2,'Draw Schedule'!$F70:$ET70)</f>
        <v>-51845.312752770304</v>
      </c>
      <c r="I18" s="242">
        <f>SUMIF('Draw Schedule'!$F$5:$ET$5,'Net CF Post TCO'!I$2,'Draw Schedule'!$F57:$ET57)+SUMIF('Draw Schedule'!$F$5:$ET$5,'Net CF Post TCO'!I$2,'Draw Schedule'!$F70:$ET70)</f>
        <v>-53400.67213535343</v>
      </c>
      <c r="J18" s="242">
        <f>SUMIF('Draw Schedule'!$F$5:$ET$5,'Net CF Post TCO'!J$2,'Draw Schedule'!$F57:$ET57)+SUMIF('Draw Schedule'!$F$5:$ET$5,'Net CF Post TCO'!J$2,'Draw Schedule'!$F70:$ET70)</f>
        <v>-55002.692299414033</v>
      </c>
    </row>
    <row r="19" spans="2:10" x14ac:dyDescent="0.2">
      <c r="B19" t="s">
        <v>78</v>
      </c>
      <c r="C19" s="242">
        <f>SUMIF('Draw Schedule'!$F$5:$ET$5,'Net CF Post TCO'!C$2,'Draw Schedule'!$F58:$ET58)</f>
        <v>-6164.9502934359652</v>
      </c>
      <c r="D19" s="242">
        <f>SUMIF('Draw Schedule'!$F$5:$ET$5,'Net CF Post TCO'!D$2,'Draw Schedule'!$F58:$ET58)</f>
        <v>-6589.9972218993644</v>
      </c>
      <c r="E19" s="242">
        <f>SUMIF('Draw Schedule'!$F$5:$ET$5,'Net CF Post TCO'!E$2,'Draw Schedule'!$F58:$ET58)</f>
        <v>-6787.6971385563438</v>
      </c>
      <c r="F19" s="242">
        <f>SUMIF('Draw Schedule'!$F$5:$ET$5,'Net CF Post TCO'!F$2,'Draw Schedule'!$F58:$ET58)</f>
        <v>-6991.3280527130364</v>
      </c>
      <c r="G19" s="242">
        <f>SUMIF('Draw Schedule'!$F$5:$ET$5,'Net CF Post TCO'!G$2,'Draw Schedule'!$F58:$ET58)</f>
        <v>-7201.0678942944269</v>
      </c>
      <c r="H19" s="242">
        <f>SUMIF('Draw Schedule'!$F$5:$ET$5,'Net CF Post TCO'!H$2,'Draw Schedule'!$F58:$ET58)</f>
        <v>-7417.0999311232581</v>
      </c>
      <c r="I19" s="242">
        <f>SUMIF('Draw Schedule'!$F$5:$ET$5,'Net CF Post TCO'!I$2,'Draw Schedule'!$F58:$ET58)</f>
        <v>-7639.6129290569552</v>
      </c>
      <c r="J19" s="242">
        <f>SUMIF('Draw Schedule'!$F$5:$ET$5,'Net CF Post TCO'!J$2,'Draw Schedule'!$F58:$ET58)</f>
        <v>-7868.8013169286642</v>
      </c>
    </row>
    <row r="20" spans="2:10" x14ac:dyDescent="0.2">
      <c r="B20" t="s">
        <v>80</v>
      </c>
      <c r="C20" s="242">
        <f ca="1">SUMIF('Draw Schedule'!$F$5:$ET$5,'Net CF Post TCO'!C$2,'Draw Schedule'!$F59:$ET59)</f>
        <v>-432399.64430362551</v>
      </c>
      <c r="D20" s="242">
        <f ca="1">SUMIF('Draw Schedule'!$F$5:$ET$5,'Net CF Post TCO'!D$2,'Draw Schedule'!$F59:$ET59)</f>
        <v>-432399.64430362551</v>
      </c>
      <c r="E20" s="242">
        <f ca="1">SUMIF('Draw Schedule'!$F$5:$ET$5,'Net CF Post TCO'!E$2,'Draw Schedule'!$F59:$ET59)</f>
        <v>-432399.64430362551</v>
      </c>
      <c r="F20" s="242">
        <f ca="1">SUMIF('Draw Schedule'!$F$5:$ET$5,'Net CF Post TCO'!F$2,'Draw Schedule'!$F59:$ET59)</f>
        <v>-432399.64430362551</v>
      </c>
      <c r="G20" s="242">
        <f ca="1">SUMIF('Draw Schedule'!$F$5:$ET$5,'Net CF Post TCO'!G$2,'Draw Schedule'!$F59:$ET59)</f>
        <v>-432399.64430362551</v>
      </c>
      <c r="H20" s="242">
        <f ca="1">SUMIF('Draw Schedule'!$F$5:$ET$5,'Net CF Post TCO'!H$2,'Draw Schedule'!$F59:$ET59)</f>
        <v>-432399.64430362551</v>
      </c>
      <c r="I20" s="242">
        <f ca="1">SUMIF('Draw Schedule'!$F$5:$ET$5,'Net CF Post TCO'!I$2,'Draw Schedule'!$F59:$ET59)</f>
        <v>-432399.64430362551</v>
      </c>
      <c r="J20" s="242">
        <f ca="1">SUMIF('Draw Schedule'!$F$5:$ET$5,'Net CF Post TCO'!J$2,'Draw Schedule'!$F59:$ET59)</f>
        <v>-432399.64430362551</v>
      </c>
    </row>
    <row r="21" spans="2:10" x14ac:dyDescent="0.2">
      <c r="B21" s="92" t="s">
        <v>186</v>
      </c>
      <c r="C21" s="243">
        <f ca="1">SUM(C11:C20)</f>
        <v>-685162.60633450013</v>
      </c>
      <c r="D21" s="243">
        <f t="shared" ref="D21:E21" ca="1" si="3">SUM(D11:D20)</f>
        <v>-702589.53040149948</v>
      </c>
      <c r="E21" s="243">
        <f t="shared" ca="1" si="3"/>
        <v>-710695.22698443558</v>
      </c>
      <c r="F21" s="243">
        <f t="shared" ref="F21:J21" ca="1" si="4">SUM(F11:F20)</f>
        <v>-719044.09446485993</v>
      </c>
      <c r="G21" s="243">
        <f t="shared" ca="1" si="4"/>
        <v>-727643.42796969693</v>
      </c>
      <c r="H21" s="243">
        <f t="shared" ca="1" si="4"/>
        <v>-736500.74147967901</v>
      </c>
      <c r="I21" s="243">
        <f t="shared" ca="1" si="4"/>
        <v>-745623.77439496072</v>
      </c>
      <c r="J21" s="243">
        <f t="shared" ca="1" si="4"/>
        <v>-755020.49829770066</v>
      </c>
    </row>
    <row r="22" spans="2:10" s="83" customFormat="1" x14ac:dyDescent="0.2">
      <c r="B22" s="106" t="s">
        <v>188</v>
      </c>
      <c r="C22" s="244">
        <f ca="1">C10+C21</f>
        <v>1084737.9805374336</v>
      </c>
      <c r="D22" s="244">
        <f t="shared" ref="D22:E22" ca="1" si="5">D10+D21</f>
        <v>1600604.9133972265</v>
      </c>
      <c r="E22" s="244">
        <f t="shared" ca="1" si="5"/>
        <v>1661595.0501282527</v>
      </c>
      <c r="F22" s="244">
        <f t="shared" ref="F22:J22" ca="1" si="6">F10+F21</f>
        <v>1724414.8909612088</v>
      </c>
      <c r="G22" s="244">
        <f t="shared" ca="1" si="6"/>
        <v>1789119.3270191536</v>
      </c>
      <c r="H22" s="244">
        <f t="shared" ca="1" si="6"/>
        <v>1855764.8961588368</v>
      </c>
      <c r="I22" s="244">
        <f t="shared" ca="1" si="6"/>
        <v>1924409.832372711</v>
      </c>
      <c r="J22" s="244">
        <f t="shared" ca="1" si="6"/>
        <v>1995114.1166730006</v>
      </c>
    </row>
    <row r="23" spans="2:10" x14ac:dyDescent="0.2">
      <c r="B23" t="s">
        <v>243</v>
      </c>
      <c r="C23" s="242">
        <f>SUMIF('Draw Schedule'!$F$5:$ET$5,'Net CF Post TCO'!C$2,'Draw Schedule'!$F75:$ET75)</f>
        <v>0</v>
      </c>
      <c r="D23" s="242">
        <f>SUMIF('Draw Schedule'!$F$5:$ET$5,'Net CF Post TCO'!D$2,'Draw Schedule'!$F75:$ET75)</f>
        <v>0</v>
      </c>
      <c r="E23" s="242">
        <f>SUMIF('Draw Schedule'!$F$5:$ET$5,'Net CF Post TCO'!E$2,'Draw Schedule'!$F75:$ET75)</f>
        <v>0</v>
      </c>
      <c r="F23" s="242">
        <f>SUMIF('Draw Schedule'!$F$5:$ET$5,'Net CF Post TCO'!F$2,'Draw Schedule'!$F75:$ET75)</f>
        <v>0</v>
      </c>
      <c r="G23" s="242">
        <f>SUMIF('Draw Schedule'!$F$5:$ET$5,'Net CF Post TCO'!G$2,'Draw Schedule'!$F75:$ET75)</f>
        <v>0</v>
      </c>
      <c r="H23" s="242">
        <f>SUMIF('Draw Schedule'!$F$5:$ET$5,'Net CF Post TCO'!H$2,'Draw Schedule'!$F75:$ET75)</f>
        <v>0</v>
      </c>
      <c r="I23" s="242">
        <f>SUMIF('Draw Schedule'!$F$5:$ET$5,'Net CF Post TCO'!I$2,'Draw Schedule'!$F75:$ET75)</f>
        <v>0</v>
      </c>
      <c r="J23" s="242">
        <f>SUMIF('Draw Schedule'!$F$5:$ET$5,'Net CF Post TCO'!J$2,'Draw Schedule'!$F75:$ET75)</f>
        <v>0</v>
      </c>
    </row>
    <row r="24" spans="2:10" x14ac:dyDescent="0.2">
      <c r="B24" s="106" t="s">
        <v>315</v>
      </c>
      <c r="C24" s="244">
        <f ca="1">C22+C23</f>
        <v>1084737.9805374336</v>
      </c>
      <c r="D24" s="244">
        <f t="shared" ref="D24:E24" ca="1" si="7">D22+D23</f>
        <v>1600604.9133972265</v>
      </c>
      <c r="E24" s="244">
        <f t="shared" ca="1" si="7"/>
        <v>1661595.0501282527</v>
      </c>
      <c r="F24" s="244">
        <f t="shared" ref="F24:J24" ca="1" si="8">F22+F23</f>
        <v>1724414.8909612088</v>
      </c>
      <c r="G24" s="244">
        <f t="shared" ca="1" si="8"/>
        <v>1789119.3270191536</v>
      </c>
      <c r="H24" s="244">
        <f t="shared" ca="1" si="8"/>
        <v>1855764.8961588368</v>
      </c>
      <c r="I24" s="244">
        <f t="shared" ca="1" si="8"/>
        <v>1924409.832372711</v>
      </c>
      <c r="J24" s="244">
        <f t="shared" ca="1" si="8"/>
        <v>1995114.1166730006</v>
      </c>
    </row>
    <row r="25" spans="2:10" x14ac:dyDescent="0.2">
      <c r="B25" t="s">
        <v>154</v>
      </c>
      <c r="C25" s="242">
        <f>SUMIF('Draw Schedule'!$F$5:$ET$5,'Net CF Post TCO'!C$2,'Draw Schedule'!$F60:$ET60)</f>
        <v>-6600</v>
      </c>
      <c r="D25" s="242">
        <f>SUMIF('Draw Schedule'!$F$5:$ET$5,'Net CF Post TCO'!D$2,'Draw Schedule'!$F60:$ET60)</f>
        <v>-6798</v>
      </c>
      <c r="E25" s="242">
        <f>SUMIF('Draw Schedule'!$F$5:$ET$5,'Net CF Post TCO'!E$2,'Draw Schedule'!$F60:$ET60)</f>
        <v>-7001.94</v>
      </c>
      <c r="F25" s="242">
        <f>SUMIF('Draw Schedule'!$F$5:$ET$5,'Net CF Post TCO'!F$2,'Draw Schedule'!$F60:$ET60)</f>
        <v>-7211.9982000000009</v>
      </c>
      <c r="G25" s="242">
        <f>SUMIF('Draw Schedule'!$F$5:$ET$5,'Net CF Post TCO'!G$2,'Draw Schedule'!$F60:$ET60)</f>
        <v>-7428.3581460000014</v>
      </c>
      <c r="H25" s="242">
        <f>SUMIF('Draw Schedule'!$F$5:$ET$5,'Net CF Post TCO'!H$2,'Draw Schedule'!$F60:$ET60)</f>
        <v>-7651.2088903800004</v>
      </c>
      <c r="I25" s="242">
        <f>SUMIF('Draw Schedule'!$F$5:$ET$5,'Net CF Post TCO'!I$2,'Draw Schedule'!$F60:$ET60)</f>
        <v>-7880.7451570914018</v>
      </c>
      <c r="J25" s="242">
        <f>SUMIF('Draw Schedule'!$F$5:$ET$5,'Net CF Post TCO'!J$2,'Draw Schedule'!$F60:$ET60)</f>
        <v>-8117.1675118041421</v>
      </c>
    </row>
    <row r="26" spans="2:10" x14ac:dyDescent="0.2">
      <c r="B26" t="s">
        <v>348</v>
      </c>
      <c r="C26" s="242">
        <f ca="1">SUMIF('Draw Schedule'!$F$5:$ET$5,'Net CF Post TCO'!C$2,'Draw Schedule'!$F61:$ET61)+SUMIF('Draw Schedule'!$F$5:$ET$5,'Net CF Post TCO'!C$2,'Draw Schedule'!$F72:$ET72)</f>
        <v>-17592.085868719332</v>
      </c>
      <c r="D26" s="242">
        <f ca="1">SUMIF('Draw Schedule'!$F$5:$ET$5,'Net CF Post TCO'!D$2,'Draw Schedule'!$F61:$ET61)+SUMIF('Draw Schedule'!$F$5:$ET$5,'Net CF Post TCO'!D$2,'Draw Schedule'!$F72:$ET72)</f>
        <v>-23031.944437987262</v>
      </c>
      <c r="E26" s="242">
        <f ca="1">SUMIF('Draw Schedule'!$F$5:$ET$5,'Net CF Post TCO'!E$2,'Draw Schedule'!$F61:$ET61)+SUMIF('Draw Schedule'!$F$5:$ET$5,'Net CF Post TCO'!E$2,'Draw Schedule'!$F72:$ET72)</f>
        <v>-23722.902771126872</v>
      </c>
      <c r="F26" s="242">
        <f ca="1">SUMIF('Draw Schedule'!$F$5:$ET$5,'Net CF Post TCO'!F$2,'Draw Schedule'!$F61:$ET61)+SUMIF('Draw Schedule'!$F$5:$ET$5,'Net CF Post TCO'!F$2,'Draw Schedule'!$F72:$ET72)</f>
        <v>-24434.589854260681</v>
      </c>
      <c r="G26" s="242">
        <f ca="1">SUMIF('Draw Schedule'!$F$5:$ET$5,'Net CF Post TCO'!G$2,'Draw Schedule'!$F61:$ET61)+SUMIF('Draw Schedule'!$F$5:$ET$5,'Net CF Post TCO'!G$2,'Draw Schedule'!$F72:$ET72)</f>
        <v>-2047.5818208805601</v>
      </c>
      <c r="H26" s="242">
        <f>SUMIF('Draw Schedule'!$F$5:$ET$5,'Net CF Post TCO'!H$2,'Draw Schedule'!$F61:$ET61)+SUMIF('Draw Schedule'!$F$5:$ET$5,'Net CF Post TCO'!H$2,'Draw Schedule'!$F72:$ET72)</f>
        <v>0</v>
      </c>
      <c r="I26" s="242">
        <f>SUMIF('Draw Schedule'!$F$5:$ET$5,'Net CF Post TCO'!I$2,'Draw Schedule'!$F61:$ET61)+SUMIF('Draw Schedule'!$F$5:$ET$5,'Net CF Post TCO'!I$2,'Draw Schedule'!$F72:$ET72)</f>
        <v>0</v>
      </c>
      <c r="J26" s="242">
        <f>SUMIF('Draw Schedule'!$F$5:$ET$5,'Net CF Post TCO'!J$2,'Draw Schedule'!$F61:$ET61)+SUMIF('Draw Schedule'!$F$5:$ET$5,'Net CF Post TCO'!J$2,'Draw Schedule'!$F72:$ET72)</f>
        <v>0</v>
      </c>
    </row>
    <row r="27" spans="2:10" x14ac:dyDescent="0.2">
      <c r="B27" s="106" t="s">
        <v>199</v>
      </c>
      <c r="C27" s="244">
        <f ca="1">SUM(C24:C26)</f>
        <v>1060545.8946687144</v>
      </c>
      <c r="D27" s="244">
        <f t="shared" ref="D27:J27" ca="1" si="9">SUM(D24:D26)</f>
        <v>1570774.9689592393</v>
      </c>
      <c r="E27" s="244">
        <f t="shared" ca="1" si="9"/>
        <v>1630870.2073571258</v>
      </c>
      <c r="F27" s="244">
        <f t="shared" ca="1" si="9"/>
        <v>1692768.3029069481</v>
      </c>
      <c r="G27" s="244">
        <f t="shared" ca="1" si="9"/>
        <v>1779643.3870522731</v>
      </c>
      <c r="H27" s="244">
        <f t="shared" ca="1" si="9"/>
        <v>1848113.6872684567</v>
      </c>
      <c r="I27" s="244">
        <f t="shared" ca="1" si="9"/>
        <v>1916529.0872156196</v>
      </c>
      <c r="J27" s="244">
        <f t="shared" ca="1" si="9"/>
        <v>1986996.9491611966</v>
      </c>
    </row>
    <row r="28" spans="2:10" x14ac:dyDescent="0.2">
      <c r="B28" t="s">
        <v>200</v>
      </c>
      <c r="C28" s="242">
        <f ca="1">-SUMIF('Draw Schedule'!$F$5:$ET$5,'Net CF Post TCO'!C$2,'Draw Schedule'!$F123:$ET123)-SUMIF('Draw Schedule'!$F$5:$ET$5,'Net CF Post TCO'!C$2,'Draw Schedule'!$F115:$ET115)</f>
        <v>-1668937.3270674364</v>
      </c>
      <c r="D28" s="242">
        <f ca="1">-SUMIF('Draw Schedule'!$F$5:$ET$5,'Net CF Post TCO'!D$2,'Draw Schedule'!$F123:$ET123)-SUMIF('Draw Schedule'!$F$5:$ET$5,'Net CF Post TCO'!D$2,'Draw Schedule'!$F115:$ET115)</f>
        <v>-1688015.7060604526</v>
      </c>
      <c r="E28" s="242">
        <f ca="1">-SUMIF('Draw Schedule'!$F$5:$ET$5,'Net CF Post TCO'!E$2,'Draw Schedule'!$F123:$ET123)-SUMIF('Draw Schedule'!$F$5:$ET$5,'Net CF Post TCO'!E$2,'Draw Schedule'!$F115:$ET115)</f>
        <v>-1695013.1610632956</v>
      </c>
      <c r="F28" s="242">
        <f ca="1">-SUMIF('Draw Schedule'!$F$5:$ET$5,'Net CF Post TCO'!F$2,'Draw Schedule'!$F123:$ET123)-SUMIF('Draw Schedule'!$F$5:$ET$5,'Net CF Post TCO'!F$2,'Draw Schedule'!$F115:$ET115)</f>
        <v>-1697825.8429092881</v>
      </c>
      <c r="G28" s="242">
        <f ca="1">-SUMIF('Draw Schedule'!$F$5:$ET$5,'Net CF Post TCO'!G$2,'Draw Schedule'!$F123:$ET123)-SUMIF('Draw Schedule'!$F$5:$ET$5,'Net CF Post TCO'!G$2,'Draw Schedule'!$F115:$ET115)</f>
        <v>-141488.12878447681</v>
      </c>
      <c r="H28" s="242">
        <f ca="1">-SUMIF('Draw Schedule'!$F$5:$ET$5,'Net CF Post TCO'!H$2,'Draw Schedule'!$F123:$ET123)-SUMIF('Draw Schedule'!$F$5:$ET$5,'Net CF Post TCO'!H$2,'Draw Schedule'!$F115:$ET115)</f>
        <v>0</v>
      </c>
      <c r="I28" s="242">
        <f ca="1">-SUMIF('Draw Schedule'!$F$5:$ET$5,'Net CF Post TCO'!I$2,'Draw Schedule'!$F123:$ET123)-SUMIF('Draw Schedule'!$F$5:$ET$5,'Net CF Post TCO'!I$2,'Draw Schedule'!$F115:$ET115)</f>
        <v>0</v>
      </c>
      <c r="J28" s="242">
        <f ca="1">-SUMIF('Draw Schedule'!$F$5:$ET$5,'Net CF Post TCO'!J$2,'Draw Schedule'!$F123:$ET123)-SUMIF('Draw Schedule'!$F$5:$ET$5,'Net CF Post TCO'!J$2,'Draw Schedule'!$F115:$ET115)</f>
        <v>0</v>
      </c>
    </row>
    <row r="29" spans="2:10" x14ac:dyDescent="0.2">
      <c r="B29" s="106" t="s">
        <v>201</v>
      </c>
      <c r="C29" s="244">
        <f ca="1">SUM(C27:C28)</f>
        <v>-608391.43239872204</v>
      </c>
      <c r="D29" s="244">
        <f t="shared" ref="D29" ca="1" si="10">SUM(D27:D28)</f>
        <v>-117240.73710121331</v>
      </c>
      <c r="E29" s="244">
        <f t="shared" ref="E29:J29" ca="1" si="11">SUM(E27:E28)</f>
        <v>-64142.953706169734</v>
      </c>
      <c r="F29" s="244">
        <f t="shared" ca="1" si="11"/>
        <v>-5057.5400023399852</v>
      </c>
      <c r="G29" s="244">
        <f t="shared" ca="1" si="11"/>
        <v>1638155.2582677964</v>
      </c>
      <c r="H29" s="244">
        <f t="shared" ca="1" si="11"/>
        <v>1848113.6872684567</v>
      </c>
      <c r="I29" s="244">
        <f t="shared" ca="1" si="11"/>
        <v>1916529.0872156196</v>
      </c>
      <c r="J29" s="244">
        <f t="shared" ca="1" si="11"/>
        <v>1986996.9491611966</v>
      </c>
    </row>
    <row r="30" spans="2:10" x14ac:dyDescent="0.2">
      <c r="C30" s="36"/>
      <c r="D30" s="36"/>
      <c r="E30" s="36"/>
      <c r="F30" s="36"/>
      <c r="G30" s="36"/>
      <c r="H30" s="36"/>
      <c r="I30" s="36"/>
      <c r="J30" s="36"/>
    </row>
    <row r="31" spans="2:10" x14ac:dyDescent="0.2">
      <c r="B31" s="43" t="s">
        <v>202</v>
      </c>
      <c r="C31" s="245">
        <f ca="1">(C21+C25)/Assumptions!$F$20</f>
        <v>-13.015044050619935</v>
      </c>
      <c r="D31" s="245">
        <f ca="1">(D21+D25)/Assumptions!$F$20</f>
        <v>-13.346645037750926</v>
      </c>
      <c r="E31" s="245">
        <f ca="1">(E21+E25)/Assumptions!$F$20</f>
        <v>-13.502985211650497</v>
      </c>
      <c r="F31" s="245">
        <f ca="1">(F21+F25)/Assumptions!$F$20</f>
        <v>-13.664015590767059</v>
      </c>
      <c r="G31" s="245">
        <f ca="1">(G21+G25)/Assumptions!$F$20</f>
        <v>-13.829876881257114</v>
      </c>
      <c r="H31" s="245">
        <f ca="1">(H21+H25)/Assumptions!$F$20</f>
        <v>-14.000714010461873</v>
      </c>
      <c r="I31" s="245">
        <f ca="1">(I21+I25)/Assumptions!$F$20</f>
        <v>-14.176676253542777</v>
      </c>
      <c r="J31" s="245">
        <f ca="1">(J21+J25)/Assumptions!$F$20</f>
        <v>-14.357917363916103</v>
      </c>
    </row>
    <row r="32" spans="2:10" x14ac:dyDescent="0.2">
      <c r="C32" s="36"/>
      <c r="D32" s="36"/>
      <c r="E32" s="36"/>
      <c r="F32" s="36"/>
      <c r="G32" s="36"/>
      <c r="H32" s="36"/>
      <c r="I32" s="36"/>
      <c r="J32" s="36"/>
    </row>
    <row r="33" spans="2:10" x14ac:dyDescent="0.2">
      <c r="B33" s="43" t="s">
        <v>203</v>
      </c>
      <c r="C33" s="42"/>
      <c r="D33" s="108">
        <f ca="1">IF(Assumptions!$Q$24="No",D24/Overview!$C$25,D24/(Overview!$C$25-Overview!$C$31))</f>
        <v>5.3028021473708629E-2</v>
      </c>
      <c r="E33" s="108">
        <f ca="1">IF(Assumptions!$Q$24="No",E24/Overview!$C$25,E24/(Overview!$C$25-Overview!$C$31))</f>
        <v>5.5048623967919923E-2</v>
      </c>
      <c r="F33" s="108">
        <f ca="1">IF(Assumptions!$Q$24="No",F24/Overview!$C$25,F24/(Overview!$C$25-Overview!$C$31))</f>
        <v>5.7129844536957519E-2</v>
      </c>
      <c r="G33" s="108">
        <f ca="1">IF(Assumptions!$Q$24="No",G24/Overview!$C$25,G24/(Overview!$C$25-Overview!$C$31))</f>
        <v>5.9273501723066252E-2</v>
      </c>
      <c r="H33" s="108">
        <f ca="1">IF(Assumptions!$Q$24="No",H24/Overview!$C$25,H24/(Overview!$C$25-Overview!$C$31))</f>
        <v>6.1481468624758243E-2</v>
      </c>
      <c r="I33" s="108">
        <f ca="1">IF(Assumptions!$Q$24="No",I24/Overview!$C$25,I24/(Overview!$C$25-Overview!$C$31))</f>
        <v>6.3755674533501006E-2</v>
      </c>
      <c r="J33" s="108">
        <f ca="1">IF(Assumptions!$Q$24="No",J24/Overview!$C$25,J24/(Overview!$C$25-Overview!$C$31))</f>
        <v>6.6098106619506033E-2</v>
      </c>
    </row>
    <row r="34" spans="2:10" x14ac:dyDescent="0.2">
      <c r="C34" s="36"/>
      <c r="D34" s="219"/>
      <c r="E34" s="219"/>
      <c r="F34" s="36"/>
      <c r="G34" s="36"/>
      <c r="H34" s="36"/>
      <c r="I34" s="36"/>
      <c r="J34" s="36"/>
    </row>
    <row r="35" spans="2:10" x14ac:dyDescent="0.2">
      <c r="C35" s="36"/>
      <c r="D35" s="36"/>
      <c r="E35" s="36"/>
      <c r="F35" s="36"/>
      <c r="G35" s="36"/>
      <c r="H35" s="36"/>
      <c r="I35" s="36"/>
      <c r="J35" s="36"/>
    </row>
    <row r="36" spans="2:10" x14ac:dyDescent="0.2">
      <c r="B36" t="s">
        <v>352</v>
      </c>
      <c r="C36" s="36"/>
      <c r="D36" s="219">
        <f ca="1">D21/D10</f>
        <v>-0.30505002836091338</v>
      </c>
      <c r="E36" s="219">
        <f ca="1">E21/E10</f>
        <v>-0.2995818993320758</v>
      </c>
      <c r="F36" s="219">
        <f t="shared" ref="F36:J36" ca="1" si="12">F21/F10</f>
        <v>-0.29427303619728218</v>
      </c>
      <c r="G36" s="219">
        <f t="shared" ca="1" si="12"/>
        <v>-0.28911880014408448</v>
      </c>
      <c r="H36" s="219">
        <f t="shared" ca="1" si="12"/>
        <v>-0.28411468747107699</v>
      </c>
      <c r="I36" s="219">
        <f t="shared" ca="1" si="12"/>
        <v>-0.27925632565262309</v>
      </c>
      <c r="J36" s="219">
        <f t="shared" ca="1" si="12"/>
        <v>-0.27453946951820185</v>
      </c>
    </row>
    <row r="37" spans="2:10" x14ac:dyDescent="0.2">
      <c r="B37" t="s">
        <v>251</v>
      </c>
      <c r="C37" s="36"/>
      <c r="D37" s="219">
        <f ca="1">D24/SUM(Overview!$C$28:$C$30)</f>
        <v>7.0704028631611501E-2</v>
      </c>
      <c r="E37" s="219">
        <f ca="1">E24/SUM(Overview!$C$28:$C$30)</f>
        <v>7.3398165290559897E-2</v>
      </c>
      <c r="F37" s="219">
        <f ca="1">F24/SUM(Overview!$C$28:$C$30)</f>
        <v>7.6173126049276701E-2</v>
      </c>
      <c r="G37" s="219">
        <f ca="1">G24/SUM(Overview!$C$28:$C$30)</f>
        <v>7.9031335630754998E-2</v>
      </c>
      <c r="H37" s="219">
        <f ca="1">H24/SUM(Overview!$C$28:$C$30)</f>
        <v>8.1975291499677652E-2</v>
      </c>
      <c r="I37" s="219">
        <f ca="1">I24/SUM(Overview!$C$28:$C$30)</f>
        <v>8.5007566044668012E-2</v>
      </c>
      <c r="J37" s="219">
        <f ca="1">J24/SUM(Overview!$C$28:$C$30)</f>
        <v>8.8130808826008045E-2</v>
      </c>
    </row>
    <row r="38" spans="2:10" x14ac:dyDescent="0.2">
      <c r="C38" s="36"/>
      <c r="D38" s="36"/>
      <c r="E38" s="36"/>
      <c r="F38" s="36"/>
      <c r="G38" s="36"/>
      <c r="H38" s="36"/>
      <c r="I38" s="36"/>
      <c r="J38" s="36"/>
    </row>
    <row r="39" spans="2:10" x14ac:dyDescent="0.2">
      <c r="C39" s="36"/>
      <c r="D39" s="36"/>
      <c r="E39" s="36"/>
      <c r="F39" s="36"/>
      <c r="G39" s="36"/>
      <c r="H39" s="36"/>
      <c r="I39" s="36"/>
      <c r="J39" s="36"/>
    </row>
    <row r="40" spans="2:10" x14ac:dyDescent="0.2">
      <c r="C40" s="36"/>
      <c r="D40" s="36"/>
      <c r="E40" s="36"/>
      <c r="F40" s="36"/>
      <c r="G40" s="36"/>
      <c r="H40" s="36"/>
      <c r="I40" s="36"/>
      <c r="J40" s="36"/>
    </row>
    <row r="41" spans="2:10" x14ac:dyDescent="0.2">
      <c r="C41" s="36"/>
      <c r="D41" s="36"/>
      <c r="E41" s="36"/>
      <c r="F41" s="36"/>
      <c r="G41" s="36"/>
      <c r="H41" s="36"/>
      <c r="I41" s="36"/>
      <c r="J41" s="36"/>
    </row>
    <row r="42" spans="2:10" x14ac:dyDescent="0.2">
      <c r="C42" s="36"/>
      <c r="D42" s="36"/>
      <c r="E42" s="36"/>
      <c r="F42" s="36"/>
      <c r="G42" s="36"/>
      <c r="H42" s="36"/>
      <c r="I42" s="36"/>
      <c r="J42" s="36"/>
    </row>
    <row r="43" spans="2:10" x14ac:dyDescent="0.2">
      <c r="C43" s="36"/>
      <c r="D43" s="36"/>
      <c r="E43" s="36"/>
      <c r="F43" s="36"/>
      <c r="G43" s="36"/>
      <c r="H43" s="36"/>
      <c r="I43" s="36"/>
      <c r="J43" s="36"/>
    </row>
    <row r="44" spans="2:10" x14ac:dyDescent="0.2">
      <c r="C44" s="36"/>
      <c r="D44" s="36"/>
      <c r="E44" s="36"/>
      <c r="F44" s="36"/>
      <c r="G44" s="36"/>
      <c r="H44" s="36"/>
      <c r="I44" s="36"/>
      <c r="J44" s="36"/>
    </row>
    <row r="45" spans="2:10" x14ac:dyDescent="0.2">
      <c r="C45" s="36"/>
      <c r="D45" s="36"/>
      <c r="E45" s="36"/>
      <c r="F45" s="36"/>
      <c r="G45" s="36"/>
      <c r="H45" s="36"/>
      <c r="I45" s="36"/>
      <c r="J45" s="36"/>
    </row>
    <row r="46" spans="2:10" x14ac:dyDescent="0.2">
      <c r="C46" s="36"/>
      <c r="D46" s="36"/>
      <c r="E46" s="36"/>
      <c r="F46" s="36"/>
      <c r="G46" s="36"/>
      <c r="H46" s="36"/>
      <c r="I46" s="36"/>
      <c r="J46" s="36"/>
    </row>
    <row r="47" spans="2:10" x14ac:dyDescent="0.2">
      <c r="C47" s="36"/>
      <c r="D47" s="36"/>
      <c r="E47" s="36"/>
      <c r="F47" s="36"/>
      <c r="G47" s="36"/>
      <c r="H47" s="36"/>
      <c r="I47" s="36"/>
      <c r="J47" s="36"/>
    </row>
    <row r="48" spans="2:10" x14ac:dyDescent="0.2">
      <c r="C48" s="36"/>
      <c r="D48" s="36"/>
      <c r="E48" s="36"/>
      <c r="F48" s="36"/>
      <c r="G48" s="36"/>
      <c r="H48" s="36"/>
      <c r="I48" s="36"/>
      <c r="J48" s="36"/>
    </row>
    <row r="49" spans="3:10" x14ac:dyDescent="0.2">
      <c r="C49" s="36"/>
      <c r="D49" s="36"/>
      <c r="E49" s="36"/>
      <c r="F49" s="36"/>
      <c r="G49" s="36"/>
      <c r="H49" s="36"/>
      <c r="I49" s="36"/>
      <c r="J49" s="36"/>
    </row>
    <row r="50" spans="3:10" x14ac:dyDescent="0.2">
      <c r="C50" s="36"/>
      <c r="D50" s="36"/>
      <c r="E50" s="36"/>
      <c r="F50" s="36"/>
      <c r="G50" s="36"/>
      <c r="H50" s="36"/>
      <c r="I50" s="36"/>
      <c r="J50" s="36"/>
    </row>
    <row r="51" spans="3:10" x14ac:dyDescent="0.2">
      <c r="C51" s="36"/>
      <c r="D51" s="36"/>
      <c r="E51" s="36"/>
      <c r="F51" s="36"/>
      <c r="G51" s="36"/>
      <c r="H51" s="36"/>
      <c r="I51" s="36"/>
      <c r="J51" s="36"/>
    </row>
    <row r="52" spans="3:10" x14ac:dyDescent="0.2">
      <c r="C52" s="36"/>
      <c r="D52" s="36"/>
      <c r="E52" s="36"/>
      <c r="F52" s="36"/>
      <c r="G52" s="36"/>
      <c r="H52" s="36"/>
      <c r="I52" s="36"/>
      <c r="J52" s="36"/>
    </row>
    <row r="53" spans="3:10" x14ac:dyDescent="0.2">
      <c r="C53" s="36"/>
      <c r="D53" s="36"/>
      <c r="E53" s="36"/>
      <c r="F53" s="36"/>
      <c r="G53" s="36"/>
      <c r="H53" s="36"/>
      <c r="I53" s="36"/>
      <c r="J53" s="36"/>
    </row>
    <row r="54" spans="3:10" x14ac:dyDescent="0.2">
      <c r="C54" s="36"/>
      <c r="D54" s="36"/>
      <c r="E54" s="36"/>
      <c r="F54" s="36"/>
      <c r="G54" s="36"/>
      <c r="H54" s="36"/>
      <c r="I54" s="36"/>
      <c r="J54" s="36"/>
    </row>
    <row r="55" spans="3:10" x14ac:dyDescent="0.2">
      <c r="C55" s="36"/>
      <c r="D55" s="36"/>
      <c r="E55" s="36"/>
      <c r="F55" s="36"/>
      <c r="G55" s="36"/>
      <c r="H55" s="36"/>
      <c r="I55" s="36"/>
      <c r="J55" s="36"/>
    </row>
    <row r="56" spans="3:10" x14ac:dyDescent="0.2">
      <c r="C56" s="36"/>
      <c r="D56" s="36"/>
      <c r="E56" s="36"/>
      <c r="F56" s="36"/>
      <c r="G56" s="36"/>
      <c r="H56" s="36"/>
      <c r="I56" s="36"/>
      <c r="J56" s="36"/>
    </row>
    <row r="57" spans="3:10" x14ac:dyDescent="0.2">
      <c r="C57" s="36"/>
      <c r="D57" s="36"/>
      <c r="E57" s="36"/>
      <c r="F57" s="36"/>
      <c r="G57" s="36"/>
      <c r="H57" s="36"/>
      <c r="I57" s="36"/>
      <c r="J57" s="36"/>
    </row>
    <row r="58" spans="3:10" x14ac:dyDescent="0.2">
      <c r="C58" s="36"/>
      <c r="D58" s="36"/>
      <c r="E58" s="36"/>
      <c r="F58" s="36"/>
      <c r="G58" s="36"/>
      <c r="H58" s="36"/>
      <c r="I58" s="36"/>
      <c r="J58" s="36"/>
    </row>
    <row r="59" spans="3:10" x14ac:dyDescent="0.2">
      <c r="C59" s="36"/>
      <c r="D59" s="36"/>
      <c r="E59" s="36"/>
      <c r="F59" s="36"/>
      <c r="G59" s="36"/>
      <c r="H59" s="36"/>
      <c r="I59" s="36"/>
      <c r="J59" s="36"/>
    </row>
    <row r="60" spans="3:10" x14ac:dyDescent="0.2">
      <c r="C60" s="36"/>
      <c r="D60" s="36"/>
      <c r="E60" s="36"/>
      <c r="F60" s="36"/>
      <c r="G60" s="36"/>
      <c r="H60" s="36"/>
      <c r="I60" s="36"/>
      <c r="J60" s="36"/>
    </row>
    <row r="61" spans="3:10" x14ac:dyDescent="0.2">
      <c r="C61" s="36"/>
      <c r="D61" s="36"/>
      <c r="E61" s="36"/>
      <c r="F61" s="36"/>
      <c r="G61" s="36"/>
      <c r="H61" s="36"/>
      <c r="I61" s="36"/>
      <c r="J61" s="36"/>
    </row>
    <row r="62" spans="3:10" x14ac:dyDescent="0.2">
      <c r="C62" s="36"/>
      <c r="D62" s="36"/>
      <c r="E62" s="36"/>
      <c r="F62" s="36"/>
      <c r="G62" s="36"/>
      <c r="H62" s="36"/>
      <c r="I62" s="36"/>
      <c r="J62" s="36"/>
    </row>
    <row r="63" spans="3:10" x14ac:dyDescent="0.2">
      <c r="C63" s="36"/>
      <c r="D63" s="36"/>
      <c r="E63" s="36"/>
      <c r="F63" s="36"/>
      <c r="G63" s="36"/>
      <c r="H63" s="36"/>
      <c r="I63" s="36"/>
      <c r="J63" s="36"/>
    </row>
    <row r="64" spans="3:10" x14ac:dyDescent="0.2">
      <c r="C64" s="36"/>
      <c r="D64" s="36"/>
      <c r="E64" s="36"/>
      <c r="F64" s="36"/>
      <c r="G64" s="36"/>
      <c r="H64" s="36"/>
      <c r="I64" s="36"/>
      <c r="J64" s="36"/>
    </row>
  </sheetData>
  <pageMargins left="0.7" right="0.7" top="0.75" bottom="0.75" header="0.3" footer="0.3"/>
  <ignoredErrors>
    <ignoredError sqref="C28:J28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1089-44BB-476F-BFC0-BD037E972143}">
  <dimension ref="B2:L25"/>
  <sheetViews>
    <sheetView showGridLines="0" zoomScale="80" zoomScaleNormal="80" workbookViewId="0">
      <selection activeCell="L11" sqref="L11"/>
    </sheetView>
  </sheetViews>
  <sheetFormatPr baseColWidth="10" defaultColWidth="8.83203125" defaultRowHeight="15" x14ac:dyDescent="0.2"/>
  <cols>
    <col min="1" max="1" width="2.6640625" customWidth="1"/>
    <col min="2" max="2" width="26.1640625" bestFit="1" customWidth="1"/>
    <col min="3" max="6" width="10.5" bestFit="1" customWidth="1"/>
    <col min="7" max="7" width="4.83203125" customWidth="1"/>
    <col min="8" max="8" width="26.1640625" bestFit="1" customWidth="1"/>
    <col min="9" max="9" width="9" bestFit="1" customWidth="1"/>
  </cols>
  <sheetData>
    <row r="2" spans="2:12" x14ac:dyDescent="0.2">
      <c r="B2" s="385" t="s">
        <v>310</v>
      </c>
      <c r="C2" s="386"/>
      <c r="D2" s="386"/>
      <c r="E2" s="386"/>
      <c r="F2" s="387"/>
      <c r="H2" s="385" t="s">
        <v>311</v>
      </c>
      <c r="I2" s="386"/>
      <c r="J2" s="386"/>
      <c r="K2" s="386"/>
      <c r="L2" s="387"/>
    </row>
    <row r="3" spans="2:12" x14ac:dyDescent="0.2">
      <c r="B3" s="41"/>
      <c r="C3" s="159" t="s">
        <v>306</v>
      </c>
      <c r="D3" s="157" t="s">
        <v>307</v>
      </c>
      <c r="E3" s="157" t="s">
        <v>308</v>
      </c>
      <c r="F3" s="158" t="s">
        <v>309</v>
      </c>
      <c r="H3" s="41"/>
      <c r="I3" s="159" t="s">
        <v>306</v>
      </c>
      <c r="J3" s="157" t="s">
        <v>307</v>
      </c>
      <c r="K3" s="157" t="s">
        <v>308</v>
      </c>
      <c r="L3" s="158" t="s">
        <v>309</v>
      </c>
    </row>
    <row r="4" spans="2:12" x14ac:dyDescent="0.2">
      <c r="B4" s="8" t="str">
        <f>Assumptions!H22</f>
        <v>Utilities</v>
      </c>
      <c r="C4" s="160">
        <f>Assumptions!L22</f>
        <v>52800</v>
      </c>
      <c r="D4" s="54">
        <f>J4*Assumptions!$C$29</f>
        <v>48444</v>
      </c>
      <c r="E4" s="54">
        <f>K4*Assumptions!$C$29</f>
        <v>66000</v>
      </c>
      <c r="F4" s="38">
        <f>L4*Assumptions!$C$29</f>
        <v>51150</v>
      </c>
      <c r="H4" s="8" t="str">
        <f>Assumptions!H22</f>
        <v>Utilities</v>
      </c>
      <c r="I4" s="160">
        <f>Assumptions!L22/Assumptions!C29</f>
        <v>800</v>
      </c>
      <c r="J4" s="37">
        <v>734</v>
      </c>
      <c r="K4" s="37">
        <v>1000</v>
      </c>
      <c r="L4" s="84">
        <v>775</v>
      </c>
    </row>
    <row r="5" spans="2:12" x14ac:dyDescent="0.2">
      <c r="B5" s="8" t="str">
        <f>Assumptions!H23</f>
        <v>Repairs and Maintenance</v>
      </c>
      <c r="C5" s="160">
        <f>Assumptions!L23</f>
        <v>33000</v>
      </c>
      <c r="D5" s="54">
        <f>J5*Assumptions!$C$29</f>
        <v>26400</v>
      </c>
      <c r="E5" s="54">
        <f>K5*Assumptions!$C$29</f>
        <v>23100</v>
      </c>
      <c r="F5" s="38">
        <f>L5*Assumptions!$C$29</f>
        <v>8382</v>
      </c>
      <c r="H5" s="8" t="str">
        <f>Assumptions!H23</f>
        <v>Repairs and Maintenance</v>
      </c>
      <c r="I5" s="160">
        <f>Assumptions!K23</f>
        <v>500</v>
      </c>
      <c r="J5" s="37">
        <v>400</v>
      </c>
      <c r="K5" s="37">
        <v>350</v>
      </c>
      <c r="L5" s="84">
        <v>127</v>
      </c>
    </row>
    <row r="6" spans="2:12" x14ac:dyDescent="0.2">
      <c r="B6" s="8" t="str">
        <f>Assumptions!H24</f>
        <v>Labor</v>
      </c>
      <c r="C6" s="160">
        <f>Assumptions!L24</f>
        <v>59400</v>
      </c>
      <c r="D6" s="54">
        <f>J6*Assumptions!$C$29</f>
        <v>118800</v>
      </c>
      <c r="E6" s="54">
        <f>K6*Assumptions!$C$29</f>
        <v>178200</v>
      </c>
      <c r="F6" s="38">
        <f>L6*Assumptions!$C$29</f>
        <v>117084</v>
      </c>
      <c r="H6" s="8" t="str">
        <f>Assumptions!H24</f>
        <v>Labor</v>
      </c>
      <c r="I6" s="160">
        <f>Assumptions!K24</f>
        <v>900</v>
      </c>
      <c r="J6" s="37">
        <v>1800</v>
      </c>
      <c r="K6" s="37">
        <v>2700</v>
      </c>
      <c r="L6" s="84">
        <v>1774</v>
      </c>
    </row>
    <row r="7" spans="2:12" x14ac:dyDescent="0.2">
      <c r="B7" s="8" t="str">
        <f>Assumptions!H25</f>
        <v>Insurance</v>
      </c>
      <c r="C7" s="160">
        <f>Assumptions!L25</f>
        <v>23100</v>
      </c>
      <c r="D7" s="54">
        <f>J7*Assumptions!$C$29</f>
        <v>79200</v>
      </c>
      <c r="E7" s="54">
        <f>K7*Assumptions!$C$29</f>
        <v>72600</v>
      </c>
      <c r="F7" s="38">
        <f>L7*Assumptions!$C$29</f>
        <v>71280</v>
      </c>
      <c r="H7" s="8" t="str">
        <f>Assumptions!H25</f>
        <v>Insurance</v>
      </c>
      <c r="I7" s="160">
        <f>Assumptions!K25</f>
        <v>350</v>
      </c>
      <c r="J7" s="37">
        <v>1200</v>
      </c>
      <c r="K7" s="37">
        <v>1100</v>
      </c>
      <c r="L7" s="84">
        <v>1080</v>
      </c>
    </row>
    <row r="8" spans="2:12" x14ac:dyDescent="0.2">
      <c r="B8" s="8" t="str">
        <f>Assumptions!H26</f>
        <v>G&amp;A / Service Contracts</v>
      </c>
      <c r="C8" s="160">
        <f>Assumptions!L26</f>
        <v>23100</v>
      </c>
      <c r="D8" s="54">
        <f>J8*Assumptions!$C$29</f>
        <v>99000</v>
      </c>
      <c r="E8" s="54">
        <f>K8*Assumptions!$C$29</f>
        <v>59400</v>
      </c>
      <c r="F8" s="38">
        <f>L8*Assumptions!$C$29</f>
        <v>102300</v>
      </c>
      <c r="H8" s="8" t="str">
        <f>Assumptions!H26</f>
        <v>G&amp;A / Service Contracts</v>
      </c>
      <c r="I8" s="160">
        <f>Assumptions!K26</f>
        <v>350</v>
      </c>
      <c r="J8" s="37">
        <v>1500</v>
      </c>
      <c r="K8" s="37">
        <v>900</v>
      </c>
      <c r="L8" s="84">
        <f>1150+400</f>
        <v>1550</v>
      </c>
    </row>
    <row r="9" spans="2:12" x14ac:dyDescent="0.2">
      <c r="B9" s="8" t="str">
        <f>Assumptions!H27</f>
        <v>Marketing/Leasing</v>
      </c>
      <c r="C9" s="160">
        <f>Assumptions!L27</f>
        <v>19800</v>
      </c>
      <c r="D9" s="54">
        <f>J9*Assumptions!$C$29</f>
        <v>33000</v>
      </c>
      <c r="E9" s="54">
        <f>K9*Assumptions!$C$29</f>
        <v>23760</v>
      </c>
      <c r="F9" s="38">
        <f>L9*Assumptions!$C$29</f>
        <v>30030</v>
      </c>
      <c r="H9" s="8" t="str">
        <f>Assumptions!H27</f>
        <v>Marketing/Leasing</v>
      </c>
      <c r="I9" s="160">
        <f>Assumptions!K27</f>
        <v>300</v>
      </c>
      <c r="J9" s="37">
        <v>500</v>
      </c>
      <c r="K9" s="37">
        <v>360</v>
      </c>
      <c r="L9" s="84">
        <v>455</v>
      </c>
    </row>
    <row r="10" spans="2:12" x14ac:dyDescent="0.2">
      <c r="B10" s="8" t="str">
        <f>Assumptions!H28</f>
        <v>Turnover</v>
      </c>
      <c r="C10" s="160">
        <f>Assumptions!L28</f>
        <v>0</v>
      </c>
      <c r="D10" s="54">
        <f>J10*Assumptions!$C$29</f>
        <v>13200</v>
      </c>
      <c r="E10" s="54">
        <f>K10*Assumptions!$C$29</f>
        <v>14850</v>
      </c>
      <c r="F10" s="38">
        <f>L10*Assumptions!$C$29</f>
        <v>16500</v>
      </c>
      <c r="H10" s="8" t="str">
        <f>Assumptions!H28</f>
        <v>Turnover</v>
      </c>
      <c r="I10" s="160">
        <f>Assumptions!K28</f>
        <v>0</v>
      </c>
      <c r="J10" s="37">
        <v>200</v>
      </c>
      <c r="K10" s="37">
        <v>225</v>
      </c>
      <c r="L10" s="84">
        <v>250</v>
      </c>
    </row>
    <row r="11" spans="2:12" x14ac:dyDescent="0.2">
      <c r="B11" s="8" t="str">
        <f>Assumptions!H29</f>
        <v>Capital Reserves</v>
      </c>
      <c r="C11" s="160">
        <f>Assumptions!L29</f>
        <v>6600</v>
      </c>
      <c r="D11" s="54">
        <f>J11*Assumptions!$C$29</f>
        <v>13200</v>
      </c>
      <c r="E11" s="54">
        <f>K11*Assumptions!$C$29</f>
        <v>9900</v>
      </c>
      <c r="F11" s="38">
        <f>L11*Assumptions!$C$29</f>
        <v>0</v>
      </c>
      <c r="H11" s="8" t="str">
        <f>Assumptions!H29</f>
        <v>Capital Reserves</v>
      </c>
      <c r="I11" s="160">
        <f>Assumptions!K29</f>
        <v>100</v>
      </c>
      <c r="J11" s="37">
        <v>200</v>
      </c>
      <c r="K11" s="37">
        <v>150</v>
      </c>
      <c r="L11" s="84">
        <v>0</v>
      </c>
    </row>
    <row r="12" spans="2:12" x14ac:dyDescent="0.2">
      <c r="B12" s="8" t="str">
        <f>Assumptions!H37</f>
        <v>Real Estate Taxes</v>
      </c>
      <c r="C12" s="160">
        <f ca="1">Assumptions!L38</f>
        <v>432399.64430362568</v>
      </c>
      <c r="D12" s="54">
        <f>J12*Assumptions!$C$29</f>
        <v>336600</v>
      </c>
      <c r="E12" s="54">
        <f>K12*Assumptions!$C$29</f>
        <v>330000</v>
      </c>
      <c r="F12" s="38">
        <f>L12*Assumptions!$C$29</f>
        <v>264000</v>
      </c>
      <c r="H12" s="8" t="str">
        <f>Assumptions!H37</f>
        <v>Real Estate Taxes</v>
      </c>
      <c r="I12" s="160">
        <f ca="1">Assumptions!L38/Assumptions!C29</f>
        <v>6551.509762176147</v>
      </c>
      <c r="J12" s="37">
        <v>5100</v>
      </c>
      <c r="K12" s="37">
        <v>5000</v>
      </c>
      <c r="L12" s="84">
        <v>4000</v>
      </c>
    </row>
    <row r="13" spans="2:12" x14ac:dyDescent="0.2">
      <c r="B13" s="8" t="str">
        <f>Assumptions!H30</f>
        <v>Management Fee</v>
      </c>
      <c r="C13" s="161">
        <f>Assumptions!K30</f>
        <v>0.02</v>
      </c>
      <c r="D13" s="237">
        <f t="shared" ref="D13:D14" si="0">J13</f>
        <v>2.5000000000000001E-2</v>
      </c>
      <c r="E13" s="237">
        <f t="shared" ref="E13:E14" si="1">K13</f>
        <v>0.02</v>
      </c>
      <c r="F13" s="138">
        <f>L13</f>
        <v>2.75E-2</v>
      </c>
      <c r="H13" s="8" t="str">
        <f>Assumptions!H30</f>
        <v>Management Fee</v>
      </c>
      <c r="I13" s="161">
        <f>Assumptions!K30</f>
        <v>0.02</v>
      </c>
      <c r="J13" s="72">
        <v>2.5000000000000001E-2</v>
      </c>
      <c r="K13" s="72">
        <v>0.02</v>
      </c>
      <c r="L13" s="26">
        <v>2.75E-2</v>
      </c>
    </row>
    <row r="14" spans="2:12" x14ac:dyDescent="0.2">
      <c r="B14" s="10" t="str">
        <f>Assumptions!H31</f>
        <v>Opex Contingency</v>
      </c>
      <c r="C14" s="162">
        <f>Assumptions!K31</f>
        <v>2.5000000000000001E-2</v>
      </c>
      <c r="D14" s="238">
        <f t="shared" si="0"/>
        <v>0</v>
      </c>
      <c r="E14" s="238">
        <f t="shared" si="1"/>
        <v>0</v>
      </c>
      <c r="F14" s="234">
        <f>L14</f>
        <v>0</v>
      </c>
      <c r="H14" s="10" t="str">
        <f>Assumptions!H31</f>
        <v>Opex Contingency</v>
      </c>
      <c r="I14" s="162">
        <f>Assumptions!K31</f>
        <v>2.5000000000000001E-2</v>
      </c>
      <c r="J14" s="218">
        <v>0</v>
      </c>
      <c r="K14" s="218">
        <v>0</v>
      </c>
      <c r="L14" s="28">
        <v>0</v>
      </c>
    </row>
    <row r="16" spans="2:12" x14ac:dyDescent="0.2">
      <c r="B16" s="385" t="s">
        <v>342</v>
      </c>
      <c r="C16" s="386"/>
      <c r="D16" s="386"/>
      <c r="E16" s="386"/>
      <c r="F16" s="387"/>
      <c r="H16" s="385" t="s">
        <v>345</v>
      </c>
      <c r="I16" s="386"/>
      <c r="J16" s="386"/>
      <c r="K16" s="386"/>
      <c r="L16" s="387"/>
    </row>
    <row r="17" spans="2:12" x14ac:dyDescent="0.2">
      <c r="B17" s="41"/>
      <c r="C17" s="159" t="s">
        <v>306</v>
      </c>
      <c r="D17" s="157" t="s">
        <v>307</v>
      </c>
      <c r="E17" s="157" t="s">
        <v>308</v>
      </c>
      <c r="F17" s="158" t="s">
        <v>309</v>
      </c>
      <c r="H17" s="41"/>
      <c r="I17" s="159" t="s">
        <v>306</v>
      </c>
      <c r="J17" s="157" t="s">
        <v>307</v>
      </c>
      <c r="K17" s="157" t="s">
        <v>308</v>
      </c>
      <c r="L17" s="158" t="s">
        <v>309</v>
      </c>
    </row>
    <row r="18" spans="2:12" x14ac:dyDescent="0.2">
      <c r="B18" s="8" t="s">
        <v>343</v>
      </c>
      <c r="C18" s="160">
        <f>Assumptions!K6*Assumptions!F30*Assumptions!I6*12</f>
        <v>0</v>
      </c>
      <c r="D18" s="54">
        <f>J18*Assumptions!$I$6*Assumptions!$F$30*12</f>
        <v>94500</v>
      </c>
      <c r="E18" s="54">
        <f>K18*Assumptions!$I$6*Assumptions!$F$30*12</f>
        <v>94500</v>
      </c>
      <c r="F18" s="38">
        <f>L18*Assumptions!$I$6*Assumptions!$F$30*12</f>
        <v>75600</v>
      </c>
      <c r="H18" s="8" t="s">
        <v>343</v>
      </c>
      <c r="I18" s="160">
        <f>Assumptions!K6</f>
        <v>0</v>
      </c>
      <c r="J18" s="37">
        <v>125</v>
      </c>
      <c r="K18" s="37">
        <v>125</v>
      </c>
      <c r="L18" s="84">
        <v>100</v>
      </c>
    </row>
    <row r="19" spans="2:12" x14ac:dyDescent="0.2">
      <c r="B19" s="10" t="s">
        <v>344</v>
      </c>
      <c r="C19" s="217">
        <f>Assumptions!K7*Assumptions!C29*12</f>
        <v>118800</v>
      </c>
      <c r="D19" s="235">
        <f>J19*Assumptions!$C$29</f>
        <v>6050</v>
      </c>
      <c r="E19" s="235">
        <f>K19*Assumptions!$C$29</f>
        <v>6600</v>
      </c>
      <c r="F19" s="236">
        <f>L19*Assumptions!$C$29</f>
        <v>5500</v>
      </c>
      <c r="H19" s="10" t="s">
        <v>358</v>
      </c>
      <c r="I19" s="217">
        <f>Assumptions!K7</f>
        <v>150</v>
      </c>
      <c r="J19" s="111">
        <f>1100/12</f>
        <v>91.666666666666671</v>
      </c>
      <c r="K19" s="111">
        <f>1200/12</f>
        <v>100</v>
      </c>
      <c r="L19" s="240">
        <f>1000/12</f>
        <v>83.333333333333329</v>
      </c>
    </row>
    <row r="21" spans="2:12" x14ac:dyDescent="0.2">
      <c r="B21" t="s">
        <v>347</v>
      </c>
      <c r="D21" s="239">
        <v>44664</v>
      </c>
      <c r="E21" s="239">
        <v>44719</v>
      </c>
      <c r="F21" s="239">
        <v>44715</v>
      </c>
    </row>
    <row r="23" spans="2:12" x14ac:dyDescent="0.2">
      <c r="B23" t="s">
        <v>346</v>
      </c>
      <c r="F23" s="172" t="s">
        <v>261</v>
      </c>
    </row>
    <row r="25" spans="2:12" x14ac:dyDescent="0.2">
      <c r="B25" t="s">
        <v>359</v>
      </c>
      <c r="F25" s="172" t="s">
        <v>261</v>
      </c>
    </row>
  </sheetData>
  <mergeCells count="4">
    <mergeCell ref="B2:F2"/>
    <mergeCell ref="H2:L2"/>
    <mergeCell ref="B16:F16"/>
    <mergeCell ref="H16:L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C9CE-C910-4E1C-B98A-D9AD74CAE66E}">
  <dimension ref="B2:F24"/>
  <sheetViews>
    <sheetView showGridLines="0" zoomScale="80" zoomScaleNormal="80" workbookViewId="0"/>
  </sheetViews>
  <sheetFormatPr baseColWidth="10" defaultColWidth="8.83203125" defaultRowHeight="15" x14ac:dyDescent="0.2"/>
  <cols>
    <col min="1" max="1" width="4.1640625" customWidth="1"/>
    <col min="2" max="2" width="22.83203125" bestFit="1" customWidth="1"/>
    <col min="3" max="3" width="13.33203125" bestFit="1" customWidth="1"/>
  </cols>
  <sheetData>
    <row r="2" spans="2:6" x14ac:dyDescent="0.2">
      <c r="B2" s="397" t="s">
        <v>327</v>
      </c>
      <c r="C2" s="398"/>
      <c r="D2" s="398"/>
      <c r="E2" s="398"/>
      <c r="F2" s="399"/>
    </row>
    <row r="3" spans="2:6" x14ac:dyDescent="0.2">
      <c r="B3" s="109" t="s">
        <v>207</v>
      </c>
      <c r="C3" s="73" t="s">
        <v>208</v>
      </c>
      <c r="D3" s="73" t="s">
        <v>210</v>
      </c>
      <c r="E3" s="73" t="s">
        <v>211</v>
      </c>
      <c r="F3" s="110" t="s">
        <v>212</v>
      </c>
    </row>
    <row r="4" spans="2:6" x14ac:dyDescent="0.2">
      <c r="B4" s="121" t="s">
        <v>18</v>
      </c>
      <c r="C4" s="170">
        <v>0</v>
      </c>
      <c r="D4" s="169">
        <v>0</v>
      </c>
      <c r="E4" s="170">
        <v>0</v>
      </c>
      <c r="F4" s="122" t="e">
        <f>D4/E4</f>
        <v>#DIV/0!</v>
      </c>
    </row>
    <row r="5" spans="2:6" x14ac:dyDescent="0.2">
      <c r="B5" s="167" t="s">
        <v>206</v>
      </c>
      <c r="C5" s="172">
        <v>0</v>
      </c>
      <c r="D5" s="171">
        <v>0</v>
      </c>
      <c r="E5" s="172">
        <v>0</v>
      </c>
      <c r="F5" s="168" t="e">
        <f>D5/E5</f>
        <v>#DIV/0!</v>
      </c>
    </row>
    <row r="6" spans="2:6" x14ac:dyDescent="0.2">
      <c r="B6" s="167" t="s">
        <v>292</v>
      </c>
      <c r="C6" s="172">
        <v>0</v>
      </c>
      <c r="D6" s="171">
        <v>0</v>
      </c>
      <c r="E6" s="172">
        <v>0</v>
      </c>
      <c r="F6" s="168" t="e">
        <f t="shared" ref="F6:F7" si="0">D6/E6</f>
        <v>#DIV/0!</v>
      </c>
    </row>
    <row r="7" spans="2:6" x14ac:dyDescent="0.2">
      <c r="B7" s="123" t="s">
        <v>293</v>
      </c>
      <c r="C7" s="174">
        <v>0</v>
      </c>
      <c r="D7" s="173">
        <v>0</v>
      </c>
      <c r="E7" s="174">
        <v>0</v>
      </c>
      <c r="F7" s="124" t="e">
        <f t="shared" si="0"/>
        <v>#DIV/0!</v>
      </c>
    </row>
    <row r="9" spans="2:6" x14ac:dyDescent="0.2">
      <c r="B9" s="35" t="s">
        <v>209</v>
      </c>
    </row>
    <row r="10" spans="2:6" x14ac:dyDescent="0.2">
      <c r="B10" s="35"/>
    </row>
    <row r="17" spans="2:6" x14ac:dyDescent="0.2">
      <c r="B17" s="397" t="s">
        <v>328</v>
      </c>
      <c r="C17" s="398"/>
      <c r="D17" s="398"/>
      <c r="E17" s="398"/>
      <c r="F17" s="399"/>
    </row>
    <row r="18" spans="2:6" x14ac:dyDescent="0.2">
      <c r="B18" s="109" t="s">
        <v>207</v>
      </c>
      <c r="C18" s="73" t="s">
        <v>208</v>
      </c>
      <c r="D18" s="73" t="s">
        <v>210</v>
      </c>
      <c r="E18" s="73" t="s">
        <v>211</v>
      </c>
      <c r="F18" s="110" t="s">
        <v>212</v>
      </c>
    </row>
    <row r="19" spans="2:6" x14ac:dyDescent="0.2">
      <c r="B19" s="121" t="s">
        <v>18</v>
      </c>
      <c r="C19" s="170">
        <v>0</v>
      </c>
      <c r="D19" s="169">
        <v>0</v>
      </c>
      <c r="E19" s="170">
        <v>0</v>
      </c>
      <c r="F19" s="122" t="e">
        <f>D19/E19</f>
        <v>#DIV/0!</v>
      </c>
    </row>
    <row r="20" spans="2:6" x14ac:dyDescent="0.2">
      <c r="B20" s="167" t="s">
        <v>206</v>
      </c>
      <c r="C20" s="172">
        <v>0</v>
      </c>
      <c r="D20" s="171">
        <v>0</v>
      </c>
      <c r="E20" s="172">
        <v>0</v>
      </c>
      <c r="F20" s="168" t="e">
        <f>D20/E20</f>
        <v>#DIV/0!</v>
      </c>
    </row>
    <row r="21" spans="2:6" x14ac:dyDescent="0.2">
      <c r="B21" s="167" t="s">
        <v>292</v>
      </c>
      <c r="C21" s="172">
        <v>0</v>
      </c>
      <c r="D21" s="171">
        <v>0</v>
      </c>
      <c r="E21" s="172">
        <v>0</v>
      </c>
      <c r="F21" s="168" t="e">
        <f t="shared" ref="F21:F22" si="1">D21/E21</f>
        <v>#DIV/0!</v>
      </c>
    </row>
    <row r="22" spans="2:6" x14ac:dyDescent="0.2">
      <c r="B22" s="123" t="s">
        <v>293</v>
      </c>
      <c r="C22" s="174">
        <v>0</v>
      </c>
      <c r="D22" s="173">
        <v>0</v>
      </c>
      <c r="E22" s="174">
        <v>0</v>
      </c>
      <c r="F22" s="124" t="e">
        <f t="shared" si="1"/>
        <v>#DIV/0!</v>
      </c>
    </row>
    <row r="24" spans="2:6" x14ac:dyDescent="0.2">
      <c r="B24" s="35" t="s">
        <v>209</v>
      </c>
    </row>
  </sheetData>
  <mergeCells count="2">
    <mergeCell ref="B2:F2"/>
    <mergeCell ref="B17:F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0A5D-0FE7-4452-A8B1-9FD6CD65297A}">
  <dimension ref="B2:I31"/>
  <sheetViews>
    <sheetView showGridLines="0" workbookViewId="0">
      <selection activeCell="D13" activeCellId="1" sqref="D25 D13"/>
    </sheetView>
  </sheetViews>
  <sheetFormatPr baseColWidth="10" defaultColWidth="8.83203125" defaultRowHeight="15" x14ac:dyDescent="0.2"/>
  <cols>
    <col min="1" max="1" width="3.1640625" customWidth="1"/>
    <col min="2" max="2" width="19.6640625" customWidth="1"/>
    <col min="4" max="4" width="12.5" bestFit="1" customWidth="1"/>
    <col min="5" max="5" width="12.33203125" customWidth="1"/>
    <col min="6" max="6" width="11.33203125" customWidth="1"/>
    <col min="7" max="7" width="11.5" customWidth="1"/>
    <col min="8" max="8" width="12.5" customWidth="1"/>
    <col min="9" max="9" width="14" customWidth="1"/>
  </cols>
  <sheetData>
    <row r="2" spans="2:9" x14ac:dyDescent="0.2">
      <c r="D2" s="106"/>
      <c r="E2" s="88" t="s">
        <v>53</v>
      </c>
      <c r="F2" s="88" t="s">
        <v>217</v>
      </c>
      <c r="G2" s="88" t="s">
        <v>218</v>
      </c>
      <c r="H2" s="89" t="s">
        <v>335</v>
      </c>
    </row>
    <row r="3" spans="2:9" x14ac:dyDescent="0.2">
      <c r="D3" s="8" t="s">
        <v>215</v>
      </c>
      <c r="E3" s="20">
        <v>0.15</v>
      </c>
      <c r="F3" s="20">
        <v>0.08</v>
      </c>
      <c r="G3" s="20">
        <v>0.3</v>
      </c>
      <c r="H3" s="12" t="s">
        <v>260</v>
      </c>
    </row>
    <row r="4" spans="2:9" x14ac:dyDescent="0.2">
      <c r="B4" s="102" t="s">
        <v>237</v>
      </c>
      <c r="D4" s="10" t="s">
        <v>216</v>
      </c>
      <c r="E4" s="22">
        <v>0.85</v>
      </c>
      <c r="F4" s="22">
        <v>0.08</v>
      </c>
      <c r="G4" s="22">
        <v>0.7</v>
      </c>
      <c r="H4" s="215"/>
    </row>
    <row r="6" spans="2:9" x14ac:dyDescent="0.2">
      <c r="B6" s="106" t="s">
        <v>219</v>
      </c>
      <c r="C6" s="114"/>
      <c r="D6" s="128">
        <v>1</v>
      </c>
      <c r="E6" s="128">
        <f>D6+1</f>
        <v>2</v>
      </c>
      <c r="F6" s="128">
        <f t="shared" ref="F6:I6" si="0">E6+1</f>
        <v>3</v>
      </c>
      <c r="G6" s="128">
        <f t="shared" si="0"/>
        <v>4</v>
      </c>
      <c r="H6" s="128">
        <f t="shared" si="0"/>
        <v>5</v>
      </c>
      <c r="I6" s="129">
        <f t="shared" si="0"/>
        <v>6</v>
      </c>
    </row>
    <row r="7" spans="2:9" x14ac:dyDescent="0.2">
      <c r="B7" s="8" t="s">
        <v>220</v>
      </c>
      <c r="D7" s="242">
        <f ca="1">-SUMIF('Draw Schedule'!$F$4:$BZ$4,D$6,'Draw Schedule'!$F184:$BZ184)</f>
        <v>-522811.54762555956</v>
      </c>
      <c r="E7" s="242">
        <f ca="1">-SUMIF('Draw Schedule'!$F$4:$BZ$4,E$6,'Draw Schedule'!$F184:$BZ184)</f>
        <v>-609093.48266252468</v>
      </c>
      <c r="F7" s="242">
        <f ca="1">-SUMIF('Draw Schedule'!$F$4:$BZ$4,F$6,'Draw Schedule'!$F184:$BZ184)</f>
        <v>0</v>
      </c>
      <c r="G7" s="242">
        <f ca="1">-SUMIF('Draw Schedule'!$F$4:$BZ$4,G$6,'Draw Schedule'!$F184:$BZ184)</f>
        <v>0</v>
      </c>
      <c r="H7" s="242">
        <f ca="1">-SUMIF('Draw Schedule'!$F$4:$BZ$4,H$6,'Draw Schedule'!$F184:$BZ184)</f>
        <v>0</v>
      </c>
      <c r="I7" s="263">
        <f ca="1">-SUMIF('Draw Schedule'!$F$4:$BZ$4,I$6,'Draw Schedule'!$F184:$BZ184)</f>
        <v>0</v>
      </c>
    </row>
    <row r="8" spans="2:9" x14ac:dyDescent="0.2">
      <c r="B8" s="8" t="s">
        <v>240</v>
      </c>
      <c r="D8" s="242">
        <f ca="1">SUMIF('Draw Schedule'!$F$4:$BZ$4,D$6,'Draw Schedule'!$F185:$BZ185)</f>
        <v>0</v>
      </c>
      <c r="E8" s="242">
        <f ca="1">SUMIF('Draw Schedule'!$F$4:$BZ$4,E$6,'Draw Schedule'!$F185:$BZ185)</f>
        <v>0</v>
      </c>
      <c r="F8" s="242">
        <f ca="1">SUMIF('Draw Schedule'!$F$4:$BZ$4,F$6,'Draw Schedule'!$F185:$BZ185)</f>
        <v>0</v>
      </c>
      <c r="G8" s="242">
        <f ca="1">SUMIF('Draw Schedule'!$F$4:$BZ$4,G$6,'Draw Schedule'!$F185:$BZ185)</f>
        <v>0</v>
      </c>
      <c r="H8" s="242">
        <f ca="1">SUMIF('Draw Schedule'!$F$4:$BZ$4,H$6,'Draw Schedule'!$F185:$BZ185)</f>
        <v>0</v>
      </c>
      <c r="I8" s="263">
        <f ca="1">SUMIF('Draw Schedule'!$F$4:$BZ$4,I$6,'Draw Schedule'!$F185:$BZ185)</f>
        <v>0</v>
      </c>
    </row>
    <row r="9" spans="2:9" x14ac:dyDescent="0.2">
      <c r="B9" s="8" t="s">
        <v>340</v>
      </c>
      <c r="D9" s="242">
        <f ca="1">SUMIF('Draw Schedule'!$F$4:$BZ$4,D$6,'Draw Schedule'!$F198:$BZ198)</f>
        <v>0</v>
      </c>
      <c r="E9" s="242">
        <f ca="1">SUMIF('Draw Schedule'!$F$4:$BZ$4,E$6,'Draw Schedule'!$F198:$BZ198)</f>
        <v>0</v>
      </c>
      <c r="F9" s="242">
        <f ca="1">SUMIF('Draw Schedule'!$F$4:$BZ$4,F$6,'Draw Schedule'!$F198:$BZ198)</f>
        <v>0</v>
      </c>
      <c r="G9" s="242">
        <f ca="1">SUMIF('Draw Schedule'!$F$4:$BZ$4,G$6,'Draw Schedule'!$F198:$BZ198)</f>
        <v>0</v>
      </c>
      <c r="H9" s="242">
        <f ca="1">SUMIF('Draw Schedule'!$F$4:$BZ$4,H$6,'Draw Schedule'!$F198:$BZ198)</f>
        <v>0</v>
      </c>
      <c r="I9" s="263">
        <f ca="1">SUMIF('Draw Schedule'!$F$4:$BZ$4,I$6,'Draw Schedule'!$F198:$BZ198)</f>
        <v>0</v>
      </c>
    </row>
    <row r="10" spans="2:9" x14ac:dyDescent="0.2">
      <c r="B10" s="8" t="s">
        <v>336</v>
      </c>
      <c r="D10" s="242">
        <f ca="1">-SUMIF('Draw Schedule'!$F$4:$BZ$4,D$6,'Draw Schedule'!$F193:$BZ193)+SUMIF('Draw Schedule'!$F$4:$BZ$4,D$6,'Draw Schedule'!$F199:$BZ199)</f>
        <v>0</v>
      </c>
      <c r="E10" s="242">
        <f ca="1">-SUMIF('Draw Schedule'!$F$4:$BZ$4,E$6,'Draw Schedule'!$F193:$BZ193)+SUMIF('Draw Schedule'!$F$4:$BZ$4,E$6,'Draw Schedule'!$F199:$BZ199)</f>
        <v>0</v>
      </c>
      <c r="F10" s="242">
        <f ca="1">-SUMIF('Draw Schedule'!$F$4:$BZ$4,F$6,'Draw Schedule'!$F193:$BZ193)+SUMIF('Draw Schedule'!$F$4:$BZ$4,F$6,'Draw Schedule'!$F199:$BZ199)</f>
        <v>0</v>
      </c>
      <c r="G10" s="242">
        <f ca="1">-SUMIF('Draw Schedule'!$F$4:$BZ$4,G$6,'Draw Schedule'!$F193:$BZ193)+SUMIF('Draw Schedule'!$F$4:$BZ$4,G$6,'Draw Schedule'!$F199:$BZ199)</f>
        <v>0</v>
      </c>
      <c r="H10" s="242">
        <f ca="1">-SUMIF('Draw Schedule'!$F$4:$BZ$4,H$6,'Draw Schedule'!$F193:$BZ193)+SUMIF('Draw Schedule'!$F$4:$BZ$4,H$6,'Draw Schedule'!$F199:$BZ199)</f>
        <v>0</v>
      </c>
      <c r="I10" s="263">
        <f ca="1">-SUMIF('Draw Schedule'!$F$4:$BZ$4,I$6,'Draw Schedule'!$F193:$BZ193)+SUMIF('Draw Schedule'!$F$4:$BZ$4,I$6,'Draw Schedule'!$F199:$BZ199)</f>
        <v>0</v>
      </c>
    </row>
    <row r="11" spans="2:9" x14ac:dyDescent="0.2">
      <c r="B11" s="43" t="s">
        <v>238</v>
      </c>
      <c r="C11" s="44"/>
      <c r="D11" s="250">
        <f t="shared" ref="D11:I11" ca="1" si="1">SUM(D7:D10)</f>
        <v>-522811.54762555956</v>
      </c>
      <c r="E11" s="250">
        <f t="shared" ca="1" si="1"/>
        <v>-609093.48266252468</v>
      </c>
      <c r="F11" s="250">
        <f t="shared" ca="1" si="1"/>
        <v>0</v>
      </c>
      <c r="G11" s="250">
        <f t="shared" ca="1" si="1"/>
        <v>0</v>
      </c>
      <c r="H11" s="250">
        <f t="shared" ca="1" si="1"/>
        <v>0</v>
      </c>
      <c r="I11" s="264">
        <f t="shared" ca="1" si="1"/>
        <v>0</v>
      </c>
    </row>
    <row r="13" spans="2:9" x14ac:dyDescent="0.2">
      <c r="B13" s="130" t="s">
        <v>241</v>
      </c>
      <c r="C13" s="131"/>
      <c r="D13" s="265">
        <f ca="1">'Draw Schedule'!D209</f>
        <v>955689.10002424987</v>
      </c>
    </row>
    <row r="14" spans="2:9" x14ac:dyDescent="0.2">
      <c r="B14" s="132" t="s">
        <v>231</v>
      </c>
      <c r="C14" s="125"/>
      <c r="D14" s="216">
        <f ca="1">'Draw Schedule'!D210</f>
        <v>1.8443191561582131</v>
      </c>
    </row>
    <row r="15" spans="2:9" x14ac:dyDescent="0.2">
      <c r="B15" s="133" t="s">
        <v>235</v>
      </c>
      <c r="C15" s="134"/>
      <c r="D15" s="135">
        <f ca="1">'Draw Schedule'!D211</f>
        <v>0.10497402548789983</v>
      </c>
    </row>
    <row r="17" spans="2:9" x14ac:dyDescent="0.2">
      <c r="B17" s="102" t="s">
        <v>239</v>
      </c>
    </row>
    <row r="18" spans="2:9" x14ac:dyDescent="0.2">
      <c r="B18" s="102"/>
    </row>
    <row r="19" spans="2:9" x14ac:dyDescent="0.2">
      <c r="B19" s="106" t="s">
        <v>219</v>
      </c>
      <c r="C19" s="114"/>
      <c r="D19" s="128">
        <v>1</v>
      </c>
      <c r="E19" s="128">
        <f>D19+1</f>
        <v>2</v>
      </c>
      <c r="F19" s="128">
        <f t="shared" ref="F19:I19" si="2">E19+1</f>
        <v>3</v>
      </c>
      <c r="G19" s="128">
        <f t="shared" si="2"/>
        <v>4</v>
      </c>
      <c r="H19" s="128">
        <f t="shared" si="2"/>
        <v>5</v>
      </c>
      <c r="I19" s="129">
        <f t="shared" si="2"/>
        <v>6</v>
      </c>
    </row>
    <row r="20" spans="2:9" x14ac:dyDescent="0.2">
      <c r="B20" s="8" t="s">
        <v>220</v>
      </c>
      <c r="D20" s="242">
        <f ca="1">-SUMIF('Draw Schedule'!$F$4:$BZ$4,D$19,'Draw Schedule'!$F$186:$BZ$186)</f>
        <v>-2962598.7698781686</v>
      </c>
      <c r="E20" s="242">
        <f ca="1">-SUMIF('Draw Schedule'!$F$4:$BZ$4,E$19,'Draw Schedule'!$F$186:$BZ$186)</f>
        <v>-3451529.7350876397</v>
      </c>
      <c r="F20" s="242">
        <f ca="1">-SUMIF('Draw Schedule'!$F$4:$BZ$4,F$19,'Draw Schedule'!$F$186:$BZ$186)</f>
        <v>0</v>
      </c>
      <c r="G20" s="242">
        <f ca="1">-SUMIF('Draw Schedule'!$F$4:$BZ$4,G$19,'Draw Schedule'!$F$186:$BZ$186)</f>
        <v>0</v>
      </c>
      <c r="H20" s="242">
        <f ca="1">-SUMIF('Draw Schedule'!$F$4:$BZ$4,H$19,'Draw Schedule'!$F$186:$BZ$186)</f>
        <v>0</v>
      </c>
      <c r="I20" s="263">
        <f ca="1">-SUMIF('Draw Schedule'!$F$4:$BZ$4,I$19,'Draw Schedule'!$F$186:$BZ$186)</f>
        <v>0</v>
      </c>
    </row>
    <row r="21" spans="2:9" x14ac:dyDescent="0.2">
      <c r="B21" s="8" t="s">
        <v>240</v>
      </c>
      <c r="D21" s="242">
        <f ca="1">SUMIF('Draw Schedule'!$F$4:$BZ$4,D$6,'Draw Schedule'!$F187:$BZ187)</f>
        <v>0</v>
      </c>
      <c r="E21" s="242">
        <f ca="1">SUMIF('Draw Schedule'!$F$4:$BZ$4,E$6,'Draw Schedule'!$F187:$BZ187)</f>
        <v>0</v>
      </c>
      <c r="F21" s="242">
        <f ca="1">SUMIF('Draw Schedule'!$F$4:$BZ$4,F$6,'Draw Schedule'!$F187:$BZ187)</f>
        <v>0</v>
      </c>
      <c r="G21" s="242">
        <f ca="1">SUMIF('Draw Schedule'!$F$4:$BZ$4,G$6,'Draw Schedule'!$F187:$BZ187)</f>
        <v>0</v>
      </c>
      <c r="H21" s="242">
        <f ca="1">SUMIF('Draw Schedule'!$F$4:$BZ$4,H$6,'Draw Schedule'!$F187:$BZ187)</f>
        <v>0</v>
      </c>
      <c r="I21" s="263">
        <f ca="1">SUMIF('Draw Schedule'!$F$4:$BZ$4,I$6,'Draw Schedule'!$F187:$BZ187)</f>
        <v>0</v>
      </c>
    </row>
    <row r="22" spans="2:9" x14ac:dyDescent="0.2">
      <c r="B22" s="8" t="s">
        <v>340</v>
      </c>
      <c r="D22" s="242">
        <f ca="1">SUMIF('Draw Schedule'!$F$4:$BZ$4,D$6,'Draw Schedule'!$F200:$BZ200)</f>
        <v>0</v>
      </c>
      <c r="E22" s="242">
        <f ca="1">SUMIF('Draw Schedule'!$F$4:$BZ$4,E$6,'Draw Schedule'!$F200:$BZ200)</f>
        <v>0</v>
      </c>
      <c r="F22" s="242">
        <f ca="1">SUMIF('Draw Schedule'!$F$4:$BZ$4,F$6,'Draw Schedule'!$F200:$BZ200)</f>
        <v>0</v>
      </c>
      <c r="G22" s="242">
        <f ca="1">SUMIF('Draw Schedule'!$F$4:$BZ$4,G$6,'Draw Schedule'!$F200:$BZ200)</f>
        <v>0</v>
      </c>
      <c r="H22" s="242">
        <f ca="1">SUMIF('Draw Schedule'!$F$4:$BZ$4,H$6,'Draw Schedule'!$F200:$BZ200)</f>
        <v>0</v>
      </c>
      <c r="I22" s="263">
        <f ca="1">SUMIF('Draw Schedule'!$F$4:$BZ$4,I$6,'Draw Schedule'!$F200:$BZ200)</f>
        <v>0</v>
      </c>
    </row>
    <row r="23" spans="2:9" x14ac:dyDescent="0.2">
      <c r="B23" s="43" t="s">
        <v>339</v>
      </c>
      <c r="C23" s="44"/>
      <c r="D23" s="250">
        <f ca="1">SUM(D20:D22)</f>
        <v>-2962598.7698781686</v>
      </c>
      <c r="E23" s="250">
        <f t="shared" ref="E23:I23" ca="1" si="3">SUM(E20:E22)</f>
        <v>-3451529.7350876397</v>
      </c>
      <c r="F23" s="250">
        <f t="shared" ca="1" si="3"/>
        <v>0</v>
      </c>
      <c r="G23" s="250">
        <f t="shared" ca="1" si="3"/>
        <v>0</v>
      </c>
      <c r="H23" s="250">
        <f t="shared" ca="1" si="3"/>
        <v>0</v>
      </c>
      <c r="I23" s="264">
        <f t="shared" ca="1" si="3"/>
        <v>0</v>
      </c>
    </row>
    <row r="25" spans="2:9" x14ac:dyDescent="0.2">
      <c r="B25" s="130" t="s">
        <v>242</v>
      </c>
      <c r="C25" s="131"/>
      <c r="D25" s="265">
        <f ca="1">'Draw Schedule'!D214</f>
        <v>4036496.1827164153</v>
      </c>
    </row>
    <row r="26" spans="2:9" x14ac:dyDescent="0.2">
      <c r="B26" s="132" t="s">
        <v>232</v>
      </c>
      <c r="C26" s="125"/>
      <c r="D26" s="216">
        <f ca="1">'Draw Schedule'!D215</f>
        <v>1.629313269852694</v>
      </c>
    </row>
    <row r="27" spans="2:9" x14ac:dyDescent="0.2">
      <c r="B27" s="133" t="s">
        <v>236</v>
      </c>
      <c r="C27" s="134"/>
      <c r="D27" s="135">
        <f ca="1">'Draw Schedule'!D216</f>
        <v>8.2913377881050118E-2</v>
      </c>
    </row>
    <row r="29" spans="2:9" x14ac:dyDescent="0.2">
      <c r="D29" s="34"/>
    </row>
    <row r="30" spans="2:9" x14ac:dyDescent="0.2">
      <c r="D30" s="34"/>
    </row>
    <row r="31" spans="2:9" x14ac:dyDescent="0.2">
      <c r="D31" s="3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A6D8-2E13-954B-8093-9F34831FDC2C}">
  <dimension ref="A1:L9"/>
  <sheetViews>
    <sheetView workbookViewId="0">
      <selection activeCell="C12" sqref="C12"/>
    </sheetView>
  </sheetViews>
  <sheetFormatPr baseColWidth="10" defaultRowHeight="15" x14ac:dyDescent="0.2"/>
  <cols>
    <col min="3" max="3" width="20.5" bestFit="1" customWidth="1"/>
    <col min="4" max="4" width="21.6640625" bestFit="1" customWidth="1"/>
  </cols>
  <sheetData>
    <row r="1" spans="1:12" s="368" customFormat="1" ht="14" x14ac:dyDescent="0.2">
      <c r="A1" s="364" t="s">
        <v>458</v>
      </c>
      <c r="B1" s="364" t="s">
        <v>459</v>
      </c>
      <c r="C1" s="364" t="s">
        <v>459</v>
      </c>
      <c r="D1" s="364" t="s">
        <v>460</v>
      </c>
      <c r="E1" s="364" t="s">
        <v>461</v>
      </c>
      <c r="F1" s="364">
        <v>78752</v>
      </c>
      <c r="G1" s="365">
        <v>163</v>
      </c>
      <c r="H1" s="364">
        <v>2024</v>
      </c>
      <c r="I1" s="366">
        <v>31800000</v>
      </c>
      <c r="J1" s="366">
        <v>195092.02453987731</v>
      </c>
      <c r="K1" s="366">
        <v>276.74554204704674</v>
      </c>
      <c r="L1" s="367">
        <v>114907</v>
      </c>
    </row>
    <row r="2" spans="1:12" s="368" customFormat="1" ht="14" x14ac:dyDescent="0.2">
      <c r="A2" s="364" t="s">
        <v>462</v>
      </c>
      <c r="B2" s="364" t="s">
        <v>463</v>
      </c>
      <c r="C2" s="364" t="s">
        <v>463</v>
      </c>
      <c r="D2" s="364" t="s">
        <v>464</v>
      </c>
      <c r="E2" s="364" t="s">
        <v>461</v>
      </c>
      <c r="F2" s="364" t="s">
        <v>465</v>
      </c>
      <c r="G2" s="365">
        <v>179</v>
      </c>
      <c r="H2" s="364" t="s">
        <v>466</v>
      </c>
      <c r="I2" s="366">
        <v>39100000</v>
      </c>
      <c r="J2" s="366">
        <v>218436</v>
      </c>
      <c r="K2" s="366">
        <v>274.67</v>
      </c>
      <c r="L2" s="367">
        <v>142352</v>
      </c>
    </row>
    <row r="3" spans="1:12" s="368" customFormat="1" ht="14" x14ac:dyDescent="0.2">
      <c r="A3" s="364" t="s">
        <v>467</v>
      </c>
      <c r="B3" s="364" t="s">
        <v>468</v>
      </c>
      <c r="C3" s="364" t="s">
        <v>469</v>
      </c>
      <c r="D3" s="364" t="s">
        <v>470</v>
      </c>
      <c r="E3" s="364" t="s">
        <v>461</v>
      </c>
      <c r="F3" s="364" t="s">
        <v>471</v>
      </c>
      <c r="G3" s="365">
        <v>279</v>
      </c>
      <c r="H3" s="364" t="s">
        <v>466</v>
      </c>
      <c r="I3" s="366">
        <v>83515000</v>
      </c>
      <c r="J3" s="366">
        <v>299337</v>
      </c>
      <c r="K3" s="366">
        <v>351.9</v>
      </c>
      <c r="L3" s="367">
        <v>237329</v>
      </c>
    </row>
    <row r="4" spans="1:12" s="368" customFormat="1" ht="14" x14ac:dyDescent="0.2">
      <c r="A4" s="364" t="s">
        <v>472</v>
      </c>
      <c r="B4" s="364" t="s">
        <v>473</v>
      </c>
      <c r="C4" s="364" t="s">
        <v>473</v>
      </c>
      <c r="D4" s="364" t="s">
        <v>474</v>
      </c>
      <c r="E4" s="364" t="s">
        <v>461</v>
      </c>
      <c r="F4" s="364" t="s">
        <v>475</v>
      </c>
      <c r="G4" s="365">
        <v>279</v>
      </c>
      <c r="H4" s="364" t="s">
        <v>476</v>
      </c>
      <c r="I4" s="366">
        <v>62400000</v>
      </c>
      <c r="J4" s="366">
        <v>223656</v>
      </c>
      <c r="K4" s="366">
        <v>282.39</v>
      </c>
      <c r="L4" s="367">
        <v>220968</v>
      </c>
    </row>
    <row r="5" spans="1:12" s="368" customFormat="1" ht="14" x14ac:dyDescent="0.2">
      <c r="A5" s="364" t="s">
        <v>477</v>
      </c>
      <c r="B5" s="364" t="s">
        <v>478</v>
      </c>
      <c r="C5" s="364" t="s">
        <v>478</v>
      </c>
      <c r="D5" s="364" t="s">
        <v>479</v>
      </c>
      <c r="E5" s="364" t="s">
        <v>461</v>
      </c>
      <c r="F5" s="364" t="s">
        <v>480</v>
      </c>
      <c r="G5" s="365">
        <v>222</v>
      </c>
      <c r="H5" s="364" t="s">
        <v>481</v>
      </c>
      <c r="I5" s="366">
        <v>33000000</v>
      </c>
      <c r="J5" s="366">
        <v>148649</v>
      </c>
      <c r="K5" s="366">
        <v>161.4</v>
      </c>
      <c r="L5" s="367">
        <v>204462</v>
      </c>
    </row>
    <row r="6" spans="1:12" s="368" customFormat="1" ht="14" x14ac:dyDescent="0.2">
      <c r="A6" s="364" t="s">
        <v>482</v>
      </c>
      <c r="B6" s="364" t="s">
        <v>483</v>
      </c>
      <c r="C6" s="364" t="s">
        <v>484</v>
      </c>
      <c r="D6" s="364" t="s">
        <v>485</v>
      </c>
      <c r="E6" s="364" t="s">
        <v>461</v>
      </c>
      <c r="F6" s="364" t="s">
        <v>486</v>
      </c>
      <c r="G6" s="365">
        <v>562</v>
      </c>
      <c r="H6" s="364" t="s">
        <v>487</v>
      </c>
      <c r="I6" s="366">
        <v>135000000</v>
      </c>
      <c r="J6" s="366">
        <v>240214</v>
      </c>
      <c r="K6" s="366">
        <v>316.32</v>
      </c>
      <c r="L6" s="367">
        <v>426777</v>
      </c>
    </row>
    <row r="7" spans="1:12" s="368" customFormat="1" ht="14" x14ac:dyDescent="0.2">
      <c r="A7" s="364" t="s">
        <v>488</v>
      </c>
      <c r="B7" s="364" t="s">
        <v>489</v>
      </c>
      <c r="C7" s="364" t="s">
        <v>490</v>
      </c>
      <c r="D7" s="364" t="s">
        <v>491</v>
      </c>
      <c r="E7" s="364" t="s">
        <v>461</v>
      </c>
      <c r="F7" s="364" t="s">
        <v>471</v>
      </c>
      <c r="G7" s="365">
        <v>180</v>
      </c>
      <c r="H7" s="364" t="s">
        <v>492</v>
      </c>
      <c r="I7" s="366">
        <v>68250000</v>
      </c>
      <c r="J7" s="366">
        <v>379167</v>
      </c>
      <c r="K7" s="366">
        <v>408.46</v>
      </c>
      <c r="L7" s="367">
        <v>167090</v>
      </c>
    </row>
    <row r="8" spans="1:12" s="368" customFormat="1" ht="14" x14ac:dyDescent="0.2">
      <c r="A8" s="364" t="s">
        <v>493</v>
      </c>
      <c r="B8" s="364" t="s">
        <v>494</v>
      </c>
      <c r="C8" s="364" t="s">
        <v>495</v>
      </c>
      <c r="D8" s="364" t="s">
        <v>496</v>
      </c>
      <c r="E8" s="364" t="s">
        <v>461</v>
      </c>
      <c r="F8" s="364" t="s">
        <v>465</v>
      </c>
      <c r="G8" s="365">
        <v>53</v>
      </c>
      <c r="H8" s="364" t="s">
        <v>492</v>
      </c>
      <c r="I8" s="366">
        <v>17500000</v>
      </c>
      <c r="J8" s="366">
        <v>330189</v>
      </c>
      <c r="K8" s="366">
        <v>392.57</v>
      </c>
      <c r="L8" s="367">
        <v>44578</v>
      </c>
    </row>
    <row r="9" spans="1:12" s="368" customFormat="1" ht="14" x14ac:dyDescent="0.2">
      <c r="A9" s="364" t="s">
        <v>497</v>
      </c>
      <c r="B9" s="364" t="s">
        <v>498</v>
      </c>
      <c r="C9" s="364" t="s">
        <v>499</v>
      </c>
      <c r="D9" s="364" t="s">
        <v>500</v>
      </c>
      <c r="E9" s="364" t="s">
        <v>461</v>
      </c>
      <c r="F9" s="364" t="s">
        <v>465</v>
      </c>
      <c r="G9" s="365">
        <v>175</v>
      </c>
      <c r="H9" s="364" t="s">
        <v>501</v>
      </c>
      <c r="I9" s="366">
        <v>46250000</v>
      </c>
      <c r="J9" s="366">
        <v>264286</v>
      </c>
      <c r="K9" s="366">
        <v>318.14</v>
      </c>
      <c r="L9" s="367">
        <v>145375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54F8B7-491A-4019-93EF-E4D8424655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Assumptions</vt:lpstr>
      <vt:lpstr>Unit Mix</vt:lpstr>
      <vt:lpstr>Construction Costs</vt:lpstr>
      <vt:lpstr>Hard Costs</vt:lpstr>
      <vt:lpstr>Closing Costs</vt:lpstr>
      <vt:lpstr>Taxes</vt:lpstr>
      <vt:lpstr>Draw Schedule</vt:lpstr>
      <vt:lpstr>Levered CF</vt:lpstr>
      <vt:lpstr>Net CF Post TCO</vt:lpstr>
      <vt:lpstr>Opex Comps</vt:lpstr>
      <vt:lpstr>Unit Comps</vt:lpstr>
      <vt:lpstr>Promote</vt:lpstr>
      <vt:lpstr>Project Comps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Cohen</dc:creator>
  <cp:lastModifiedBy>yair cohen hoshen</cp:lastModifiedBy>
  <dcterms:created xsi:type="dcterms:W3CDTF">2022-01-12T22:32:33Z</dcterms:created>
  <dcterms:modified xsi:type="dcterms:W3CDTF">2026-01-18T14:42:34Z</dcterms:modified>
</cp:coreProperties>
</file>